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 laxmi\OneDrive\Desktop\"/>
    </mc:Choice>
  </mc:AlternateContent>
  <xr:revisionPtr revIDLastSave="0" documentId="13_ncr:1_{5C84D149-F447-49F8-952B-71F5B16F3587}" xr6:coauthVersionLast="47" xr6:coauthVersionMax="47" xr10:uidLastSave="{00000000-0000-0000-0000-000000000000}"/>
  <bookViews>
    <workbookView xWindow="-108" yWindow="-108" windowWidth="23256" windowHeight="12456" xr2:uid="{A83B2FCF-02B4-4CE2-93BF-108C915E0450}"/>
  </bookViews>
  <sheets>
    <sheet name="Sheet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D" hidden="1">[1]TTL!$G$38:$AU$38</definedName>
    <definedName name="__can430">40.73</definedName>
    <definedName name="__can435">43.3</definedName>
    <definedName name="__III7">"$C4.$#REF!$#REF!"</definedName>
    <definedName name="__M1234">[2]EDWise!$P$2:$Q$183</definedName>
    <definedName name="__TB2">'[3]SPT vs PHI'!$B$2:$C$65</definedName>
    <definedName name="_can430">40.73</definedName>
    <definedName name="_can435">43.3</definedName>
    <definedName name="_xlnm._FilterDatabase" hidden="1">#REF!</definedName>
    <definedName name="_M1234">[2]EDWise!$P$2:$Q$183</definedName>
    <definedName name="_Order1" hidden="1">255</definedName>
    <definedName name="_Order2" hidden="1">255</definedName>
    <definedName name="_Regression_Int" hidden="1">1</definedName>
    <definedName name="_TB2">'[3]SPT vs PHI'!$B$2:$C$65</definedName>
    <definedName name="annex6_9">[4]IDCCALHYD_GOO!$A$47:$U$92</definedName>
    <definedName name="anscount" hidden="1">1</definedName>
    <definedName name="asdfg">[5]EDWise!$P$2:$Q$183</definedName>
    <definedName name="Bust">#N/A</definedName>
    <definedName name="Continue">#N/A</definedName>
    <definedName name="_xlnm.Database">#REF!</definedName>
    <definedName name="Documents_array">#N/A</definedName>
    <definedName name="Hello">#N/A</definedName>
    <definedName name="HTML_CodePage" hidden="1">1252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june">'[6]Data base'!$B$5:$F$238</definedName>
    <definedName name="Kms" localSheetId="0">SheetA1!#REF!</definedName>
    <definedName name="limcount" hidden="1">1</definedName>
    <definedName name="logo1">"Picture 7"</definedName>
    <definedName name="mnt">[7]EDWise!$P$2:$Q$183</definedName>
    <definedName name="_xlnm.Print_Area" localSheetId="0">SheetA1!$A$1:$X$1159</definedName>
    <definedName name="_xlnm.Print_Area">#REF!</definedName>
    <definedName name="_xlnm.Print_Titles" localSheetId="0">SheetA1!$1:$1</definedName>
    <definedName name="_xlnm.Print_Titles">#REF!</definedName>
    <definedName name="range1">[8]EDWise!$P$2:$Q$183</definedName>
    <definedName name="range2">[8]EDWise!$P$2:$Q$183</definedName>
    <definedName name="_xlnm.Recorder">#REF!</definedName>
    <definedName name="sencount" hidden="1">1</definedName>
    <definedName name="table1">'[3]SPT vs PHI'!$E$2:$F$47</definedName>
    <definedName name="TaxTV">10%</definedName>
    <definedName name="TaxXL">5%</definedName>
    <definedName name="Title">'[9]Civil Boq'!$D$3</definedName>
    <definedName name="xyz">[5]EDWise!$P$2:$Q$183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03" i="1" l="1"/>
  <c r="M904" i="1"/>
  <c r="M905" i="1"/>
  <c r="M907" i="1"/>
  <c r="M908" i="1"/>
  <c r="M910" i="1"/>
  <c r="M911" i="1"/>
  <c r="M912" i="1"/>
  <c r="M913" i="1"/>
  <c r="Q913" i="1" s="1"/>
  <c r="M914" i="1"/>
  <c r="M915" i="1"/>
  <c r="M916" i="1"/>
  <c r="M920" i="1"/>
  <c r="M975" i="1"/>
  <c r="Q1159" i="1"/>
  <c r="A1159" i="1"/>
  <c r="Q1158" i="1"/>
  <c r="A1158" i="1"/>
  <c r="Q1157" i="1"/>
  <c r="A1157" i="1"/>
  <c r="Q1156" i="1"/>
  <c r="A1156" i="1"/>
  <c r="Q1155" i="1"/>
  <c r="A1155" i="1"/>
  <c r="Q1154" i="1"/>
  <c r="A1154" i="1"/>
  <c r="Q1153" i="1"/>
  <c r="A1153" i="1"/>
  <c r="Q1152" i="1"/>
  <c r="A1152" i="1"/>
  <c r="Q1151" i="1"/>
  <c r="A1151" i="1"/>
  <c r="Q1150" i="1"/>
  <c r="A1150" i="1"/>
  <c r="Q1149" i="1"/>
  <c r="A1149" i="1"/>
  <c r="Q1148" i="1"/>
  <c r="A1148" i="1"/>
  <c r="Q1147" i="1"/>
  <c r="A1147" i="1"/>
  <c r="Q1146" i="1"/>
  <c r="A1146" i="1"/>
  <c r="Q1145" i="1"/>
  <c r="A1145" i="1"/>
  <c r="Q1144" i="1"/>
  <c r="A1144" i="1"/>
  <c r="Q1143" i="1"/>
  <c r="A1143" i="1"/>
  <c r="Q1142" i="1"/>
  <c r="A1142" i="1"/>
  <c r="Q1141" i="1"/>
  <c r="A1141" i="1"/>
  <c r="Q1140" i="1"/>
  <c r="A1140" i="1"/>
  <c r="Q1139" i="1"/>
  <c r="A1139" i="1"/>
  <c r="Q1138" i="1"/>
  <c r="A1138" i="1"/>
  <c r="Q1137" i="1"/>
  <c r="A1137" i="1"/>
  <c r="Q1136" i="1"/>
  <c r="A1136" i="1"/>
  <c r="Q1135" i="1"/>
  <c r="A1135" i="1"/>
  <c r="Q1134" i="1"/>
  <c r="A1134" i="1"/>
  <c r="Q1133" i="1"/>
  <c r="A1133" i="1"/>
  <c r="Q1132" i="1"/>
  <c r="A1132" i="1"/>
  <c r="Q1131" i="1"/>
  <c r="A1131" i="1"/>
  <c r="Q1130" i="1"/>
  <c r="A1130" i="1"/>
  <c r="Q1129" i="1"/>
  <c r="A1129" i="1"/>
  <c r="Q1128" i="1"/>
  <c r="A1128" i="1"/>
  <c r="Q1127" i="1"/>
  <c r="A1127" i="1"/>
  <c r="Q1126" i="1"/>
  <c r="A1126" i="1"/>
  <c r="Q1125" i="1"/>
  <c r="A1125" i="1"/>
  <c r="Q1124" i="1"/>
  <c r="A1124" i="1"/>
  <c r="Q1123" i="1"/>
  <c r="A1123" i="1"/>
  <c r="Q1122" i="1"/>
  <c r="A1122" i="1"/>
  <c r="Q1121" i="1"/>
  <c r="A1121" i="1"/>
  <c r="Q1120" i="1"/>
  <c r="A1120" i="1"/>
  <c r="Q1119" i="1"/>
  <c r="A1119" i="1"/>
  <c r="Q1118" i="1"/>
  <c r="A1118" i="1"/>
  <c r="Q1117" i="1"/>
  <c r="A1117" i="1"/>
  <c r="Q1116" i="1"/>
  <c r="A1116" i="1"/>
  <c r="Q1115" i="1"/>
  <c r="A1115" i="1"/>
  <c r="Q1114" i="1"/>
  <c r="A1114" i="1"/>
  <c r="Q1113" i="1"/>
  <c r="A1113" i="1"/>
  <c r="Q1112" i="1"/>
  <c r="A1112" i="1"/>
  <c r="Q1111" i="1"/>
  <c r="A1111" i="1"/>
  <c r="Q1110" i="1"/>
  <c r="A1110" i="1"/>
  <c r="Q1109" i="1"/>
  <c r="A1109" i="1"/>
  <c r="Q1108" i="1"/>
  <c r="A1108" i="1"/>
  <c r="Q1107" i="1"/>
  <c r="A1107" i="1"/>
  <c r="Q1106" i="1"/>
  <c r="A1106" i="1"/>
  <c r="Q1105" i="1"/>
  <c r="A1105" i="1"/>
  <c r="Q1104" i="1"/>
  <c r="A1104" i="1"/>
  <c r="Q1103" i="1"/>
  <c r="A1103" i="1"/>
  <c r="Q1102" i="1"/>
  <c r="A1102" i="1"/>
  <c r="Q1101" i="1"/>
  <c r="A1101" i="1"/>
  <c r="Q1100" i="1"/>
  <c r="A1100" i="1"/>
  <c r="Q1099" i="1"/>
  <c r="A1099" i="1"/>
  <c r="Q1098" i="1"/>
  <c r="A1098" i="1"/>
  <c r="Q1097" i="1"/>
  <c r="A1097" i="1"/>
  <c r="Q1096" i="1"/>
  <c r="A1096" i="1"/>
  <c r="Q1095" i="1"/>
  <c r="A1095" i="1"/>
  <c r="Q1094" i="1"/>
  <c r="A1094" i="1"/>
  <c r="Q1093" i="1"/>
  <c r="A1093" i="1"/>
  <c r="Q1092" i="1"/>
  <c r="A1092" i="1"/>
  <c r="Q1091" i="1"/>
  <c r="A1091" i="1"/>
  <c r="Q1090" i="1"/>
  <c r="A1090" i="1"/>
  <c r="Q1089" i="1"/>
  <c r="A1089" i="1"/>
  <c r="Q1088" i="1"/>
  <c r="A1088" i="1"/>
  <c r="Q1087" i="1"/>
  <c r="A1087" i="1"/>
  <c r="Q1086" i="1"/>
  <c r="A1086" i="1"/>
  <c r="Q1085" i="1"/>
  <c r="A1085" i="1"/>
  <c r="Q1084" i="1"/>
  <c r="N1084" i="1"/>
  <c r="A1084" i="1"/>
  <c r="Q1083" i="1"/>
  <c r="N1083" i="1"/>
  <c r="A1083" i="1"/>
  <c r="Q1082" i="1"/>
  <c r="A1082" i="1"/>
  <c r="Q1081" i="1"/>
  <c r="A1081" i="1"/>
  <c r="Q1080" i="1"/>
  <c r="A1080" i="1"/>
  <c r="Q1079" i="1"/>
  <c r="A1079" i="1"/>
  <c r="Q1078" i="1"/>
  <c r="A1078" i="1"/>
  <c r="Q1077" i="1"/>
  <c r="A1077" i="1"/>
  <c r="Q1076" i="1"/>
  <c r="A1076" i="1"/>
  <c r="Q1075" i="1"/>
  <c r="A1075" i="1"/>
  <c r="Q1074" i="1"/>
  <c r="A1074" i="1"/>
  <c r="Q1073" i="1"/>
  <c r="A1073" i="1"/>
  <c r="Q1072" i="1"/>
  <c r="A1072" i="1"/>
  <c r="Q1071" i="1"/>
  <c r="A1071" i="1"/>
  <c r="Q1070" i="1"/>
  <c r="A1070" i="1"/>
  <c r="Q1069" i="1"/>
  <c r="A1069" i="1"/>
  <c r="Q1068" i="1"/>
  <c r="A1068" i="1"/>
  <c r="Q1067" i="1"/>
  <c r="A1067" i="1"/>
  <c r="Q1066" i="1"/>
  <c r="A1066" i="1"/>
  <c r="Q1065" i="1"/>
  <c r="A1065" i="1"/>
  <c r="Q1064" i="1"/>
  <c r="A1064" i="1"/>
  <c r="Q1063" i="1"/>
  <c r="A1063" i="1"/>
  <c r="Q1062" i="1"/>
  <c r="A1062" i="1"/>
  <c r="Q1061" i="1"/>
  <c r="A1061" i="1"/>
  <c r="Q1060" i="1"/>
  <c r="A1060" i="1"/>
  <c r="Q1059" i="1"/>
  <c r="A1059" i="1"/>
  <c r="Q1058" i="1"/>
  <c r="A1058" i="1"/>
  <c r="Q1057" i="1"/>
  <c r="A1057" i="1"/>
  <c r="Q1056" i="1"/>
  <c r="A1056" i="1"/>
  <c r="Q1055" i="1"/>
  <c r="A1055" i="1"/>
  <c r="Q1054" i="1"/>
  <c r="A1054" i="1"/>
  <c r="Q1053" i="1"/>
  <c r="A1053" i="1"/>
  <c r="Q1052" i="1"/>
  <c r="A1052" i="1"/>
  <c r="Q1051" i="1"/>
  <c r="A1051" i="1"/>
  <c r="Q1050" i="1"/>
  <c r="A1050" i="1"/>
  <c r="Q1049" i="1"/>
  <c r="A1049" i="1"/>
  <c r="Q1048" i="1"/>
  <c r="A1048" i="1"/>
  <c r="Q1047" i="1"/>
  <c r="A1047" i="1"/>
  <c r="Q1046" i="1"/>
  <c r="A1046" i="1"/>
  <c r="Q1045" i="1"/>
  <c r="A1045" i="1"/>
  <c r="Q1044" i="1"/>
  <c r="A1044" i="1"/>
  <c r="Q1043" i="1"/>
  <c r="A1043" i="1"/>
  <c r="Q1042" i="1"/>
  <c r="A1042" i="1"/>
  <c r="Q1041" i="1"/>
  <c r="A1041" i="1"/>
  <c r="Q1040" i="1"/>
  <c r="A1040" i="1"/>
  <c r="Q1039" i="1"/>
  <c r="A1039" i="1"/>
  <c r="Q1038" i="1"/>
  <c r="A1038" i="1"/>
  <c r="Q1037" i="1"/>
  <c r="A1037" i="1"/>
  <c r="Q1036" i="1"/>
  <c r="A1036" i="1"/>
  <c r="Q1035" i="1"/>
  <c r="A1035" i="1"/>
  <c r="Q1034" i="1"/>
  <c r="A1034" i="1"/>
  <c r="Q1033" i="1"/>
  <c r="A1033" i="1"/>
  <c r="Q1032" i="1"/>
  <c r="A1032" i="1"/>
  <c r="Q1031" i="1"/>
  <c r="A1031" i="1"/>
  <c r="Q1030" i="1"/>
  <c r="A1030" i="1"/>
  <c r="Q1029" i="1"/>
  <c r="A1029" i="1"/>
  <c r="Q1028" i="1"/>
  <c r="A1028" i="1"/>
  <c r="Q1027" i="1"/>
  <c r="A1027" i="1"/>
  <c r="Q1026" i="1"/>
  <c r="A1026" i="1"/>
  <c r="Q1025" i="1"/>
  <c r="A1025" i="1"/>
  <c r="Q1024" i="1"/>
  <c r="A1024" i="1"/>
  <c r="Q1023" i="1"/>
  <c r="A1023" i="1"/>
  <c r="Q1022" i="1"/>
  <c r="A1022" i="1"/>
  <c r="Q1021" i="1"/>
  <c r="A1021" i="1"/>
  <c r="Q1020" i="1"/>
  <c r="A1020" i="1"/>
  <c r="Q1019" i="1"/>
  <c r="A1019" i="1"/>
  <c r="Q1018" i="1"/>
  <c r="A1018" i="1"/>
  <c r="Q1017" i="1"/>
  <c r="A1017" i="1"/>
  <c r="Q1016" i="1"/>
  <c r="A1016" i="1"/>
  <c r="Q1015" i="1"/>
  <c r="A1015" i="1"/>
  <c r="Q1014" i="1"/>
  <c r="A1014" i="1"/>
  <c r="Q1013" i="1"/>
  <c r="A1013" i="1"/>
  <c r="Q1012" i="1"/>
  <c r="A1012" i="1"/>
  <c r="Q1011" i="1"/>
  <c r="A1011" i="1"/>
  <c r="Q1010" i="1"/>
  <c r="A1010" i="1"/>
  <c r="Q1009" i="1"/>
  <c r="A1009" i="1"/>
  <c r="Q1008" i="1"/>
  <c r="A1008" i="1"/>
  <c r="Q1007" i="1"/>
  <c r="A1007" i="1"/>
  <c r="Q1006" i="1"/>
  <c r="A1006" i="1"/>
  <c r="Q1005" i="1"/>
  <c r="A1005" i="1"/>
  <c r="Q1004" i="1"/>
  <c r="A1004" i="1"/>
  <c r="Q1003" i="1"/>
  <c r="A1003" i="1"/>
  <c r="Q1002" i="1"/>
  <c r="A1002" i="1"/>
  <c r="Q1001" i="1"/>
  <c r="A1001" i="1"/>
  <c r="Q1000" i="1"/>
  <c r="A1000" i="1"/>
  <c r="Q999" i="1"/>
  <c r="A999" i="1"/>
  <c r="Q998" i="1"/>
  <c r="A998" i="1"/>
  <c r="Q997" i="1"/>
  <c r="A997" i="1"/>
  <c r="Q996" i="1"/>
  <c r="A996" i="1"/>
  <c r="Q995" i="1"/>
  <c r="A995" i="1"/>
  <c r="Q994" i="1"/>
  <c r="A994" i="1"/>
  <c r="Q993" i="1"/>
  <c r="A993" i="1"/>
  <c r="Q992" i="1"/>
  <c r="A992" i="1"/>
  <c r="Q991" i="1"/>
  <c r="A991" i="1"/>
  <c r="Q990" i="1"/>
  <c r="A990" i="1"/>
  <c r="Q989" i="1"/>
  <c r="A989" i="1"/>
  <c r="Q988" i="1"/>
  <c r="A988" i="1"/>
  <c r="Q987" i="1"/>
  <c r="A987" i="1"/>
  <c r="Q986" i="1"/>
  <c r="A986" i="1"/>
  <c r="Q985" i="1"/>
  <c r="A985" i="1"/>
  <c r="Q984" i="1"/>
  <c r="A984" i="1"/>
  <c r="Q983" i="1"/>
  <c r="A983" i="1"/>
  <c r="Q982" i="1"/>
  <c r="A982" i="1"/>
  <c r="Q981" i="1"/>
  <c r="A981" i="1"/>
  <c r="Q980" i="1"/>
  <c r="A980" i="1"/>
  <c r="Q979" i="1"/>
  <c r="A979" i="1"/>
  <c r="Q978" i="1"/>
  <c r="A978" i="1"/>
  <c r="Q977" i="1"/>
  <c r="A977" i="1"/>
  <c r="Q976" i="1"/>
  <c r="A976" i="1"/>
  <c r="Q975" i="1"/>
  <c r="A975" i="1"/>
  <c r="Q974" i="1"/>
  <c r="A974" i="1"/>
  <c r="Q973" i="1"/>
  <c r="A973" i="1"/>
  <c r="Q972" i="1"/>
  <c r="A972" i="1"/>
  <c r="Q971" i="1"/>
  <c r="A971" i="1"/>
  <c r="Q970" i="1"/>
  <c r="A970" i="1"/>
  <c r="Q969" i="1"/>
  <c r="A969" i="1"/>
  <c r="Q968" i="1"/>
  <c r="A968" i="1"/>
  <c r="Q967" i="1"/>
  <c r="A967" i="1"/>
  <c r="Q966" i="1"/>
  <c r="A966" i="1"/>
  <c r="Q965" i="1"/>
  <c r="A965" i="1"/>
  <c r="Q964" i="1"/>
  <c r="A964" i="1"/>
  <c r="Q963" i="1"/>
  <c r="A963" i="1"/>
  <c r="Q962" i="1"/>
  <c r="A962" i="1"/>
  <c r="Q961" i="1"/>
  <c r="A961" i="1"/>
  <c r="Q960" i="1"/>
  <c r="A960" i="1"/>
  <c r="Q959" i="1"/>
  <c r="A959" i="1"/>
  <c r="Q958" i="1"/>
  <c r="A958" i="1"/>
  <c r="Q957" i="1"/>
  <c r="A957" i="1"/>
  <c r="Q956" i="1"/>
  <c r="A956" i="1"/>
  <c r="Q955" i="1"/>
  <c r="A955" i="1"/>
  <c r="Q954" i="1"/>
  <c r="A954" i="1"/>
  <c r="Q953" i="1"/>
  <c r="A953" i="1"/>
  <c r="Q952" i="1"/>
  <c r="A952" i="1"/>
  <c r="Q951" i="1"/>
  <c r="A951" i="1"/>
  <c r="Q950" i="1"/>
  <c r="A950" i="1"/>
  <c r="Q949" i="1"/>
  <c r="A949" i="1"/>
  <c r="Q948" i="1"/>
  <c r="A948" i="1"/>
  <c r="Q947" i="1"/>
  <c r="A947" i="1"/>
  <c r="Q946" i="1"/>
  <c r="A946" i="1"/>
  <c r="Q945" i="1"/>
  <c r="A945" i="1"/>
  <c r="Q944" i="1"/>
  <c r="A944" i="1"/>
  <c r="Q943" i="1"/>
  <c r="A943" i="1"/>
  <c r="Q942" i="1"/>
  <c r="A942" i="1"/>
  <c r="Q941" i="1"/>
  <c r="A941" i="1"/>
  <c r="Q940" i="1"/>
  <c r="A940" i="1"/>
  <c r="Q939" i="1"/>
  <c r="A939" i="1"/>
  <c r="Q938" i="1"/>
  <c r="A938" i="1"/>
  <c r="Q937" i="1"/>
  <c r="A937" i="1"/>
  <c r="Q936" i="1"/>
  <c r="A936" i="1"/>
  <c r="Q935" i="1"/>
  <c r="A935" i="1"/>
  <c r="Q934" i="1"/>
  <c r="A934" i="1"/>
  <c r="Q933" i="1"/>
  <c r="A933" i="1"/>
  <c r="Q932" i="1"/>
  <c r="A932" i="1"/>
  <c r="Q931" i="1"/>
  <c r="A931" i="1"/>
  <c r="Q930" i="1"/>
  <c r="A930" i="1"/>
  <c r="Q929" i="1"/>
  <c r="A929" i="1"/>
  <c r="Q928" i="1"/>
  <c r="A928" i="1"/>
  <c r="Q927" i="1"/>
  <c r="A927" i="1"/>
  <c r="Q926" i="1"/>
  <c r="A926" i="1"/>
  <c r="Q925" i="1"/>
  <c r="A925" i="1"/>
  <c r="Q924" i="1"/>
  <c r="A924" i="1"/>
  <c r="Q923" i="1"/>
  <c r="A923" i="1"/>
  <c r="Q922" i="1"/>
  <c r="A922" i="1"/>
  <c r="Q921" i="1"/>
  <c r="A921" i="1"/>
  <c r="Q920" i="1"/>
  <c r="A920" i="1"/>
  <c r="Q919" i="1"/>
  <c r="A919" i="1"/>
  <c r="Q918" i="1"/>
  <c r="A918" i="1"/>
  <c r="Q917" i="1"/>
  <c r="A917" i="1"/>
  <c r="Q916" i="1"/>
  <c r="A916" i="1"/>
  <c r="Q915" i="1"/>
  <c r="A915" i="1"/>
  <c r="Q914" i="1"/>
  <c r="A914" i="1"/>
  <c r="A913" i="1"/>
  <c r="Q912" i="1"/>
  <c r="A912" i="1"/>
  <c r="Q911" i="1"/>
  <c r="A911" i="1"/>
  <c r="Q910" i="1"/>
  <c r="A910" i="1"/>
  <c r="N909" i="1"/>
  <c r="M909" i="1" s="1"/>
  <c r="A909" i="1"/>
  <c r="Q908" i="1"/>
  <c r="A908" i="1"/>
  <c r="Q907" i="1"/>
  <c r="A907" i="1"/>
  <c r="N906" i="1"/>
  <c r="A906" i="1"/>
  <c r="Q905" i="1"/>
  <c r="A905" i="1"/>
  <c r="Q904" i="1"/>
  <c r="A904" i="1"/>
  <c r="Q903" i="1"/>
  <c r="A903" i="1"/>
  <c r="L902" i="1"/>
  <c r="M902" i="1" s="1"/>
  <c r="A902" i="1"/>
  <c r="L901" i="1"/>
  <c r="M901" i="1" s="1"/>
  <c r="A901" i="1"/>
  <c r="L900" i="1"/>
  <c r="M900" i="1" s="1"/>
  <c r="A900" i="1"/>
  <c r="L899" i="1"/>
  <c r="A899" i="1"/>
  <c r="L898" i="1"/>
  <c r="A898" i="1"/>
  <c r="L897" i="1"/>
  <c r="M897" i="1" s="1"/>
  <c r="A897" i="1"/>
  <c r="L896" i="1"/>
  <c r="M896" i="1" s="1"/>
  <c r="A896" i="1"/>
  <c r="L895" i="1"/>
  <c r="A895" i="1"/>
  <c r="L894" i="1"/>
  <c r="A894" i="1"/>
  <c r="L893" i="1"/>
  <c r="A893" i="1"/>
  <c r="L892" i="1"/>
  <c r="A892" i="1"/>
  <c r="L891" i="1"/>
  <c r="A891" i="1"/>
  <c r="L890" i="1"/>
  <c r="M890" i="1" s="1"/>
  <c r="A890" i="1"/>
  <c r="L889" i="1"/>
  <c r="A889" i="1"/>
  <c r="L888" i="1"/>
  <c r="M888" i="1" s="1"/>
  <c r="A888" i="1"/>
  <c r="L887" i="1"/>
  <c r="A887" i="1"/>
  <c r="L886" i="1"/>
  <c r="A886" i="1"/>
  <c r="L885" i="1"/>
  <c r="M885" i="1" s="1"/>
  <c r="A885" i="1"/>
  <c r="L884" i="1"/>
  <c r="M884" i="1" s="1"/>
  <c r="A884" i="1"/>
  <c r="L883" i="1"/>
  <c r="A883" i="1"/>
  <c r="L882" i="1"/>
  <c r="A882" i="1"/>
  <c r="L881" i="1"/>
  <c r="A881" i="1"/>
  <c r="L880" i="1"/>
  <c r="A880" i="1"/>
  <c r="L879" i="1"/>
  <c r="A879" i="1"/>
  <c r="L878" i="1"/>
  <c r="A878" i="1"/>
  <c r="L877" i="1"/>
  <c r="M877" i="1" s="1"/>
  <c r="A877" i="1"/>
  <c r="L876" i="1"/>
  <c r="M876" i="1" s="1"/>
  <c r="A876" i="1"/>
  <c r="L875" i="1"/>
  <c r="A875" i="1"/>
  <c r="L874" i="1"/>
  <c r="A874" i="1"/>
  <c r="L873" i="1"/>
  <c r="M873" i="1" s="1"/>
  <c r="A873" i="1"/>
  <c r="L872" i="1"/>
  <c r="M872" i="1" s="1"/>
  <c r="A872" i="1"/>
  <c r="L871" i="1"/>
  <c r="A871" i="1"/>
  <c r="L870" i="1"/>
  <c r="A870" i="1"/>
  <c r="L869" i="1"/>
  <c r="A869" i="1"/>
  <c r="L868" i="1"/>
  <c r="A868" i="1"/>
  <c r="L867" i="1"/>
  <c r="A867" i="1"/>
  <c r="L866" i="1"/>
  <c r="A866" i="1"/>
  <c r="L865" i="1"/>
  <c r="M865" i="1" s="1"/>
  <c r="A865" i="1"/>
  <c r="L864" i="1"/>
  <c r="M864" i="1" s="1"/>
  <c r="A864" i="1"/>
  <c r="L863" i="1"/>
  <c r="A863" i="1"/>
  <c r="L862" i="1"/>
  <c r="A862" i="1"/>
  <c r="L861" i="1"/>
  <c r="M861" i="1" s="1"/>
  <c r="A861" i="1"/>
  <c r="L860" i="1"/>
  <c r="M860" i="1" s="1"/>
  <c r="A860" i="1"/>
  <c r="L859" i="1"/>
  <c r="A859" i="1"/>
  <c r="L858" i="1"/>
  <c r="A858" i="1"/>
  <c r="L857" i="1"/>
  <c r="A857" i="1"/>
  <c r="L856" i="1"/>
  <c r="A856" i="1"/>
  <c r="L855" i="1"/>
  <c r="A855" i="1"/>
  <c r="L854" i="1"/>
  <c r="A854" i="1"/>
  <c r="L853" i="1"/>
  <c r="M853" i="1" s="1"/>
  <c r="A853" i="1"/>
  <c r="L852" i="1"/>
  <c r="M852" i="1" s="1"/>
  <c r="A852" i="1"/>
  <c r="L851" i="1"/>
  <c r="A851" i="1"/>
  <c r="L850" i="1"/>
  <c r="A850" i="1"/>
  <c r="L849" i="1"/>
  <c r="M849" i="1" s="1"/>
  <c r="A849" i="1"/>
  <c r="L848" i="1"/>
  <c r="A848" i="1"/>
  <c r="L847" i="1"/>
  <c r="A847" i="1"/>
  <c r="L846" i="1"/>
  <c r="A846" i="1"/>
  <c r="L845" i="1"/>
  <c r="A845" i="1"/>
  <c r="L844" i="1"/>
  <c r="A844" i="1"/>
  <c r="L843" i="1"/>
  <c r="A843" i="1"/>
  <c r="L842" i="1"/>
  <c r="A842" i="1"/>
  <c r="L841" i="1"/>
  <c r="A841" i="1"/>
  <c r="L840" i="1"/>
  <c r="M840" i="1" s="1"/>
  <c r="A840" i="1"/>
  <c r="L839" i="1"/>
  <c r="A839" i="1"/>
  <c r="L838" i="1"/>
  <c r="A838" i="1"/>
  <c r="L837" i="1"/>
  <c r="A837" i="1"/>
  <c r="L836" i="1"/>
  <c r="A836" i="1"/>
  <c r="L835" i="1"/>
  <c r="A835" i="1"/>
  <c r="L834" i="1"/>
  <c r="A834" i="1"/>
  <c r="L833" i="1"/>
  <c r="A833" i="1"/>
  <c r="L832" i="1"/>
  <c r="A832" i="1"/>
  <c r="L831" i="1"/>
  <c r="A831" i="1"/>
  <c r="L830" i="1"/>
  <c r="A830" i="1"/>
  <c r="L829" i="1"/>
  <c r="A829" i="1"/>
  <c r="L828" i="1"/>
  <c r="A828" i="1"/>
  <c r="L827" i="1"/>
  <c r="A827" i="1"/>
  <c r="L826" i="1"/>
  <c r="A826" i="1"/>
  <c r="L825" i="1"/>
  <c r="A825" i="1"/>
  <c r="L824" i="1"/>
  <c r="A824" i="1"/>
  <c r="L823" i="1"/>
  <c r="A823" i="1"/>
  <c r="L822" i="1"/>
  <c r="A822" i="1"/>
  <c r="L821" i="1"/>
  <c r="A821" i="1"/>
  <c r="L820" i="1"/>
  <c r="A820" i="1"/>
  <c r="L819" i="1"/>
  <c r="A819" i="1"/>
  <c r="L818" i="1"/>
  <c r="A818" i="1"/>
  <c r="L817" i="1"/>
  <c r="A817" i="1"/>
  <c r="L816" i="1"/>
  <c r="A816" i="1"/>
  <c r="L815" i="1"/>
  <c r="A815" i="1"/>
  <c r="L814" i="1"/>
  <c r="A814" i="1"/>
  <c r="L813" i="1"/>
  <c r="A813" i="1"/>
  <c r="L812" i="1"/>
  <c r="A812" i="1"/>
  <c r="L811" i="1"/>
  <c r="A811" i="1"/>
  <c r="L810" i="1"/>
  <c r="A810" i="1"/>
  <c r="L809" i="1"/>
  <c r="A809" i="1"/>
  <c r="L808" i="1"/>
  <c r="A808" i="1"/>
  <c r="L807" i="1"/>
  <c r="A807" i="1"/>
  <c r="L806" i="1"/>
  <c r="A806" i="1"/>
  <c r="L805" i="1"/>
  <c r="A805" i="1"/>
  <c r="L804" i="1"/>
  <c r="A804" i="1"/>
  <c r="L803" i="1"/>
  <c r="A803" i="1"/>
  <c r="L802" i="1"/>
  <c r="A802" i="1"/>
  <c r="L801" i="1"/>
  <c r="A801" i="1"/>
  <c r="L800" i="1"/>
  <c r="A800" i="1"/>
  <c r="L799" i="1"/>
  <c r="A799" i="1"/>
  <c r="L798" i="1"/>
  <c r="A798" i="1"/>
  <c r="L797" i="1"/>
  <c r="A797" i="1"/>
  <c r="L796" i="1"/>
  <c r="A796" i="1"/>
  <c r="L795" i="1"/>
  <c r="A795" i="1"/>
  <c r="L794" i="1"/>
  <c r="A794" i="1"/>
  <c r="L793" i="1"/>
  <c r="A793" i="1"/>
  <c r="L792" i="1"/>
  <c r="A792" i="1"/>
  <c r="L791" i="1"/>
  <c r="A791" i="1"/>
  <c r="L790" i="1"/>
  <c r="A790" i="1"/>
  <c r="L789" i="1"/>
  <c r="A789" i="1"/>
  <c r="L788" i="1"/>
  <c r="A788" i="1"/>
  <c r="L787" i="1"/>
  <c r="A787" i="1"/>
  <c r="L786" i="1"/>
  <c r="A786" i="1"/>
  <c r="L785" i="1"/>
  <c r="A785" i="1"/>
  <c r="L784" i="1"/>
  <c r="A784" i="1"/>
  <c r="L783" i="1"/>
  <c r="A783" i="1"/>
  <c r="L782" i="1"/>
  <c r="A782" i="1"/>
  <c r="L781" i="1"/>
  <c r="A781" i="1"/>
  <c r="L780" i="1"/>
  <c r="A780" i="1"/>
  <c r="L779" i="1"/>
  <c r="A779" i="1"/>
  <c r="L778" i="1"/>
  <c r="A778" i="1"/>
  <c r="L777" i="1"/>
  <c r="A777" i="1"/>
  <c r="L776" i="1"/>
  <c r="A776" i="1"/>
  <c r="L775" i="1"/>
  <c r="A775" i="1"/>
  <c r="L774" i="1"/>
  <c r="A774" i="1"/>
  <c r="L773" i="1"/>
  <c r="A773" i="1"/>
  <c r="L772" i="1"/>
  <c r="A772" i="1"/>
  <c r="L771" i="1"/>
  <c r="A771" i="1"/>
  <c r="L770" i="1"/>
  <c r="A770" i="1"/>
  <c r="L769" i="1"/>
  <c r="A769" i="1"/>
  <c r="L768" i="1"/>
  <c r="A768" i="1"/>
  <c r="L767" i="1"/>
  <c r="A767" i="1"/>
  <c r="L766" i="1"/>
  <c r="A766" i="1"/>
  <c r="L765" i="1"/>
  <c r="A765" i="1"/>
  <c r="L764" i="1"/>
  <c r="A764" i="1"/>
  <c r="L763" i="1"/>
  <c r="A763" i="1"/>
  <c r="L762" i="1"/>
  <c r="A762" i="1"/>
  <c r="L761" i="1"/>
  <c r="A761" i="1"/>
  <c r="L760" i="1"/>
  <c r="A760" i="1"/>
  <c r="L759" i="1"/>
  <c r="A759" i="1"/>
  <c r="L758" i="1"/>
  <c r="A758" i="1"/>
  <c r="L757" i="1"/>
  <c r="A757" i="1"/>
  <c r="L756" i="1"/>
  <c r="A756" i="1"/>
  <c r="L755" i="1"/>
  <c r="A755" i="1"/>
  <c r="L754" i="1"/>
  <c r="A754" i="1"/>
  <c r="L753" i="1"/>
  <c r="A753" i="1"/>
  <c r="L752" i="1"/>
  <c r="A752" i="1"/>
  <c r="L751" i="1"/>
  <c r="A751" i="1"/>
  <c r="L750" i="1"/>
  <c r="A750" i="1"/>
  <c r="L749" i="1"/>
  <c r="A749" i="1"/>
  <c r="L748" i="1"/>
  <c r="A748" i="1"/>
  <c r="L747" i="1"/>
  <c r="A747" i="1"/>
  <c r="L746" i="1"/>
  <c r="A746" i="1"/>
  <c r="L745" i="1"/>
  <c r="A745" i="1"/>
  <c r="L744" i="1"/>
  <c r="A744" i="1"/>
  <c r="L743" i="1"/>
  <c r="A743" i="1"/>
  <c r="L742" i="1"/>
  <c r="A742" i="1"/>
  <c r="L741" i="1"/>
  <c r="A741" i="1"/>
  <c r="L740" i="1"/>
  <c r="A740" i="1"/>
  <c r="L739" i="1"/>
  <c r="A739" i="1"/>
  <c r="L738" i="1"/>
  <c r="A738" i="1"/>
  <c r="L737" i="1"/>
  <c r="A737" i="1"/>
  <c r="L736" i="1"/>
  <c r="A736" i="1"/>
  <c r="L735" i="1"/>
  <c r="A735" i="1"/>
  <c r="L734" i="1"/>
  <c r="A734" i="1"/>
  <c r="L733" i="1"/>
  <c r="A733" i="1"/>
  <c r="L732" i="1"/>
  <c r="A732" i="1"/>
  <c r="L731" i="1"/>
  <c r="A731" i="1"/>
  <c r="L730" i="1"/>
  <c r="A730" i="1"/>
  <c r="L729" i="1"/>
  <c r="A729" i="1"/>
  <c r="L728" i="1"/>
  <c r="A728" i="1"/>
  <c r="L727" i="1"/>
  <c r="A727" i="1"/>
  <c r="L726" i="1"/>
  <c r="A726" i="1"/>
  <c r="L725" i="1"/>
  <c r="A725" i="1"/>
  <c r="L724" i="1"/>
  <c r="A724" i="1"/>
  <c r="L723" i="1"/>
  <c r="A723" i="1"/>
  <c r="L722" i="1"/>
  <c r="A722" i="1"/>
  <c r="L721" i="1"/>
  <c r="A721" i="1"/>
  <c r="L720" i="1"/>
  <c r="M720" i="1" s="1"/>
  <c r="A720" i="1"/>
  <c r="L719" i="1"/>
  <c r="A719" i="1"/>
  <c r="L718" i="1"/>
  <c r="A718" i="1"/>
  <c r="L717" i="1"/>
  <c r="A717" i="1"/>
  <c r="L716" i="1"/>
  <c r="A716" i="1"/>
  <c r="L715" i="1"/>
  <c r="A715" i="1"/>
  <c r="L714" i="1"/>
  <c r="A714" i="1"/>
  <c r="L713" i="1"/>
  <c r="A713" i="1"/>
  <c r="L712" i="1"/>
  <c r="A712" i="1"/>
  <c r="L711" i="1"/>
  <c r="A711" i="1"/>
  <c r="L710" i="1"/>
  <c r="A710" i="1"/>
  <c r="L709" i="1"/>
  <c r="A709" i="1"/>
  <c r="L708" i="1"/>
  <c r="M708" i="1" s="1"/>
  <c r="A708" i="1"/>
  <c r="L707" i="1"/>
  <c r="A707" i="1"/>
  <c r="L706" i="1"/>
  <c r="A706" i="1"/>
  <c r="L705" i="1"/>
  <c r="A705" i="1"/>
  <c r="L704" i="1"/>
  <c r="A704" i="1"/>
  <c r="L703" i="1"/>
  <c r="A703" i="1"/>
  <c r="L702" i="1"/>
  <c r="A702" i="1"/>
  <c r="L701" i="1"/>
  <c r="A701" i="1"/>
  <c r="L700" i="1"/>
  <c r="A700" i="1"/>
  <c r="L699" i="1"/>
  <c r="A699" i="1"/>
  <c r="L698" i="1"/>
  <c r="A698" i="1"/>
  <c r="L697" i="1"/>
  <c r="A697" i="1"/>
  <c r="L696" i="1"/>
  <c r="M696" i="1" s="1"/>
  <c r="A696" i="1"/>
  <c r="L695" i="1"/>
  <c r="A695" i="1"/>
  <c r="L694" i="1"/>
  <c r="A694" i="1"/>
  <c r="L693" i="1"/>
  <c r="A693" i="1"/>
  <c r="L692" i="1"/>
  <c r="A692" i="1"/>
  <c r="L691" i="1"/>
  <c r="A691" i="1"/>
  <c r="L690" i="1"/>
  <c r="A690" i="1"/>
  <c r="L689" i="1"/>
  <c r="A689" i="1"/>
  <c r="L688" i="1"/>
  <c r="A688" i="1"/>
  <c r="L687" i="1"/>
  <c r="A687" i="1"/>
  <c r="L686" i="1"/>
  <c r="A686" i="1"/>
  <c r="L685" i="1"/>
  <c r="A685" i="1"/>
  <c r="L684" i="1"/>
  <c r="A684" i="1"/>
  <c r="L683" i="1"/>
  <c r="A683" i="1"/>
  <c r="L682" i="1"/>
  <c r="A682" i="1"/>
  <c r="L681" i="1"/>
  <c r="A681" i="1"/>
  <c r="L680" i="1"/>
  <c r="A680" i="1"/>
  <c r="L679" i="1"/>
  <c r="A679" i="1"/>
  <c r="L678" i="1"/>
  <c r="A678" i="1"/>
  <c r="L677" i="1"/>
  <c r="A677" i="1"/>
  <c r="L676" i="1"/>
  <c r="A676" i="1"/>
  <c r="L675" i="1"/>
  <c r="A675" i="1"/>
  <c r="L674" i="1"/>
  <c r="A674" i="1"/>
  <c r="L673" i="1"/>
  <c r="A673" i="1"/>
  <c r="L672" i="1"/>
  <c r="A672" i="1"/>
  <c r="L671" i="1"/>
  <c r="A671" i="1"/>
  <c r="L670" i="1"/>
  <c r="A670" i="1"/>
  <c r="L669" i="1"/>
  <c r="A669" i="1"/>
  <c r="L668" i="1"/>
  <c r="A668" i="1"/>
  <c r="L667" i="1"/>
  <c r="A667" i="1"/>
  <c r="L666" i="1"/>
  <c r="A666" i="1"/>
  <c r="L665" i="1"/>
  <c r="A665" i="1"/>
  <c r="L664" i="1"/>
  <c r="A664" i="1"/>
  <c r="L663" i="1"/>
  <c r="A663" i="1"/>
  <c r="L662" i="1"/>
  <c r="A662" i="1"/>
  <c r="L661" i="1"/>
  <c r="A661" i="1"/>
  <c r="L660" i="1"/>
  <c r="A660" i="1"/>
  <c r="L659" i="1"/>
  <c r="A659" i="1"/>
  <c r="L658" i="1"/>
  <c r="A658" i="1"/>
  <c r="L657" i="1"/>
  <c r="A657" i="1"/>
  <c r="L656" i="1"/>
  <c r="A656" i="1"/>
  <c r="L655" i="1"/>
  <c r="A655" i="1"/>
  <c r="L654" i="1"/>
  <c r="A654" i="1"/>
  <c r="L653" i="1"/>
  <c r="A653" i="1"/>
  <c r="L652" i="1"/>
  <c r="A652" i="1"/>
  <c r="L651" i="1"/>
  <c r="A651" i="1"/>
  <c r="L650" i="1"/>
  <c r="A650" i="1"/>
  <c r="L649" i="1"/>
  <c r="A649" i="1"/>
  <c r="L648" i="1"/>
  <c r="A648" i="1"/>
  <c r="L647" i="1"/>
  <c r="A647" i="1"/>
  <c r="L646" i="1"/>
  <c r="A646" i="1"/>
  <c r="L645" i="1"/>
  <c r="A645" i="1"/>
  <c r="L644" i="1"/>
  <c r="A644" i="1"/>
  <c r="L643" i="1"/>
  <c r="A643" i="1"/>
  <c r="L642" i="1"/>
  <c r="A642" i="1"/>
  <c r="L641" i="1"/>
  <c r="A641" i="1"/>
  <c r="L640" i="1"/>
  <c r="A640" i="1"/>
  <c r="L639" i="1"/>
  <c r="A639" i="1"/>
  <c r="L638" i="1"/>
  <c r="A638" i="1"/>
  <c r="L637" i="1"/>
  <c r="A637" i="1"/>
  <c r="L636" i="1"/>
  <c r="A636" i="1"/>
  <c r="L635" i="1"/>
  <c r="A635" i="1"/>
  <c r="L634" i="1"/>
  <c r="A634" i="1"/>
  <c r="L633" i="1"/>
  <c r="A633" i="1"/>
  <c r="L632" i="1"/>
  <c r="A632" i="1"/>
  <c r="L631" i="1"/>
  <c r="A631" i="1"/>
  <c r="L630" i="1"/>
  <c r="A630" i="1"/>
  <c r="L629" i="1"/>
  <c r="A629" i="1"/>
  <c r="L628" i="1"/>
  <c r="A628" i="1"/>
  <c r="L627" i="1"/>
  <c r="A627" i="1"/>
  <c r="L626" i="1"/>
  <c r="A626" i="1"/>
  <c r="L625" i="1"/>
  <c r="A625" i="1"/>
  <c r="L624" i="1"/>
  <c r="A624" i="1"/>
  <c r="L623" i="1"/>
  <c r="A623" i="1"/>
  <c r="L622" i="1"/>
  <c r="A622" i="1"/>
  <c r="L621" i="1"/>
  <c r="A621" i="1"/>
  <c r="L620" i="1"/>
  <c r="A620" i="1"/>
  <c r="L619" i="1"/>
  <c r="A619" i="1"/>
  <c r="L618" i="1"/>
  <c r="A618" i="1"/>
  <c r="L617" i="1"/>
  <c r="A617" i="1"/>
  <c r="L616" i="1"/>
  <c r="A616" i="1"/>
  <c r="L615" i="1"/>
  <c r="A615" i="1"/>
  <c r="L614" i="1"/>
  <c r="A614" i="1"/>
  <c r="L613" i="1"/>
  <c r="A613" i="1"/>
  <c r="L612" i="1"/>
  <c r="A612" i="1"/>
  <c r="L611" i="1"/>
  <c r="A611" i="1"/>
  <c r="L610" i="1"/>
  <c r="A610" i="1"/>
  <c r="L609" i="1"/>
  <c r="A609" i="1"/>
  <c r="L608" i="1"/>
  <c r="A608" i="1"/>
  <c r="L607" i="1"/>
  <c r="A607" i="1"/>
  <c r="L606" i="1"/>
  <c r="A606" i="1"/>
  <c r="L605" i="1"/>
  <c r="A605" i="1"/>
  <c r="L604" i="1"/>
  <c r="A604" i="1"/>
  <c r="L603" i="1"/>
  <c r="A603" i="1"/>
  <c r="L602" i="1"/>
  <c r="A602" i="1"/>
  <c r="L601" i="1"/>
  <c r="A601" i="1"/>
  <c r="L600" i="1"/>
  <c r="A600" i="1"/>
  <c r="L599" i="1"/>
  <c r="A599" i="1"/>
  <c r="L598" i="1"/>
  <c r="A598" i="1"/>
  <c r="L597" i="1"/>
  <c r="A597" i="1"/>
  <c r="L596" i="1"/>
  <c r="A596" i="1"/>
  <c r="L595" i="1"/>
  <c r="A595" i="1"/>
  <c r="L594" i="1"/>
  <c r="A594" i="1"/>
  <c r="L593" i="1"/>
  <c r="A593" i="1"/>
  <c r="L592" i="1"/>
  <c r="A592" i="1"/>
  <c r="L591" i="1"/>
  <c r="A591" i="1"/>
  <c r="L590" i="1"/>
  <c r="A590" i="1"/>
  <c r="L589" i="1"/>
  <c r="A589" i="1"/>
  <c r="L588" i="1"/>
  <c r="A588" i="1"/>
  <c r="L587" i="1"/>
  <c r="A587" i="1"/>
  <c r="L586" i="1"/>
  <c r="A586" i="1"/>
  <c r="L585" i="1"/>
  <c r="A585" i="1"/>
  <c r="L584" i="1"/>
  <c r="A584" i="1"/>
  <c r="L583" i="1"/>
  <c r="A583" i="1"/>
  <c r="L582" i="1"/>
  <c r="A582" i="1"/>
  <c r="L581" i="1"/>
  <c r="A581" i="1"/>
  <c r="L580" i="1"/>
  <c r="A580" i="1"/>
  <c r="L579" i="1"/>
  <c r="A579" i="1"/>
  <c r="L578" i="1"/>
  <c r="A578" i="1"/>
  <c r="L577" i="1"/>
  <c r="A577" i="1"/>
  <c r="L576" i="1"/>
  <c r="M576" i="1" s="1"/>
  <c r="A576" i="1"/>
  <c r="L575" i="1"/>
  <c r="A575" i="1"/>
  <c r="L574" i="1"/>
  <c r="A574" i="1"/>
  <c r="L573" i="1"/>
  <c r="A573" i="1"/>
  <c r="L572" i="1"/>
  <c r="A572" i="1"/>
  <c r="L571" i="1"/>
  <c r="A571" i="1"/>
  <c r="L570" i="1"/>
  <c r="A570" i="1"/>
  <c r="L569" i="1"/>
  <c r="A569" i="1"/>
  <c r="L568" i="1"/>
  <c r="A568" i="1"/>
  <c r="L567" i="1"/>
  <c r="A567" i="1"/>
  <c r="L566" i="1"/>
  <c r="A566" i="1"/>
  <c r="L565" i="1"/>
  <c r="A565" i="1"/>
  <c r="L564" i="1"/>
  <c r="M564" i="1" s="1"/>
  <c r="A564" i="1"/>
  <c r="L563" i="1"/>
  <c r="A563" i="1"/>
  <c r="L562" i="1"/>
  <c r="A562" i="1"/>
  <c r="L561" i="1"/>
  <c r="A561" i="1"/>
  <c r="L560" i="1"/>
  <c r="A560" i="1"/>
  <c r="L559" i="1"/>
  <c r="A559" i="1"/>
  <c r="L558" i="1"/>
  <c r="A558" i="1"/>
  <c r="L557" i="1"/>
  <c r="A557" i="1"/>
  <c r="L556" i="1"/>
  <c r="A556" i="1"/>
  <c r="L555" i="1"/>
  <c r="A555" i="1"/>
  <c r="L554" i="1"/>
  <c r="A554" i="1"/>
  <c r="L553" i="1"/>
  <c r="A553" i="1"/>
  <c r="L552" i="1"/>
  <c r="M552" i="1" s="1"/>
  <c r="A552" i="1"/>
  <c r="L551" i="1"/>
  <c r="A551" i="1"/>
  <c r="L550" i="1"/>
  <c r="A550" i="1"/>
  <c r="L549" i="1"/>
  <c r="A549" i="1"/>
  <c r="L548" i="1"/>
  <c r="A548" i="1"/>
  <c r="L547" i="1"/>
  <c r="A547" i="1"/>
  <c r="L546" i="1"/>
  <c r="A546" i="1"/>
  <c r="L545" i="1"/>
  <c r="A545" i="1"/>
  <c r="L544" i="1"/>
  <c r="A544" i="1"/>
  <c r="L543" i="1"/>
  <c r="A543" i="1"/>
  <c r="L542" i="1"/>
  <c r="A542" i="1"/>
  <c r="L541" i="1"/>
  <c r="A541" i="1"/>
  <c r="L540" i="1"/>
  <c r="A540" i="1"/>
  <c r="L539" i="1"/>
  <c r="A539" i="1"/>
  <c r="L538" i="1"/>
  <c r="A538" i="1"/>
  <c r="L537" i="1"/>
  <c r="A537" i="1"/>
  <c r="L536" i="1"/>
  <c r="A536" i="1"/>
  <c r="L535" i="1"/>
  <c r="A535" i="1"/>
  <c r="L534" i="1"/>
  <c r="A534" i="1"/>
  <c r="L533" i="1"/>
  <c r="A533" i="1"/>
  <c r="L532" i="1"/>
  <c r="A532" i="1"/>
  <c r="L531" i="1"/>
  <c r="A531" i="1"/>
  <c r="L530" i="1"/>
  <c r="A530" i="1"/>
  <c r="L529" i="1"/>
  <c r="A529" i="1"/>
  <c r="L528" i="1"/>
  <c r="A528" i="1"/>
  <c r="L527" i="1"/>
  <c r="A527" i="1"/>
  <c r="L526" i="1"/>
  <c r="A526" i="1"/>
  <c r="L525" i="1"/>
  <c r="A525" i="1"/>
  <c r="L524" i="1"/>
  <c r="A524" i="1"/>
  <c r="L523" i="1"/>
  <c r="A523" i="1"/>
  <c r="L522" i="1"/>
  <c r="A522" i="1"/>
  <c r="L521" i="1"/>
  <c r="A521" i="1"/>
  <c r="L520" i="1"/>
  <c r="A520" i="1"/>
  <c r="L519" i="1"/>
  <c r="A519" i="1"/>
  <c r="L518" i="1"/>
  <c r="A518" i="1"/>
  <c r="L517" i="1"/>
  <c r="A517" i="1"/>
  <c r="L516" i="1"/>
  <c r="A516" i="1"/>
  <c r="L515" i="1"/>
  <c r="A515" i="1"/>
  <c r="L514" i="1"/>
  <c r="A514" i="1"/>
  <c r="L513" i="1"/>
  <c r="A513" i="1"/>
  <c r="L512" i="1"/>
  <c r="A512" i="1"/>
  <c r="L511" i="1"/>
  <c r="A511" i="1"/>
  <c r="L510" i="1"/>
  <c r="A510" i="1"/>
  <c r="L509" i="1"/>
  <c r="A509" i="1"/>
  <c r="L508" i="1"/>
  <c r="A508" i="1"/>
  <c r="L507" i="1"/>
  <c r="A507" i="1"/>
  <c r="L506" i="1"/>
  <c r="A506" i="1"/>
  <c r="L505" i="1"/>
  <c r="A505" i="1"/>
  <c r="L504" i="1"/>
  <c r="A504" i="1"/>
  <c r="L503" i="1"/>
  <c r="A503" i="1"/>
  <c r="L502" i="1"/>
  <c r="A502" i="1"/>
  <c r="L501" i="1"/>
  <c r="A501" i="1"/>
  <c r="L500" i="1"/>
  <c r="A500" i="1"/>
  <c r="L499" i="1"/>
  <c r="A499" i="1"/>
  <c r="L498" i="1"/>
  <c r="A498" i="1"/>
  <c r="L497" i="1"/>
  <c r="A497" i="1"/>
  <c r="L496" i="1"/>
  <c r="A496" i="1"/>
  <c r="L495" i="1"/>
  <c r="A495" i="1"/>
  <c r="L494" i="1"/>
  <c r="A494" i="1"/>
  <c r="L493" i="1"/>
  <c r="A493" i="1"/>
  <c r="L492" i="1"/>
  <c r="A492" i="1"/>
  <c r="L491" i="1"/>
  <c r="A491" i="1"/>
  <c r="L490" i="1"/>
  <c r="A490" i="1"/>
  <c r="L489" i="1"/>
  <c r="A489" i="1"/>
  <c r="L488" i="1"/>
  <c r="A488" i="1"/>
  <c r="L487" i="1"/>
  <c r="A487" i="1"/>
  <c r="L486" i="1"/>
  <c r="A486" i="1"/>
  <c r="L485" i="1"/>
  <c r="A485" i="1"/>
  <c r="L484" i="1"/>
  <c r="A484" i="1"/>
  <c r="L483" i="1"/>
  <c r="A483" i="1"/>
  <c r="L482" i="1"/>
  <c r="A482" i="1"/>
  <c r="L481" i="1"/>
  <c r="A481" i="1"/>
  <c r="L480" i="1"/>
  <c r="A480" i="1"/>
  <c r="L479" i="1"/>
  <c r="A479" i="1"/>
  <c r="L478" i="1"/>
  <c r="A478" i="1"/>
  <c r="L477" i="1"/>
  <c r="A477" i="1"/>
  <c r="L476" i="1"/>
  <c r="A476" i="1"/>
  <c r="L475" i="1"/>
  <c r="A475" i="1"/>
  <c r="L474" i="1"/>
  <c r="A474" i="1"/>
  <c r="L473" i="1"/>
  <c r="A473" i="1"/>
  <c r="L472" i="1"/>
  <c r="A472" i="1"/>
  <c r="L471" i="1"/>
  <c r="A471" i="1"/>
  <c r="L470" i="1"/>
  <c r="A470" i="1"/>
  <c r="L469" i="1"/>
  <c r="A469" i="1"/>
  <c r="L468" i="1"/>
  <c r="A468" i="1"/>
  <c r="L467" i="1"/>
  <c r="A467" i="1"/>
  <c r="L466" i="1"/>
  <c r="A466" i="1"/>
  <c r="L465" i="1"/>
  <c r="A465" i="1"/>
  <c r="L464" i="1"/>
  <c r="A464" i="1"/>
  <c r="L463" i="1"/>
  <c r="A463" i="1"/>
  <c r="L462" i="1"/>
  <c r="A462" i="1"/>
  <c r="L461" i="1"/>
  <c r="A461" i="1"/>
  <c r="L460" i="1"/>
  <c r="A460" i="1"/>
  <c r="L459" i="1"/>
  <c r="A459" i="1"/>
  <c r="L458" i="1"/>
  <c r="A458" i="1"/>
  <c r="L457" i="1"/>
  <c r="A457" i="1"/>
  <c r="L456" i="1"/>
  <c r="A456" i="1"/>
  <c r="L455" i="1"/>
  <c r="A455" i="1"/>
  <c r="L454" i="1"/>
  <c r="A454" i="1"/>
  <c r="L453" i="1"/>
  <c r="A453" i="1"/>
  <c r="L452" i="1"/>
  <c r="A452" i="1"/>
  <c r="L451" i="1"/>
  <c r="A451" i="1"/>
  <c r="L450" i="1"/>
  <c r="A450" i="1"/>
  <c r="L449" i="1"/>
  <c r="A449" i="1"/>
  <c r="L448" i="1"/>
  <c r="A448" i="1"/>
  <c r="L447" i="1"/>
  <c r="A447" i="1"/>
  <c r="L446" i="1"/>
  <c r="A446" i="1"/>
  <c r="L445" i="1"/>
  <c r="A445" i="1"/>
  <c r="L444" i="1"/>
  <c r="A444" i="1"/>
  <c r="L443" i="1"/>
  <c r="A443" i="1"/>
  <c r="L442" i="1"/>
  <c r="A442" i="1"/>
  <c r="L441" i="1"/>
  <c r="A441" i="1"/>
  <c r="L440" i="1"/>
  <c r="A440" i="1"/>
  <c r="L439" i="1"/>
  <c r="A439" i="1"/>
  <c r="L438" i="1"/>
  <c r="A438" i="1"/>
  <c r="L437" i="1"/>
  <c r="A437" i="1"/>
  <c r="L436" i="1"/>
  <c r="A436" i="1"/>
  <c r="L435" i="1"/>
  <c r="A435" i="1"/>
  <c r="L434" i="1"/>
  <c r="A434" i="1"/>
  <c r="L433" i="1"/>
  <c r="A433" i="1"/>
  <c r="L432" i="1"/>
  <c r="M432" i="1" s="1"/>
  <c r="A432" i="1"/>
  <c r="L431" i="1"/>
  <c r="A431" i="1"/>
  <c r="L430" i="1"/>
  <c r="A430" i="1"/>
  <c r="L429" i="1"/>
  <c r="A429" i="1"/>
  <c r="L428" i="1"/>
  <c r="A428" i="1"/>
  <c r="L427" i="1"/>
  <c r="A427" i="1"/>
  <c r="L426" i="1"/>
  <c r="A426" i="1"/>
  <c r="L425" i="1"/>
  <c r="A425" i="1"/>
  <c r="L424" i="1"/>
  <c r="A424" i="1"/>
  <c r="L423" i="1"/>
  <c r="A423" i="1"/>
  <c r="L422" i="1"/>
  <c r="A422" i="1"/>
  <c r="L421" i="1"/>
  <c r="A421" i="1"/>
  <c r="L420" i="1"/>
  <c r="M420" i="1" s="1"/>
  <c r="A420" i="1"/>
  <c r="L419" i="1"/>
  <c r="A419" i="1"/>
  <c r="L418" i="1"/>
  <c r="A418" i="1"/>
  <c r="L417" i="1"/>
  <c r="A417" i="1"/>
  <c r="L416" i="1"/>
  <c r="A416" i="1"/>
  <c r="L415" i="1"/>
  <c r="A415" i="1"/>
  <c r="L414" i="1"/>
  <c r="A414" i="1"/>
  <c r="L413" i="1"/>
  <c r="A413" i="1"/>
  <c r="L412" i="1"/>
  <c r="A412" i="1"/>
  <c r="L411" i="1"/>
  <c r="A411" i="1"/>
  <c r="L410" i="1"/>
  <c r="A410" i="1"/>
  <c r="L409" i="1"/>
  <c r="A409" i="1"/>
  <c r="L408" i="1"/>
  <c r="M408" i="1" s="1"/>
  <c r="A408" i="1"/>
  <c r="L407" i="1"/>
  <c r="A407" i="1"/>
  <c r="L406" i="1"/>
  <c r="A406" i="1"/>
  <c r="L405" i="1"/>
  <c r="A405" i="1"/>
  <c r="L404" i="1"/>
  <c r="A404" i="1"/>
  <c r="L403" i="1"/>
  <c r="A403" i="1"/>
  <c r="L402" i="1"/>
  <c r="A402" i="1"/>
  <c r="L401" i="1"/>
  <c r="A401" i="1"/>
  <c r="L400" i="1"/>
  <c r="A400" i="1"/>
  <c r="L399" i="1"/>
  <c r="A399" i="1"/>
  <c r="L398" i="1"/>
  <c r="A398" i="1"/>
  <c r="L397" i="1"/>
  <c r="A397" i="1"/>
  <c r="L396" i="1"/>
  <c r="A396" i="1"/>
  <c r="L395" i="1"/>
  <c r="A395" i="1"/>
  <c r="L394" i="1"/>
  <c r="A394" i="1"/>
  <c r="L393" i="1"/>
  <c r="A393" i="1"/>
  <c r="L392" i="1"/>
  <c r="A392" i="1"/>
  <c r="L391" i="1"/>
  <c r="A391" i="1"/>
  <c r="L390" i="1"/>
  <c r="A390" i="1"/>
  <c r="L389" i="1"/>
  <c r="A389" i="1"/>
  <c r="L388" i="1"/>
  <c r="A388" i="1"/>
  <c r="L387" i="1"/>
  <c r="A387" i="1"/>
  <c r="L386" i="1"/>
  <c r="A386" i="1"/>
  <c r="L385" i="1"/>
  <c r="A385" i="1"/>
  <c r="L384" i="1"/>
  <c r="A384" i="1"/>
  <c r="L383" i="1"/>
  <c r="A383" i="1"/>
  <c r="L382" i="1"/>
  <c r="A382" i="1"/>
  <c r="L381" i="1"/>
  <c r="A381" i="1"/>
  <c r="L380" i="1"/>
  <c r="A380" i="1"/>
  <c r="L379" i="1"/>
  <c r="A379" i="1"/>
  <c r="L378" i="1"/>
  <c r="A378" i="1"/>
  <c r="L377" i="1"/>
  <c r="A377" i="1"/>
  <c r="L376" i="1"/>
  <c r="A376" i="1"/>
  <c r="L375" i="1"/>
  <c r="A375" i="1"/>
  <c r="L374" i="1"/>
  <c r="A374" i="1"/>
  <c r="L373" i="1"/>
  <c r="A373" i="1"/>
  <c r="L372" i="1"/>
  <c r="A372" i="1"/>
  <c r="L371" i="1"/>
  <c r="A371" i="1"/>
  <c r="L370" i="1"/>
  <c r="A370" i="1"/>
  <c r="L369" i="1"/>
  <c r="A369" i="1"/>
  <c r="L368" i="1"/>
  <c r="A368" i="1"/>
  <c r="L367" i="1"/>
  <c r="A367" i="1"/>
  <c r="L366" i="1"/>
  <c r="A366" i="1"/>
  <c r="L365" i="1"/>
  <c r="A365" i="1"/>
  <c r="L364" i="1"/>
  <c r="A364" i="1"/>
  <c r="L363" i="1"/>
  <c r="A363" i="1"/>
  <c r="L362" i="1"/>
  <c r="A362" i="1"/>
  <c r="L361" i="1"/>
  <c r="A361" i="1"/>
  <c r="L360" i="1"/>
  <c r="A360" i="1"/>
  <c r="L359" i="1"/>
  <c r="A359" i="1"/>
  <c r="L358" i="1"/>
  <c r="A358" i="1"/>
  <c r="L357" i="1"/>
  <c r="A357" i="1"/>
  <c r="L356" i="1"/>
  <c r="A356" i="1"/>
  <c r="L355" i="1"/>
  <c r="A355" i="1"/>
  <c r="L354" i="1"/>
  <c r="A354" i="1"/>
  <c r="L353" i="1"/>
  <c r="A353" i="1"/>
  <c r="L352" i="1"/>
  <c r="A352" i="1"/>
  <c r="L351" i="1"/>
  <c r="A351" i="1"/>
  <c r="L350" i="1"/>
  <c r="A350" i="1"/>
  <c r="L349" i="1"/>
  <c r="A349" i="1"/>
  <c r="L348" i="1"/>
  <c r="A348" i="1"/>
  <c r="L347" i="1"/>
  <c r="A347" i="1"/>
  <c r="L346" i="1"/>
  <c r="A346" i="1"/>
  <c r="L345" i="1"/>
  <c r="A345" i="1"/>
  <c r="L344" i="1"/>
  <c r="A344" i="1"/>
  <c r="L343" i="1"/>
  <c r="A343" i="1"/>
  <c r="L342" i="1"/>
  <c r="A342" i="1"/>
  <c r="L341" i="1"/>
  <c r="A341" i="1"/>
  <c r="L340" i="1"/>
  <c r="A340" i="1"/>
  <c r="L339" i="1"/>
  <c r="A339" i="1"/>
  <c r="L338" i="1"/>
  <c r="A338" i="1"/>
  <c r="L337" i="1"/>
  <c r="A337" i="1"/>
  <c r="L336" i="1"/>
  <c r="A336" i="1"/>
  <c r="L335" i="1"/>
  <c r="A335" i="1"/>
  <c r="L334" i="1"/>
  <c r="A334" i="1"/>
  <c r="L333" i="1"/>
  <c r="A333" i="1"/>
  <c r="L332" i="1"/>
  <c r="A332" i="1"/>
  <c r="L331" i="1"/>
  <c r="A331" i="1"/>
  <c r="L330" i="1"/>
  <c r="A330" i="1"/>
  <c r="L329" i="1"/>
  <c r="A329" i="1"/>
  <c r="L328" i="1"/>
  <c r="A328" i="1"/>
  <c r="L327" i="1"/>
  <c r="A327" i="1"/>
  <c r="L326" i="1"/>
  <c r="A326" i="1"/>
  <c r="L325" i="1"/>
  <c r="A325" i="1"/>
  <c r="L324" i="1"/>
  <c r="A324" i="1"/>
  <c r="L323" i="1"/>
  <c r="A323" i="1"/>
  <c r="L322" i="1"/>
  <c r="A322" i="1"/>
  <c r="L321" i="1"/>
  <c r="A321" i="1"/>
  <c r="L320" i="1"/>
  <c r="A320" i="1"/>
  <c r="L319" i="1"/>
  <c r="A319" i="1"/>
  <c r="L318" i="1"/>
  <c r="A318" i="1"/>
  <c r="L317" i="1"/>
  <c r="A317" i="1"/>
  <c r="L316" i="1"/>
  <c r="A316" i="1"/>
  <c r="L315" i="1"/>
  <c r="A315" i="1"/>
  <c r="L314" i="1"/>
  <c r="A314" i="1"/>
  <c r="L313" i="1"/>
  <c r="A313" i="1"/>
  <c r="L312" i="1"/>
  <c r="A312" i="1"/>
  <c r="L311" i="1"/>
  <c r="A311" i="1"/>
  <c r="L310" i="1"/>
  <c r="A310" i="1"/>
  <c r="L309" i="1"/>
  <c r="A309" i="1"/>
  <c r="L308" i="1"/>
  <c r="A308" i="1"/>
  <c r="L307" i="1"/>
  <c r="A307" i="1"/>
  <c r="L306" i="1"/>
  <c r="A306" i="1"/>
  <c r="L305" i="1"/>
  <c r="A305" i="1"/>
  <c r="L304" i="1"/>
  <c r="A304" i="1"/>
  <c r="L303" i="1"/>
  <c r="A303" i="1"/>
  <c r="L302" i="1"/>
  <c r="A302" i="1"/>
  <c r="L301" i="1"/>
  <c r="A301" i="1"/>
  <c r="L300" i="1"/>
  <c r="A300" i="1"/>
  <c r="L299" i="1"/>
  <c r="A299" i="1"/>
  <c r="L298" i="1"/>
  <c r="A298" i="1"/>
  <c r="L297" i="1"/>
  <c r="A297" i="1"/>
  <c r="L296" i="1"/>
  <c r="A296" i="1"/>
  <c r="L295" i="1"/>
  <c r="A295" i="1"/>
  <c r="L294" i="1"/>
  <c r="A294" i="1"/>
  <c r="L293" i="1"/>
  <c r="A293" i="1"/>
  <c r="L292" i="1"/>
  <c r="A292" i="1"/>
  <c r="L291" i="1"/>
  <c r="A291" i="1"/>
  <c r="L290" i="1"/>
  <c r="A290" i="1"/>
  <c r="L289" i="1"/>
  <c r="A289" i="1"/>
  <c r="L288" i="1"/>
  <c r="M288" i="1" s="1"/>
  <c r="A288" i="1"/>
  <c r="L287" i="1"/>
  <c r="A287" i="1"/>
  <c r="L286" i="1"/>
  <c r="A286" i="1"/>
  <c r="L285" i="1"/>
  <c r="A285" i="1"/>
  <c r="L284" i="1"/>
  <c r="A284" i="1"/>
  <c r="L283" i="1"/>
  <c r="A283" i="1"/>
  <c r="L282" i="1"/>
  <c r="A282" i="1"/>
  <c r="L281" i="1"/>
  <c r="A281" i="1"/>
  <c r="L280" i="1"/>
  <c r="A280" i="1"/>
  <c r="L279" i="1"/>
  <c r="A279" i="1"/>
  <c r="L278" i="1"/>
  <c r="A278" i="1"/>
  <c r="L277" i="1"/>
  <c r="A277" i="1"/>
  <c r="L276" i="1"/>
  <c r="M276" i="1" s="1"/>
  <c r="A276" i="1"/>
  <c r="L275" i="1"/>
  <c r="A275" i="1"/>
  <c r="L274" i="1"/>
  <c r="A274" i="1"/>
  <c r="L273" i="1"/>
  <c r="A273" i="1"/>
  <c r="L272" i="1"/>
  <c r="A272" i="1"/>
  <c r="L271" i="1"/>
  <c r="A271" i="1"/>
  <c r="L270" i="1"/>
  <c r="A270" i="1"/>
  <c r="L269" i="1"/>
  <c r="A269" i="1"/>
  <c r="L268" i="1"/>
  <c r="A268" i="1"/>
  <c r="L267" i="1"/>
  <c r="A267" i="1"/>
  <c r="L266" i="1"/>
  <c r="A266" i="1"/>
  <c r="L265" i="1"/>
  <c r="A265" i="1"/>
  <c r="L264" i="1"/>
  <c r="M264" i="1" s="1"/>
  <c r="A264" i="1"/>
  <c r="L263" i="1"/>
  <c r="A263" i="1"/>
  <c r="L262" i="1"/>
  <c r="A262" i="1"/>
  <c r="L261" i="1"/>
  <c r="A261" i="1"/>
  <c r="L260" i="1"/>
  <c r="A260" i="1"/>
  <c r="L259" i="1"/>
  <c r="A259" i="1"/>
  <c r="L258" i="1"/>
  <c r="A258" i="1"/>
  <c r="L257" i="1"/>
  <c r="A257" i="1"/>
  <c r="L256" i="1"/>
  <c r="A256" i="1"/>
  <c r="L255" i="1"/>
  <c r="A255" i="1"/>
  <c r="L254" i="1"/>
  <c r="A254" i="1"/>
  <c r="L253" i="1"/>
  <c r="A253" i="1"/>
  <c r="L252" i="1"/>
  <c r="A252" i="1"/>
  <c r="L251" i="1"/>
  <c r="A251" i="1"/>
  <c r="L250" i="1"/>
  <c r="A250" i="1"/>
  <c r="L249" i="1"/>
  <c r="A249" i="1"/>
  <c r="L248" i="1"/>
  <c r="A248" i="1"/>
  <c r="L247" i="1"/>
  <c r="A247" i="1"/>
  <c r="L246" i="1"/>
  <c r="A246" i="1"/>
  <c r="L245" i="1"/>
  <c r="A245" i="1"/>
  <c r="L244" i="1"/>
  <c r="A244" i="1"/>
  <c r="L243" i="1"/>
  <c r="A243" i="1"/>
  <c r="L242" i="1"/>
  <c r="A242" i="1"/>
  <c r="L241" i="1"/>
  <c r="A241" i="1"/>
  <c r="L240" i="1"/>
  <c r="A240" i="1"/>
  <c r="L239" i="1"/>
  <c r="A239" i="1"/>
  <c r="L238" i="1"/>
  <c r="A238" i="1"/>
  <c r="L237" i="1"/>
  <c r="A237" i="1"/>
  <c r="L236" i="1"/>
  <c r="A236" i="1"/>
  <c r="L235" i="1"/>
  <c r="A235" i="1"/>
  <c r="L234" i="1"/>
  <c r="A234" i="1"/>
  <c r="L233" i="1"/>
  <c r="A233" i="1"/>
  <c r="L232" i="1"/>
  <c r="A232" i="1"/>
  <c r="L231" i="1"/>
  <c r="A231" i="1"/>
  <c r="L230" i="1"/>
  <c r="A230" i="1"/>
  <c r="L229" i="1"/>
  <c r="A229" i="1"/>
  <c r="L228" i="1"/>
  <c r="A228" i="1"/>
  <c r="L227" i="1"/>
  <c r="A227" i="1"/>
  <c r="L226" i="1"/>
  <c r="A226" i="1"/>
  <c r="L225" i="1"/>
  <c r="A225" i="1"/>
  <c r="L224" i="1"/>
  <c r="A224" i="1"/>
  <c r="L223" i="1"/>
  <c r="A223" i="1"/>
  <c r="L222" i="1"/>
  <c r="A222" i="1"/>
  <c r="L221" i="1"/>
  <c r="A221" i="1"/>
  <c r="L220" i="1"/>
  <c r="A220" i="1"/>
  <c r="L219" i="1"/>
  <c r="A219" i="1"/>
  <c r="L218" i="1"/>
  <c r="A218" i="1"/>
  <c r="N217" i="1"/>
  <c r="L217" i="1"/>
  <c r="M217" i="1" s="1"/>
  <c r="A217" i="1"/>
  <c r="L216" i="1"/>
  <c r="A216" i="1"/>
  <c r="L215" i="1"/>
  <c r="A215" i="1"/>
  <c r="L214" i="1"/>
  <c r="A214" i="1"/>
  <c r="L213" i="1"/>
  <c r="A213" i="1"/>
  <c r="L212" i="1"/>
  <c r="A212" i="1"/>
  <c r="L211" i="1"/>
  <c r="A211" i="1"/>
  <c r="L210" i="1"/>
  <c r="A210" i="1"/>
  <c r="L209" i="1"/>
  <c r="A209" i="1"/>
  <c r="L208" i="1"/>
  <c r="A208" i="1"/>
  <c r="L207" i="1"/>
  <c r="A207" i="1"/>
  <c r="L206" i="1"/>
  <c r="A206" i="1"/>
  <c r="L205" i="1"/>
  <c r="A205" i="1"/>
  <c r="L204" i="1"/>
  <c r="A204" i="1"/>
  <c r="L203" i="1"/>
  <c r="A203" i="1"/>
  <c r="L202" i="1"/>
  <c r="A202" i="1"/>
  <c r="L201" i="1"/>
  <c r="A201" i="1"/>
  <c r="L200" i="1"/>
  <c r="A200" i="1"/>
  <c r="L199" i="1"/>
  <c r="A199" i="1"/>
  <c r="L198" i="1"/>
  <c r="A198" i="1"/>
  <c r="L197" i="1"/>
  <c r="A197" i="1"/>
  <c r="L196" i="1"/>
  <c r="A196" i="1"/>
  <c r="L195" i="1"/>
  <c r="A195" i="1"/>
  <c r="L194" i="1"/>
  <c r="A194" i="1"/>
  <c r="L193" i="1"/>
  <c r="A193" i="1"/>
  <c r="L192" i="1"/>
  <c r="A192" i="1"/>
  <c r="L191" i="1"/>
  <c r="A191" i="1"/>
  <c r="L190" i="1"/>
  <c r="A190" i="1"/>
  <c r="L189" i="1"/>
  <c r="A189" i="1"/>
  <c r="L188" i="1"/>
  <c r="A188" i="1"/>
  <c r="L187" i="1"/>
  <c r="A187" i="1"/>
  <c r="L186" i="1"/>
  <c r="A186" i="1"/>
  <c r="L185" i="1"/>
  <c r="A185" i="1"/>
  <c r="L184" i="1"/>
  <c r="A184" i="1"/>
  <c r="L183" i="1"/>
  <c r="A183" i="1"/>
  <c r="L182" i="1"/>
  <c r="A182" i="1"/>
  <c r="L181" i="1"/>
  <c r="A181" i="1"/>
  <c r="L180" i="1"/>
  <c r="A180" i="1"/>
  <c r="L179" i="1"/>
  <c r="A179" i="1"/>
  <c r="L178" i="1"/>
  <c r="A178" i="1"/>
  <c r="L177" i="1"/>
  <c r="A177" i="1"/>
  <c r="L176" i="1"/>
  <c r="A176" i="1"/>
  <c r="L175" i="1"/>
  <c r="A175" i="1"/>
  <c r="L174" i="1"/>
  <c r="A174" i="1"/>
  <c r="L173" i="1"/>
  <c r="A173" i="1"/>
  <c r="L172" i="1"/>
  <c r="A172" i="1"/>
  <c r="L171" i="1"/>
  <c r="A171" i="1"/>
  <c r="L170" i="1"/>
  <c r="A170" i="1"/>
  <c r="L169" i="1"/>
  <c r="A169" i="1"/>
  <c r="L168" i="1"/>
  <c r="A168" i="1"/>
  <c r="L167" i="1"/>
  <c r="A167" i="1"/>
  <c r="L166" i="1"/>
  <c r="A166" i="1"/>
  <c r="L165" i="1"/>
  <c r="A165" i="1"/>
  <c r="L164" i="1"/>
  <c r="A164" i="1"/>
  <c r="L163" i="1"/>
  <c r="A163" i="1"/>
  <c r="L162" i="1"/>
  <c r="A162" i="1"/>
  <c r="L161" i="1"/>
  <c r="A161" i="1"/>
  <c r="L160" i="1"/>
  <c r="A160" i="1"/>
  <c r="N159" i="1"/>
  <c r="L159" i="1"/>
  <c r="A159" i="1"/>
  <c r="L158" i="1"/>
  <c r="A158" i="1"/>
  <c r="L157" i="1"/>
  <c r="A157" i="1"/>
  <c r="L156" i="1"/>
  <c r="A156" i="1"/>
  <c r="L155" i="1"/>
  <c r="A155" i="1"/>
  <c r="L154" i="1"/>
  <c r="A154" i="1"/>
  <c r="L153" i="1"/>
  <c r="A153" i="1"/>
  <c r="L152" i="1"/>
  <c r="A152" i="1"/>
  <c r="L151" i="1"/>
  <c r="A151" i="1"/>
  <c r="L150" i="1"/>
  <c r="A150" i="1"/>
  <c r="L149" i="1"/>
  <c r="A149" i="1"/>
  <c r="L148" i="1"/>
  <c r="A148" i="1"/>
  <c r="L147" i="1"/>
  <c r="A147" i="1"/>
  <c r="L146" i="1"/>
  <c r="A146" i="1"/>
  <c r="L145" i="1"/>
  <c r="A145" i="1"/>
  <c r="L144" i="1"/>
  <c r="M144" i="1" s="1"/>
  <c r="A144" i="1"/>
  <c r="L143" i="1"/>
  <c r="A143" i="1"/>
  <c r="L142" i="1"/>
  <c r="A142" i="1"/>
  <c r="L141" i="1"/>
  <c r="A141" i="1"/>
  <c r="L140" i="1"/>
  <c r="A140" i="1"/>
  <c r="L139" i="1"/>
  <c r="A139" i="1"/>
  <c r="L138" i="1"/>
  <c r="A138" i="1"/>
  <c r="L137" i="1"/>
  <c r="A137" i="1"/>
  <c r="L136" i="1"/>
  <c r="A136" i="1"/>
  <c r="L135" i="1"/>
  <c r="A135" i="1"/>
  <c r="L134" i="1"/>
  <c r="A134" i="1"/>
  <c r="L133" i="1"/>
  <c r="A133" i="1"/>
  <c r="L132" i="1"/>
  <c r="A132" i="1"/>
  <c r="L131" i="1"/>
  <c r="A131" i="1"/>
  <c r="L130" i="1"/>
  <c r="A130" i="1"/>
  <c r="L129" i="1"/>
  <c r="A129" i="1"/>
  <c r="L128" i="1"/>
  <c r="A128" i="1"/>
  <c r="L127" i="1"/>
  <c r="A127" i="1"/>
  <c r="L126" i="1"/>
  <c r="A126" i="1"/>
  <c r="L125" i="1"/>
  <c r="A125" i="1"/>
  <c r="L124" i="1"/>
  <c r="A124" i="1"/>
  <c r="L123" i="1"/>
  <c r="A123" i="1"/>
  <c r="L122" i="1"/>
  <c r="A122" i="1"/>
  <c r="L121" i="1"/>
  <c r="A121" i="1"/>
  <c r="L120" i="1"/>
  <c r="M120" i="1" s="1"/>
  <c r="A120" i="1"/>
  <c r="L119" i="1"/>
  <c r="A119" i="1"/>
  <c r="L118" i="1"/>
  <c r="A118" i="1"/>
  <c r="L117" i="1"/>
  <c r="A117" i="1"/>
  <c r="L116" i="1"/>
  <c r="A116" i="1"/>
  <c r="L115" i="1"/>
  <c r="A115" i="1"/>
  <c r="L114" i="1"/>
  <c r="A114" i="1"/>
  <c r="L113" i="1"/>
  <c r="A113" i="1"/>
  <c r="L112" i="1"/>
  <c r="A112" i="1"/>
  <c r="L111" i="1"/>
  <c r="A111" i="1"/>
  <c r="L110" i="1"/>
  <c r="A110" i="1"/>
  <c r="L109" i="1"/>
  <c r="A109" i="1"/>
  <c r="L108" i="1"/>
  <c r="M108" i="1" s="1"/>
  <c r="A108" i="1"/>
  <c r="L107" i="1"/>
  <c r="A107" i="1"/>
  <c r="L106" i="1"/>
  <c r="A106" i="1"/>
  <c r="L105" i="1"/>
  <c r="A105" i="1"/>
  <c r="L104" i="1"/>
  <c r="A104" i="1"/>
  <c r="L103" i="1"/>
  <c r="A103" i="1"/>
  <c r="L102" i="1"/>
  <c r="A102" i="1"/>
  <c r="L101" i="1"/>
  <c r="A101" i="1"/>
  <c r="L100" i="1"/>
  <c r="A100" i="1"/>
  <c r="L99" i="1"/>
  <c r="A99" i="1"/>
  <c r="L98" i="1"/>
  <c r="A98" i="1"/>
  <c r="L97" i="1"/>
  <c r="A97" i="1"/>
  <c r="L96" i="1"/>
  <c r="M96" i="1" s="1"/>
  <c r="A96" i="1"/>
  <c r="L95" i="1"/>
  <c r="A95" i="1"/>
  <c r="L94" i="1"/>
  <c r="A94" i="1"/>
  <c r="L93" i="1"/>
  <c r="A93" i="1"/>
  <c r="L92" i="1"/>
  <c r="A92" i="1"/>
  <c r="L91" i="1"/>
  <c r="A91" i="1"/>
  <c r="L90" i="1"/>
  <c r="A90" i="1"/>
  <c r="L89" i="1"/>
  <c r="A89" i="1"/>
  <c r="L88" i="1"/>
  <c r="A88" i="1"/>
  <c r="L87" i="1"/>
  <c r="A87" i="1"/>
  <c r="L86" i="1"/>
  <c r="A86" i="1"/>
  <c r="L85" i="1"/>
  <c r="A85" i="1"/>
  <c r="L84" i="1"/>
  <c r="M84" i="1" s="1"/>
  <c r="A84" i="1"/>
  <c r="L83" i="1"/>
  <c r="A83" i="1"/>
  <c r="L82" i="1"/>
  <c r="A82" i="1"/>
  <c r="L81" i="1"/>
  <c r="A81" i="1"/>
  <c r="L80" i="1"/>
  <c r="A80" i="1"/>
  <c r="L79" i="1"/>
  <c r="A79" i="1"/>
  <c r="L78" i="1"/>
  <c r="A78" i="1"/>
  <c r="L77" i="1"/>
  <c r="A77" i="1"/>
  <c r="L76" i="1"/>
  <c r="A76" i="1"/>
  <c r="L75" i="1"/>
  <c r="A75" i="1"/>
  <c r="L74" i="1"/>
  <c r="A74" i="1"/>
  <c r="L73" i="1"/>
  <c r="A73" i="1"/>
  <c r="L72" i="1"/>
  <c r="M72" i="1" s="1"/>
  <c r="A72" i="1"/>
  <c r="L71" i="1"/>
  <c r="A71" i="1"/>
  <c r="L70" i="1"/>
  <c r="A70" i="1"/>
  <c r="L69" i="1"/>
  <c r="A69" i="1"/>
  <c r="L68" i="1"/>
  <c r="A68" i="1"/>
  <c r="L67" i="1"/>
  <c r="A67" i="1"/>
  <c r="L66" i="1"/>
  <c r="A66" i="1"/>
  <c r="L65" i="1"/>
  <c r="A65" i="1"/>
  <c r="L64" i="1"/>
  <c r="A64" i="1"/>
  <c r="L63" i="1"/>
  <c r="A63" i="1"/>
  <c r="L62" i="1"/>
  <c r="A62" i="1"/>
  <c r="L61" i="1"/>
  <c r="A61" i="1"/>
  <c r="L60" i="1"/>
  <c r="A60" i="1"/>
  <c r="L59" i="1"/>
  <c r="A59" i="1"/>
  <c r="L58" i="1"/>
  <c r="A58" i="1"/>
  <c r="L57" i="1"/>
  <c r="A57" i="1"/>
  <c r="L56" i="1"/>
  <c r="A56" i="1"/>
  <c r="L55" i="1"/>
  <c r="A55" i="1"/>
  <c r="L54" i="1"/>
  <c r="A54" i="1"/>
  <c r="L53" i="1"/>
  <c r="A53" i="1"/>
  <c r="L52" i="1"/>
  <c r="A52" i="1"/>
  <c r="L51" i="1"/>
  <c r="A51" i="1"/>
  <c r="L50" i="1"/>
  <c r="A50" i="1"/>
  <c r="L49" i="1"/>
  <c r="A49" i="1"/>
  <c r="L48" i="1"/>
  <c r="A48" i="1"/>
  <c r="L47" i="1"/>
  <c r="A47" i="1"/>
  <c r="L46" i="1"/>
  <c r="A46" i="1"/>
  <c r="L45" i="1"/>
  <c r="A45" i="1"/>
  <c r="L44" i="1"/>
  <c r="A44" i="1"/>
  <c r="L43" i="1"/>
  <c r="A43" i="1"/>
  <c r="L42" i="1"/>
  <c r="A42" i="1"/>
  <c r="L41" i="1"/>
  <c r="A41" i="1"/>
  <c r="L40" i="1"/>
  <c r="A40" i="1"/>
  <c r="L39" i="1"/>
  <c r="A39" i="1"/>
  <c r="L38" i="1"/>
  <c r="A38" i="1"/>
  <c r="L37" i="1"/>
  <c r="A37" i="1"/>
  <c r="L36" i="1"/>
  <c r="A36" i="1"/>
  <c r="L35" i="1"/>
  <c r="A35" i="1"/>
  <c r="L34" i="1"/>
  <c r="A34" i="1"/>
  <c r="L33" i="1"/>
  <c r="A33" i="1"/>
  <c r="L32" i="1"/>
  <c r="A32" i="1"/>
  <c r="L31" i="1"/>
  <c r="A31" i="1"/>
  <c r="L30" i="1"/>
  <c r="A30" i="1"/>
  <c r="L29" i="1"/>
  <c r="A29" i="1"/>
  <c r="L28" i="1"/>
  <c r="A28" i="1"/>
  <c r="L27" i="1"/>
  <c r="A27" i="1"/>
  <c r="L26" i="1"/>
  <c r="A26" i="1"/>
  <c r="L25" i="1"/>
  <c r="A25" i="1"/>
  <c r="L24" i="1"/>
  <c r="A24" i="1"/>
  <c r="L23" i="1"/>
  <c r="A23" i="1"/>
  <c r="L22" i="1"/>
  <c r="A22" i="1"/>
  <c r="L21" i="1"/>
  <c r="A21" i="1"/>
  <c r="L20" i="1"/>
  <c r="A20" i="1"/>
  <c r="L19" i="1"/>
  <c r="A19" i="1"/>
  <c r="L18" i="1"/>
  <c r="A18" i="1"/>
  <c r="L17" i="1"/>
  <c r="A17" i="1"/>
  <c r="L16" i="1"/>
  <c r="A16" i="1"/>
  <c r="L15" i="1"/>
  <c r="A15" i="1"/>
  <c r="L14" i="1"/>
  <c r="A14" i="1"/>
  <c r="L13" i="1"/>
  <c r="A13" i="1"/>
  <c r="L12" i="1"/>
  <c r="A12" i="1"/>
  <c r="L11" i="1"/>
  <c r="A11" i="1"/>
  <c r="L10" i="1"/>
  <c r="A10" i="1"/>
  <c r="L9" i="1"/>
  <c r="A9" i="1"/>
  <c r="L8" i="1"/>
  <c r="A8" i="1"/>
  <c r="L7" i="1"/>
  <c r="A7" i="1"/>
  <c r="L6" i="1"/>
  <c r="A6" i="1"/>
  <c r="L5" i="1"/>
  <c r="A5" i="1"/>
  <c r="L4" i="1"/>
  <c r="A4" i="1"/>
  <c r="L3" i="1"/>
  <c r="A3" i="1"/>
  <c r="L2" i="1"/>
  <c r="A2" i="1"/>
  <c r="M159" i="1" l="1"/>
  <c r="M161" i="1"/>
  <c r="Q161" i="1" s="1"/>
  <c r="M185" i="1"/>
  <c r="Q185" i="1" s="1"/>
  <c r="M191" i="1"/>
  <c r="Q191" i="1" s="1"/>
  <c r="M203" i="1"/>
  <c r="Q203" i="1" s="1"/>
  <c r="M215" i="1"/>
  <c r="Q215" i="1" s="1"/>
  <c r="M30" i="1"/>
  <c r="Q30" i="1" s="1"/>
  <c r="M90" i="1"/>
  <c r="Q90" i="1" s="1"/>
  <c r="M239" i="1"/>
  <c r="Q239" i="1" s="1"/>
  <c r="M275" i="1"/>
  <c r="Q275" i="1" s="1"/>
  <c r="M317" i="1"/>
  <c r="Q317" i="1" s="1"/>
  <c r="M365" i="1"/>
  <c r="Q365" i="1" s="1"/>
  <c r="M407" i="1"/>
  <c r="Q407" i="1" s="1"/>
  <c r="M443" i="1"/>
  <c r="Q443" i="1" s="1"/>
  <c r="M485" i="1"/>
  <c r="Q485" i="1" s="1"/>
  <c r="M533" i="1"/>
  <c r="Q533" i="1" s="1"/>
  <c r="M593" i="1"/>
  <c r="Q593" i="1" s="1"/>
  <c r="M647" i="1"/>
  <c r="Q647" i="1" s="1"/>
  <c r="M737" i="1"/>
  <c r="Q737" i="1" s="1"/>
  <c r="M174" i="1"/>
  <c r="Q174" i="1" s="1"/>
  <c r="M198" i="1"/>
  <c r="Q198" i="1" s="1"/>
  <c r="M210" i="1"/>
  <c r="Q210" i="1" s="1"/>
  <c r="M102" i="1"/>
  <c r="Q102" i="1" s="1"/>
  <c r="M461" i="1"/>
  <c r="Q461" i="1" s="1"/>
  <c r="M186" i="1"/>
  <c r="Q186" i="1" s="1"/>
  <c r="M7" i="1"/>
  <c r="Q7" i="1" s="1"/>
  <c r="M13" i="1"/>
  <c r="Q13" i="1" s="1"/>
  <c r="M19" i="1"/>
  <c r="Q19" i="1" s="1"/>
  <c r="M25" i="1"/>
  <c r="Q25" i="1" s="1"/>
  <c r="M31" i="1"/>
  <c r="Q31" i="1" s="1"/>
  <c r="M37" i="1"/>
  <c r="Q37" i="1" s="1"/>
  <c r="M43" i="1"/>
  <c r="Q43" i="1" s="1"/>
  <c r="M49" i="1"/>
  <c r="Q49" i="1" s="1"/>
  <c r="M55" i="1"/>
  <c r="Q55" i="1" s="1"/>
  <c r="Q61" i="1"/>
  <c r="M61" i="1"/>
  <c r="M67" i="1"/>
  <c r="Q67" i="1" s="1"/>
  <c r="M73" i="1"/>
  <c r="Q73" i="1" s="1"/>
  <c r="M79" i="1"/>
  <c r="Q79" i="1" s="1"/>
  <c r="M85" i="1"/>
  <c r="Q85" i="1" s="1"/>
  <c r="M91" i="1"/>
  <c r="Q91" i="1" s="1"/>
  <c r="M97" i="1"/>
  <c r="Q97" i="1" s="1"/>
  <c r="M103" i="1"/>
  <c r="Q103" i="1" s="1"/>
  <c r="M109" i="1"/>
  <c r="Q109" i="1" s="1"/>
  <c r="M115" i="1"/>
  <c r="Q115" i="1" s="1"/>
  <c r="M121" i="1"/>
  <c r="Q121" i="1" s="1"/>
  <c r="M127" i="1"/>
  <c r="Q127" i="1" s="1"/>
  <c r="M133" i="1"/>
  <c r="Q133" i="1" s="1"/>
  <c r="M139" i="1"/>
  <c r="Q139" i="1" s="1"/>
  <c r="Q145" i="1"/>
  <c r="M145" i="1"/>
  <c r="M151" i="1"/>
  <c r="Q151" i="1" s="1"/>
  <c r="M157" i="1"/>
  <c r="Q157" i="1" s="1"/>
  <c r="M222" i="1"/>
  <c r="Q222" i="1" s="1"/>
  <c r="M234" i="1"/>
  <c r="Q234" i="1" s="1"/>
  <c r="M246" i="1"/>
  <c r="Q246" i="1" s="1"/>
  <c r="Q258" i="1"/>
  <c r="M258" i="1"/>
  <c r="Q264" i="1"/>
  <c r="M270" i="1"/>
  <c r="Q270" i="1" s="1"/>
  <c r="Q276" i="1"/>
  <c r="M282" i="1"/>
  <c r="Q282" i="1" s="1"/>
  <c r="Q288" i="1"/>
  <c r="M294" i="1"/>
  <c r="Q294" i="1" s="1"/>
  <c r="M306" i="1"/>
  <c r="Q306" i="1" s="1"/>
  <c r="M318" i="1"/>
  <c r="Q318" i="1" s="1"/>
  <c r="M330" i="1"/>
  <c r="Q330" i="1" s="1"/>
  <c r="M342" i="1"/>
  <c r="Q342" i="1" s="1"/>
  <c r="M354" i="1"/>
  <c r="Q354" i="1" s="1"/>
  <c r="M366" i="1"/>
  <c r="Q366" i="1" s="1"/>
  <c r="M378" i="1"/>
  <c r="Q378" i="1" s="1"/>
  <c r="M390" i="1"/>
  <c r="Q390" i="1" s="1"/>
  <c r="M402" i="1"/>
  <c r="Q402" i="1" s="1"/>
  <c r="Q408" i="1"/>
  <c r="M414" i="1"/>
  <c r="Q414" i="1" s="1"/>
  <c r="Q420" i="1"/>
  <c r="M426" i="1"/>
  <c r="Q426" i="1" s="1"/>
  <c r="Q432" i="1"/>
  <c r="M438" i="1"/>
  <c r="Q438" i="1" s="1"/>
  <c r="Q450" i="1"/>
  <c r="M450" i="1"/>
  <c r="M462" i="1"/>
  <c r="Q462" i="1" s="1"/>
  <c r="M474" i="1"/>
  <c r="Q474" i="1" s="1"/>
  <c r="M486" i="1"/>
  <c r="Q486" i="1" s="1"/>
  <c r="M498" i="1"/>
  <c r="Q498" i="1" s="1"/>
  <c r="M510" i="1"/>
  <c r="Q510" i="1" s="1"/>
  <c r="M522" i="1"/>
  <c r="Q522" i="1" s="1"/>
  <c r="M534" i="1"/>
  <c r="Q534" i="1" s="1"/>
  <c r="M546" i="1"/>
  <c r="Q546" i="1" s="1"/>
  <c r="Q552" i="1"/>
  <c r="M558" i="1"/>
  <c r="Q558" i="1" s="1"/>
  <c r="Q564" i="1"/>
  <c r="M570" i="1"/>
  <c r="Q570" i="1" s="1"/>
  <c r="Q576" i="1"/>
  <c r="M582" i="1"/>
  <c r="Q582" i="1" s="1"/>
  <c r="M594" i="1"/>
  <c r="Q594" i="1" s="1"/>
  <c r="M606" i="1"/>
  <c r="Q606" i="1" s="1"/>
  <c r="M618" i="1"/>
  <c r="Q618" i="1" s="1"/>
  <c r="M630" i="1"/>
  <c r="Q630" i="1" s="1"/>
  <c r="Q642" i="1"/>
  <c r="M642" i="1"/>
  <c r="M654" i="1"/>
  <c r="Q654" i="1" s="1"/>
  <c r="M666" i="1"/>
  <c r="Q666" i="1" s="1"/>
  <c r="M678" i="1"/>
  <c r="Q678" i="1" s="1"/>
  <c r="M690" i="1"/>
  <c r="Q690" i="1" s="1"/>
  <c r="Q696" i="1"/>
  <c r="M702" i="1"/>
  <c r="Q702" i="1" s="1"/>
  <c r="Q708" i="1"/>
  <c r="M714" i="1"/>
  <c r="Q714" i="1" s="1"/>
  <c r="Q720" i="1"/>
  <c r="M726" i="1"/>
  <c r="Q726" i="1" s="1"/>
  <c r="M738" i="1"/>
  <c r="Q738" i="1" s="1"/>
  <c r="M750" i="1"/>
  <c r="Q750" i="1" s="1"/>
  <c r="M762" i="1"/>
  <c r="Q762" i="1" s="1"/>
  <c r="M774" i="1"/>
  <c r="Q774" i="1" s="1"/>
  <c r="M786" i="1"/>
  <c r="Q786" i="1" s="1"/>
  <c r="M798" i="1"/>
  <c r="Q798" i="1" s="1"/>
  <c r="M810" i="1"/>
  <c r="Q810" i="1" s="1"/>
  <c r="M822" i="1"/>
  <c r="Q822" i="1" s="1"/>
  <c r="M834" i="1"/>
  <c r="Q834" i="1" s="1"/>
  <c r="Q840" i="1"/>
  <c r="M846" i="1"/>
  <c r="Q846" i="1" s="1"/>
  <c r="M828" i="1"/>
  <c r="Q828" i="1" s="1"/>
  <c r="M684" i="1"/>
  <c r="Q684" i="1" s="1"/>
  <c r="M540" i="1"/>
  <c r="Q540" i="1" s="1"/>
  <c r="M396" i="1"/>
  <c r="Q396" i="1" s="1"/>
  <c r="M252" i="1"/>
  <c r="Q252" i="1" s="1"/>
  <c r="M167" i="1"/>
  <c r="Q167" i="1" s="1"/>
  <c r="M209" i="1"/>
  <c r="Q209" i="1" s="1"/>
  <c r="M66" i="1"/>
  <c r="Q66" i="1" s="1"/>
  <c r="Q347" i="1"/>
  <c r="M347" i="1"/>
  <c r="M587" i="1"/>
  <c r="Q587" i="1" s="1"/>
  <c r="M169" i="1"/>
  <c r="Q169" i="1" s="1"/>
  <c r="M175" i="1"/>
  <c r="Q175" i="1" s="1"/>
  <c r="M181" i="1"/>
  <c r="Q181" i="1" s="1"/>
  <c r="M187" i="1"/>
  <c r="Q187" i="1" s="1"/>
  <c r="M193" i="1"/>
  <c r="Q193" i="1" s="1"/>
  <c r="M199" i="1"/>
  <c r="Q199" i="1" s="1"/>
  <c r="M205" i="1"/>
  <c r="Q205" i="1" s="1"/>
  <c r="M211" i="1"/>
  <c r="Q211" i="1" s="1"/>
  <c r="M816" i="1"/>
  <c r="Q816" i="1" s="1"/>
  <c r="M672" i="1"/>
  <c r="Q672" i="1" s="1"/>
  <c r="M528" i="1"/>
  <c r="Q528" i="1" s="1"/>
  <c r="M384" i="1"/>
  <c r="Q384" i="1" s="1"/>
  <c r="M240" i="1"/>
  <c r="Q240" i="1" s="1"/>
  <c r="M197" i="1"/>
  <c r="Q197" i="1" s="1"/>
  <c r="M329" i="1"/>
  <c r="Q329" i="1" s="1"/>
  <c r="M575" i="1"/>
  <c r="Q575" i="1" s="1"/>
  <c r="M162" i="1"/>
  <c r="Q162" i="1" s="1"/>
  <c r="M163" i="1"/>
  <c r="Q163" i="1" s="1"/>
  <c r="M2" i="1"/>
  <c r="Q2" i="1" s="1"/>
  <c r="M8" i="1"/>
  <c r="Q8" i="1" s="1"/>
  <c r="M14" i="1"/>
  <c r="Q14" i="1" s="1"/>
  <c r="M20" i="1"/>
  <c r="Q20" i="1" s="1"/>
  <c r="M26" i="1"/>
  <c r="Q26" i="1" s="1"/>
  <c r="M32" i="1"/>
  <c r="Q32" i="1" s="1"/>
  <c r="M38" i="1"/>
  <c r="Q38" i="1" s="1"/>
  <c r="M44" i="1"/>
  <c r="Q44" i="1" s="1"/>
  <c r="M50" i="1"/>
  <c r="Q50" i="1" s="1"/>
  <c r="M56" i="1"/>
  <c r="Q56" i="1" s="1"/>
  <c r="M62" i="1"/>
  <c r="Q62" i="1" s="1"/>
  <c r="M68" i="1"/>
  <c r="Q68" i="1" s="1"/>
  <c r="M74" i="1"/>
  <c r="Q74" i="1" s="1"/>
  <c r="M80" i="1"/>
  <c r="Q80" i="1" s="1"/>
  <c r="M86" i="1"/>
  <c r="Q86" i="1" s="1"/>
  <c r="M92" i="1"/>
  <c r="Q92" i="1" s="1"/>
  <c r="M98" i="1"/>
  <c r="Q98" i="1" s="1"/>
  <c r="M104" i="1"/>
  <c r="Q104" i="1" s="1"/>
  <c r="M110" i="1"/>
  <c r="Q110" i="1" s="1"/>
  <c r="M116" i="1"/>
  <c r="Q116" i="1" s="1"/>
  <c r="M122" i="1"/>
  <c r="Q122" i="1" s="1"/>
  <c r="M128" i="1"/>
  <c r="Q128" i="1" s="1"/>
  <c r="M134" i="1"/>
  <c r="Q134" i="1" s="1"/>
  <c r="M140" i="1"/>
  <c r="Q140" i="1" s="1"/>
  <c r="M146" i="1"/>
  <c r="Q146" i="1" s="1"/>
  <c r="M152" i="1"/>
  <c r="Q152" i="1" s="1"/>
  <c r="M158" i="1"/>
  <c r="Q158" i="1" s="1"/>
  <c r="M223" i="1"/>
  <c r="Q223" i="1" s="1"/>
  <c r="M229" i="1"/>
  <c r="Q229" i="1" s="1"/>
  <c r="M235" i="1"/>
  <c r="Q235" i="1" s="1"/>
  <c r="M241" i="1"/>
  <c r="Q241" i="1" s="1"/>
  <c r="M247" i="1"/>
  <c r="Q247" i="1" s="1"/>
  <c r="M253" i="1"/>
  <c r="Q253" i="1" s="1"/>
  <c r="M259" i="1"/>
  <c r="Q259" i="1" s="1"/>
  <c r="M265" i="1"/>
  <c r="Q265" i="1" s="1"/>
  <c r="M271" i="1"/>
  <c r="Q271" i="1" s="1"/>
  <c r="M277" i="1"/>
  <c r="Q277" i="1" s="1"/>
  <c r="M283" i="1"/>
  <c r="Q283" i="1" s="1"/>
  <c r="M289" i="1"/>
  <c r="Q289" i="1" s="1"/>
  <c r="M295" i="1"/>
  <c r="Q295" i="1" s="1"/>
  <c r="M301" i="1"/>
  <c r="Q301" i="1" s="1"/>
  <c r="M307" i="1"/>
  <c r="Q307" i="1" s="1"/>
  <c r="M313" i="1"/>
  <c r="Q313" i="1" s="1"/>
  <c r="M319" i="1"/>
  <c r="Q319" i="1" s="1"/>
  <c r="M325" i="1"/>
  <c r="Q325" i="1" s="1"/>
  <c r="M331" i="1"/>
  <c r="Q331" i="1" s="1"/>
  <c r="M337" i="1"/>
  <c r="Q337" i="1" s="1"/>
  <c r="M343" i="1"/>
  <c r="Q343" i="1" s="1"/>
  <c r="M349" i="1"/>
  <c r="Q349" i="1" s="1"/>
  <c r="M355" i="1"/>
  <c r="Q355" i="1" s="1"/>
  <c r="M361" i="1"/>
  <c r="Q361" i="1" s="1"/>
  <c r="M367" i="1"/>
  <c r="Q367" i="1" s="1"/>
  <c r="M373" i="1"/>
  <c r="Q373" i="1" s="1"/>
  <c r="M379" i="1"/>
  <c r="Q379" i="1" s="1"/>
  <c r="M385" i="1"/>
  <c r="Q385" i="1" s="1"/>
  <c r="M391" i="1"/>
  <c r="Q391" i="1" s="1"/>
  <c r="M397" i="1"/>
  <c r="Q397" i="1" s="1"/>
  <c r="M403" i="1"/>
  <c r="Q403" i="1" s="1"/>
  <c r="M409" i="1"/>
  <c r="Q409" i="1" s="1"/>
  <c r="M415" i="1"/>
  <c r="Q415" i="1" s="1"/>
  <c r="M421" i="1"/>
  <c r="Q421" i="1" s="1"/>
  <c r="M427" i="1"/>
  <c r="Q427" i="1" s="1"/>
  <c r="M433" i="1"/>
  <c r="Q433" i="1" s="1"/>
  <c r="M439" i="1"/>
  <c r="Q439" i="1" s="1"/>
  <c r="M445" i="1"/>
  <c r="Q445" i="1" s="1"/>
  <c r="M451" i="1"/>
  <c r="Q451" i="1" s="1"/>
  <c r="M457" i="1"/>
  <c r="Q457" i="1" s="1"/>
  <c r="M463" i="1"/>
  <c r="Q463" i="1" s="1"/>
  <c r="M469" i="1"/>
  <c r="Q469" i="1" s="1"/>
  <c r="M475" i="1"/>
  <c r="Q475" i="1" s="1"/>
  <c r="M481" i="1"/>
  <c r="Q481" i="1" s="1"/>
  <c r="M487" i="1"/>
  <c r="Q487" i="1" s="1"/>
  <c r="M493" i="1"/>
  <c r="Q493" i="1" s="1"/>
  <c r="M499" i="1"/>
  <c r="Q499" i="1" s="1"/>
  <c r="M505" i="1"/>
  <c r="Q505" i="1" s="1"/>
  <c r="M511" i="1"/>
  <c r="Q511" i="1" s="1"/>
  <c r="M517" i="1"/>
  <c r="Q517" i="1" s="1"/>
  <c r="M523" i="1"/>
  <c r="Q523" i="1" s="1"/>
  <c r="M529" i="1"/>
  <c r="Q529" i="1" s="1"/>
  <c r="M535" i="1"/>
  <c r="Q535" i="1" s="1"/>
  <c r="M541" i="1"/>
  <c r="Q541" i="1" s="1"/>
  <c r="M547" i="1"/>
  <c r="Q547" i="1" s="1"/>
  <c r="M553" i="1"/>
  <c r="Q553" i="1" s="1"/>
  <c r="M559" i="1"/>
  <c r="Q559" i="1" s="1"/>
  <c r="M565" i="1"/>
  <c r="Q565" i="1" s="1"/>
  <c r="M571" i="1"/>
  <c r="Q571" i="1" s="1"/>
  <c r="M577" i="1"/>
  <c r="Q577" i="1" s="1"/>
  <c r="M583" i="1"/>
  <c r="Q583" i="1" s="1"/>
  <c r="M589" i="1"/>
  <c r="Q589" i="1" s="1"/>
  <c r="M595" i="1"/>
  <c r="Q595" i="1" s="1"/>
  <c r="M601" i="1"/>
  <c r="Q601" i="1" s="1"/>
  <c r="M607" i="1"/>
  <c r="Q607" i="1" s="1"/>
  <c r="M613" i="1"/>
  <c r="Q613" i="1" s="1"/>
  <c r="M619" i="1"/>
  <c r="Q619" i="1" s="1"/>
  <c r="M625" i="1"/>
  <c r="Q625" i="1" s="1"/>
  <c r="M631" i="1"/>
  <c r="Q631" i="1" s="1"/>
  <c r="M637" i="1"/>
  <c r="Q637" i="1" s="1"/>
  <c r="M643" i="1"/>
  <c r="Q643" i="1" s="1"/>
  <c r="M649" i="1"/>
  <c r="Q649" i="1" s="1"/>
  <c r="M655" i="1"/>
  <c r="Q655" i="1" s="1"/>
  <c r="M661" i="1"/>
  <c r="Q661" i="1" s="1"/>
  <c r="M667" i="1"/>
  <c r="Q667" i="1" s="1"/>
  <c r="M673" i="1"/>
  <c r="Q673" i="1" s="1"/>
  <c r="M679" i="1"/>
  <c r="Q679" i="1" s="1"/>
  <c r="M685" i="1"/>
  <c r="Q685" i="1" s="1"/>
  <c r="M691" i="1"/>
  <c r="Q691" i="1" s="1"/>
  <c r="M697" i="1"/>
  <c r="Q697" i="1" s="1"/>
  <c r="M703" i="1"/>
  <c r="Q703" i="1" s="1"/>
  <c r="M709" i="1"/>
  <c r="Q709" i="1" s="1"/>
  <c r="M715" i="1"/>
  <c r="Q715" i="1" s="1"/>
  <c r="M721" i="1"/>
  <c r="Q721" i="1" s="1"/>
  <c r="M727" i="1"/>
  <c r="Q727" i="1" s="1"/>
  <c r="M733" i="1"/>
  <c r="Q733" i="1" s="1"/>
  <c r="M739" i="1"/>
  <c r="Q739" i="1" s="1"/>
  <c r="M745" i="1"/>
  <c r="Q745" i="1" s="1"/>
  <c r="M751" i="1"/>
  <c r="Q751" i="1" s="1"/>
  <c r="M757" i="1"/>
  <c r="Q757" i="1" s="1"/>
  <c r="M763" i="1"/>
  <c r="Q763" i="1" s="1"/>
  <c r="M769" i="1"/>
  <c r="Q769" i="1" s="1"/>
  <c r="M775" i="1"/>
  <c r="Q775" i="1" s="1"/>
  <c r="M781" i="1"/>
  <c r="Q781" i="1" s="1"/>
  <c r="M787" i="1"/>
  <c r="Q787" i="1" s="1"/>
  <c r="M793" i="1"/>
  <c r="Q793" i="1" s="1"/>
  <c r="M799" i="1"/>
  <c r="Q799" i="1" s="1"/>
  <c r="M805" i="1"/>
  <c r="Q805" i="1" s="1"/>
  <c r="M811" i="1"/>
  <c r="Q811" i="1" s="1"/>
  <c r="M817" i="1"/>
  <c r="Q817" i="1" s="1"/>
  <c r="M823" i="1"/>
  <c r="Q823" i="1" s="1"/>
  <c r="M829" i="1"/>
  <c r="Q829" i="1" s="1"/>
  <c r="M835" i="1"/>
  <c r="Q835" i="1" s="1"/>
  <c r="M841" i="1"/>
  <c r="Q841" i="1" s="1"/>
  <c r="M847" i="1"/>
  <c r="Q847" i="1" s="1"/>
  <c r="M804" i="1"/>
  <c r="Q804" i="1" s="1"/>
  <c r="M660" i="1"/>
  <c r="Q660" i="1" s="1"/>
  <c r="M516" i="1"/>
  <c r="Q516" i="1" s="1"/>
  <c r="M372" i="1"/>
  <c r="Q372" i="1" s="1"/>
  <c r="M228" i="1"/>
  <c r="Q228" i="1" s="1"/>
  <c r="Q96" i="1"/>
  <c r="M114" i="1"/>
  <c r="Q114" i="1" s="1"/>
  <c r="Q126" i="1"/>
  <c r="M126" i="1"/>
  <c r="M150" i="1"/>
  <c r="Q150" i="1" s="1"/>
  <c r="M245" i="1"/>
  <c r="Q245" i="1" s="1"/>
  <c r="M287" i="1"/>
  <c r="Q287" i="1" s="1"/>
  <c r="M323" i="1"/>
  <c r="Q323" i="1" s="1"/>
  <c r="Q377" i="1"/>
  <c r="M377" i="1"/>
  <c r="M413" i="1"/>
  <c r="Q413" i="1" s="1"/>
  <c r="M437" i="1"/>
  <c r="Q437" i="1" s="1"/>
  <c r="M467" i="1"/>
  <c r="Q467" i="1" s="1"/>
  <c r="M491" i="1"/>
  <c r="Q491" i="1" s="1"/>
  <c r="M503" i="1"/>
  <c r="Q503" i="1" s="1"/>
  <c r="M527" i="1"/>
  <c r="Q527" i="1" s="1"/>
  <c r="M545" i="1"/>
  <c r="Q545" i="1" s="1"/>
  <c r="M563" i="1"/>
  <c r="Q563" i="1" s="1"/>
  <c r="M581" i="1"/>
  <c r="Q581" i="1" s="1"/>
  <c r="M599" i="1"/>
  <c r="Q599" i="1" s="1"/>
  <c r="M617" i="1"/>
  <c r="Q617" i="1" s="1"/>
  <c r="M623" i="1"/>
  <c r="Q623" i="1" s="1"/>
  <c r="Q629" i="1"/>
  <c r="M629" i="1"/>
  <c r="M641" i="1"/>
  <c r="Q641" i="1" s="1"/>
  <c r="M665" i="1"/>
  <c r="Q665" i="1" s="1"/>
  <c r="M677" i="1"/>
  <c r="Q677" i="1" s="1"/>
  <c r="M683" i="1"/>
  <c r="Q683" i="1" s="1"/>
  <c r="M689" i="1"/>
  <c r="Q689" i="1" s="1"/>
  <c r="Q713" i="1"/>
  <c r="M713" i="1"/>
  <c r="M719" i="1"/>
  <c r="Q719" i="1" s="1"/>
  <c r="M731" i="1"/>
  <c r="Q731" i="1" s="1"/>
  <c r="M755" i="1"/>
  <c r="Q755" i="1" s="1"/>
  <c r="M761" i="1"/>
  <c r="Q761" i="1" s="1"/>
  <c r="M773" i="1"/>
  <c r="Q773" i="1" s="1"/>
  <c r="M785" i="1"/>
  <c r="Q785" i="1" s="1"/>
  <c r="M803" i="1"/>
  <c r="Q803" i="1" s="1"/>
  <c r="M821" i="1"/>
  <c r="Q821" i="1" s="1"/>
  <c r="M833" i="1"/>
  <c r="Q833" i="1" s="1"/>
  <c r="M851" i="1"/>
  <c r="Q851" i="1" s="1"/>
  <c r="Q863" i="1"/>
  <c r="M863" i="1"/>
  <c r="M875" i="1"/>
  <c r="Q875" i="1" s="1"/>
  <c r="M881" i="1"/>
  <c r="Q881" i="1" s="1"/>
  <c r="M893" i="1"/>
  <c r="Q893" i="1" s="1"/>
  <c r="M899" i="1"/>
  <c r="Q899" i="1" s="1"/>
  <c r="M188" i="1"/>
  <c r="Q188" i="1" s="1"/>
  <c r="M792" i="1"/>
  <c r="Q792" i="1" s="1"/>
  <c r="M648" i="1"/>
  <c r="Q648" i="1" s="1"/>
  <c r="M504" i="1"/>
  <c r="Q504" i="1" s="1"/>
  <c r="M360" i="1"/>
  <c r="Q360" i="1" s="1"/>
  <c r="M216" i="1"/>
  <c r="Q216" i="1" s="1"/>
  <c r="M78" i="1"/>
  <c r="Q78" i="1" s="1"/>
  <c r="Q120" i="1"/>
  <c r="M138" i="1"/>
  <c r="Q138" i="1" s="1"/>
  <c r="M227" i="1"/>
  <c r="Q227" i="1" s="1"/>
  <c r="M257" i="1"/>
  <c r="Q257" i="1" s="1"/>
  <c r="M293" i="1"/>
  <c r="Q293" i="1" s="1"/>
  <c r="M353" i="1"/>
  <c r="Q353" i="1" s="1"/>
  <c r="M395" i="1"/>
  <c r="Q395" i="1" s="1"/>
  <c r="M431" i="1"/>
  <c r="Q431" i="1" s="1"/>
  <c r="M473" i="1"/>
  <c r="Q473" i="1" s="1"/>
  <c r="M509" i="1"/>
  <c r="Q509" i="1" s="1"/>
  <c r="Q557" i="1"/>
  <c r="M557" i="1"/>
  <c r="M611" i="1"/>
  <c r="Q611" i="1" s="1"/>
  <c r="M653" i="1"/>
  <c r="Q653" i="1" s="1"/>
  <c r="M701" i="1"/>
  <c r="Q701" i="1" s="1"/>
  <c r="M743" i="1"/>
  <c r="Q743" i="1" s="1"/>
  <c r="M791" i="1"/>
  <c r="Q791" i="1" s="1"/>
  <c r="Q845" i="1"/>
  <c r="M845" i="1"/>
  <c r="M132" i="1"/>
  <c r="Q132" i="1" s="1"/>
  <c r="M170" i="1"/>
  <c r="Q170" i="1" s="1"/>
  <c r="M39" i="1"/>
  <c r="Q39" i="1" s="1"/>
  <c r="Q75" i="1"/>
  <c r="M75" i="1"/>
  <c r="M99" i="1"/>
  <c r="Q99" i="1" s="1"/>
  <c r="M111" i="1"/>
  <c r="Q111" i="1" s="1"/>
  <c r="M123" i="1"/>
  <c r="Q123" i="1" s="1"/>
  <c r="M129" i="1"/>
  <c r="Q129" i="1" s="1"/>
  <c r="M135" i="1"/>
  <c r="Q135" i="1" s="1"/>
  <c r="M147" i="1"/>
  <c r="Q147" i="1" s="1"/>
  <c r="M218" i="1"/>
  <c r="Q218" i="1" s="1"/>
  <c r="M224" i="1"/>
  <c r="Q224" i="1" s="1"/>
  <c r="M230" i="1"/>
  <c r="Q230" i="1" s="1"/>
  <c r="M236" i="1"/>
  <c r="Q236" i="1" s="1"/>
  <c r="M242" i="1"/>
  <c r="Q242" i="1" s="1"/>
  <c r="M248" i="1"/>
  <c r="Q248" i="1" s="1"/>
  <c r="Q254" i="1"/>
  <c r="M254" i="1"/>
  <c r="M260" i="1"/>
  <c r="Q260" i="1" s="1"/>
  <c r="M266" i="1"/>
  <c r="Q266" i="1" s="1"/>
  <c r="M272" i="1"/>
  <c r="Q272" i="1" s="1"/>
  <c r="M278" i="1"/>
  <c r="Q278" i="1" s="1"/>
  <c r="M284" i="1"/>
  <c r="Q284" i="1" s="1"/>
  <c r="M290" i="1"/>
  <c r="Q290" i="1" s="1"/>
  <c r="Q296" i="1"/>
  <c r="M296" i="1"/>
  <c r="M302" i="1"/>
  <c r="Q302" i="1" s="1"/>
  <c r="M308" i="1"/>
  <c r="Q308" i="1" s="1"/>
  <c r="M314" i="1"/>
  <c r="Q314" i="1" s="1"/>
  <c r="M320" i="1"/>
  <c r="Q320" i="1" s="1"/>
  <c r="M326" i="1"/>
  <c r="Q326" i="1" s="1"/>
  <c r="M332" i="1"/>
  <c r="Q332" i="1" s="1"/>
  <c r="M338" i="1"/>
  <c r="Q338" i="1" s="1"/>
  <c r="M344" i="1"/>
  <c r="Q344" i="1" s="1"/>
  <c r="M350" i="1"/>
  <c r="Q350" i="1" s="1"/>
  <c r="M356" i="1"/>
  <c r="Q356" i="1" s="1"/>
  <c r="M362" i="1"/>
  <c r="Q362" i="1" s="1"/>
  <c r="M368" i="1"/>
  <c r="Q368" i="1" s="1"/>
  <c r="M374" i="1"/>
  <c r="Q374" i="1" s="1"/>
  <c r="M380" i="1"/>
  <c r="Q380" i="1" s="1"/>
  <c r="M386" i="1"/>
  <c r="Q386" i="1" s="1"/>
  <c r="M392" i="1"/>
  <c r="Q392" i="1" s="1"/>
  <c r="M398" i="1"/>
  <c r="Q398" i="1" s="1"/>
  <c r="M404" i="1"/>
  <c r="Q404" i="1" s="1"/>
  <c r="M410" i="1"/>
  <c r="Q410" i="1" s="1"/>
  <c r="M416" i="1"/>
  <c r="Q416" i="1" s="1"/>
  <c r="M422" i="1"/>
  <c r="Q422" i="1" s="1"/>
  <c r="M428" i="1"/>
  <c r="Q428" i="1" s="1"/>
  <c r="M434" i="1"/>
  <c r="Q434" i="1" s="1"/>
  <c r="Q440" i="1"/>
  <c r="M440" i="1"/>
  <c r="M446" i="1"/>
  <c r="Q446" i="1" s="1"/>
  <c r="M452" i="1"/>
  <c r="Q452" i="1" s="1"/>
  <c r="M458" i="1"/>
  <c r="Q458" i="1" s="1"/>
  <c r="Q464" i="1"/>
  <c r="M464" i="1"/>
  <c r="M470" i="1"/>
  <c r="Q470" i="1" s="1"/>
  <c r="M476" i="1"/>
  <c r="Q476" i="1" s="1"/>
  <c r="M482" i="1"/>
  <c r="Q482" i="1" s="1"/>
  <c r="M488" i="1"/>
  <c r="Q488" i="1" s="1"/>
  <c r="M494" i="1"/>
  <c r="Q494" i="1" s="1"/>
  <c r="M500" i="1"/>
  <c r="Q500" i="1" s="1"/>
  <c r="M506" i="1"/>
  <c r="Q506" i="1" s="1"/>
  <c r="M512" i="1"/>
  <c r="Q512" i="1" s="1"/>
  <c r="M518" i="1"/>
  <c r="Q518" i="1" s="1"/>
  <c r="M524" i="1"/>
  <c r="Q524" i="1" s="1"/>
  <c r="M530" i="1"/>
  <c r="Q530" i="1" s="1"/>
  <c r="M536" i="1"/>
  <c r="Q536" i="1" s="1"/>
  <c r="Q542" i="1"/>
  <c r="M542" i="1"/>
  <c r="M548" i="1"/>
  <c r="Q548" i="1" s="1"/>
  <c r="M554" i="1"/>
  <c r="Q554" i="1" s="1"/>
  <c r="M560" i="1"/>
  <c r="Q560" i="1" s="1"/>
  <c r="M566" i="1"/>
  <c r="Q566" i="1" s="1"/>
  <c r="M572" i="1"/>
  <c r="Q572" i="1" s="1"/>
  <c r="M578" i="1"/>
  <c r="Q578" i="1" s="1"/>
  <c r="Q584" i="1"/>
  <c r="M584" i="1"/>
  <c r="M590" i="1"/>
  <c r="Q590" i="1" s="1"/>
  <c r="M596" i="1"/>
  <c r="Q596" i="1" s="1"/>
  <c r="M602" i="1"/>
  <c r="Q602" i="1" s="1"/>
  <c r="M608" i="1"/>
  <c r="Q608" i="1" s="1"/>
  <c r="M614" i="1"/>
  <c r="Q614" i="1" s="1"/>
  <c r="M620" i="1"/>
  <c r="Q620" i="1" s="1"/>
  <c r="M626" i="1"/>
  <c r="Q626" i="1" s="1"/>
  <c r="M632" i="1"/>
  <c r="Q632" i="1" s="1"/>
  <c r="M638" i="1"/>
  <c r="Q638" i="1" s="1"/>
  <c r="M644" i="1"/>
  <c r="Q644" i="1" s="1"/>
  <c r="M650" i="1"/>
  <c r="Q650" i="1" s="1"/>
  <c r="M656" i="1"/>
  <c r="Q656" i="1" s="1"/>
  <c r="M662" i="1"/>
  <c r="Q662" i="1" s="1"/>
  <c r="M668" i="1"/>
  <c r="Q668" i="1" s="1"/>
  <c r="M674" i="1"/>
  <c r="Q674" i="1" s="1"/>
  <c r="M680" i="1"/>
  <c r="Q680" i="1" s="1"/>
  <c r="M686" i="1"/>
  <c r="Q686" i="1" s="1"/>
  <c r="M692" i="1"/>
  <c r="Q692" i="1" s="1"/>
  <c r="M698" i="1"/>
  <c r="Q698" i="1" s="1"/>
  <c r="M704" i="1"/>
  <c r="Q704" i="1" s="1"/>
  <c r="M710" i="1"/>
  <c r="Q710" i="1" s="1"/>
  <c r="M716" i="1"/>
  <c r="Q716" i="1" s="1"/>
  <c r="M722" i="1"/>
  <c r="Q722" i="1" s="1"/>
  <c r="Q728" i="1"/>
  <c r="M728" i="1"/>
  <c r="M734" i="1"/>
  <c r="Q734" i="1" s="1"/>
  <c r="M740" i="1"/>
  <c r="Q740" i="1" s="1"/>
  <c r="M746" i="1"/>
  <c r="Q746" i="1" s="1"/>
  <c r="Q752" i="1"/>
  <c r="M752" i="1"/>
  <c r="M758" i="1"/>
  <c r="Q758" i="1" s="1"/>
  <c r="M764" i="1"/>
  <c r="Q764" i="1" s="1"/>
  <c r="M770" i="1"/>
  <c r="Q770" i="1" s="1"/>
  <c r="M776" i="1"/>
  <c r="Q776" i="1" s="1"/>
  <c r="M782" i="1"/>
  <c r="Q782" i="1" s="1"/>
  <c r="M788" i="1"/>
  <c r="Q788" i="1" s="1"/>
  <c r="M794" i="1"/>
  <c r="Q794" i="1" s="1"/>
  <c r="M800" i="1"/>
  <c r="Q800" i="1" s="1"/>
  <c r="M806" i="1"/>
  <c r="Q806" i="1" s="1"/>
  <c r="M812" i="1"/>
  <c r="Q812" i="1" s="1"/>
  <c r="M818" i="1"/>
  <c r="Q818" i="1" s="1"/>
  <c r="M824" i="1"/>
  <c r="Q824" i="1" s="1"/>
  <c r="Q830" i="1"/>
  <c r="M830" i="1"/>
  <c r="M836" i="1"/>
  <c r="Q836" i="1" s="1"/>
  <c r="M842" i="1"/>
  <c r="Q842" i="1" s="1"/>
  <c r="M848" i="1"/>
  <c r="Q848" i="1" s="1"/>
  <c r="M854" i="1"/>
  <c r="Q854" i="1" s="1"/>
  <c r="M780" i="1"/>
  <c r="Q780" i="1" s="1"/>
  <c r="M636" i="1"/>
  <c r="Q636" i="1" s="1"/>
  <c r="M492" i="1"/>
  <c r="Q492" i="1" s="1"/>
  <c r="M348" i="1"/>
  <c r="Q348" i="1" s="1"/>
  <c r="M204" i="1"/>
  <c r="Q204" i="1" s="1"/>
  <c r="M60" i="1"/>
  <c r="Q60" i="1" s="1"/>
  <c r="M173" i="1"/>
  <c r="Q173" i="1" s="1"/>
  <c r="M18" i="1"/>
  <c r="Q18" i="1" s="1"/>
  <c r="M54" i="1"/>
  <c r="Q54" i="1" s="1"/>
  <c r="Q221" i="1"/>
  <c r="M221" i="1"/>
  <c r="M263" i="1"/>
  <c r="Q263" i="1" s="1"/>
  <c r="M311" i="1"/>
  <c r="Q311" i="1" s="1"/>
  <c r="M383" i="1"/>
  <c r="Q383" i="1" s="1"/>
  <c r="M449" i="1"/>
  <c r="Q449" i="1" s="1"/>
  <c r="M551" i="1"/>
  <c r="Q551" i="1" s="1"/>
  <c r="M707" i="1"/>
  <c r="Q707" i="1" s="1"/>
  <c r="Q9" i="1"/>
  <c r="M9" i="1"/>
  <c r="M21" i="1"/>
  <c r="Q21" i="1" s="1"/>
  <c r="M33" i="1"/>
  <c r="Q33" i="1" s="1"/>
  <c r="M45" i="1"/>
  <c r="Q45" i="1" s="1"/>
  <c r="M57" i="1"/>
  <c r="Q57" i="1" s="1"/>
  <c r="M63" i="1"/>
  <c r="Q63" i="1" s="1"/>
  <c r="M81" i="1"/>
  <c r="Q81" i="1" s="1"/>
  <c r="M87" i="1"/>
  <c r="Q87" i="1" s="1"/>
  <c r="M105" i="1"/>
  <c r="Q105" i="1" s="1"/>
  <c r="M117" i="1"/>
  <c r="Q117" i="1" s="1"/>
  <c r="M153" i="1"/>
  <c r="Q153" i="1" s="1"/>
  <c r="M171" i="1"/>
  <c r="Q171" i="1" s="1"/>
  <c r="M177" i="1"/>
  <c r="Q177" i="1" s="1"/>
  <c r="M189" i="1"/>
  <c r="Q189" i="1" s="1"/>
  <c r="M195" i="1"/>
  <c r="Q195" i="1" s="1"/>
  <c r="M207" i="1"/>
  <c r="Q207" i="1" s="1"/>
  <c r="M213" i="1"/>
  <c r="Q213" i="1" s="1"/>
  <c r="M768" i="1"/>
  <c r="Q768" i="1" s="1"/>
  <c r="M624" i="1"/>
  <c r="Q624" i="1" s="1"/>
  <c r="M480" i="1"/>
  <c r="Q480" i="1" s="1"/>
  <c r="M336" i="1"/>
  <c r="Q336" i="1" s="1"/>
  <c r="M192" i="1"/>
  <c r="Q192" i="1" s="1"/>
  <c r="M48" i="1"/>
  <c r="Q48" i="1" s="1"/>
  <c r="Q72" i="1"/>
  <c r="M233" i="1"/>
  <c r="Q233" i="1" s="1"/>
  <c r="M251" i="1"/>
  <c r="Q251" i="1" s="1"/>
  <c r="M281" i="1"/>
  <c r="Q281" i="1" s="1"/>
  <c r="M305" i="1"/>
  <c r="Q305" i="1" s="1"/>
  <c r="M341" i="1"/>
  <c r="Q341" i="1" s="1"/>
  <c r="M359" i="1"/>
  <c r="Q359" i="1" s="1"/>
  <c r="M371" i="1"/>
  <c r="Q371" i="1" s="1"/>
  <c r="M389" i="1"/>
  <c r="Q389" i="1" s="1"/>
  <c r="M401" i="1"/>
  <c r="Q401" i="1" s="1"/>
  <c r="M425" i="1"/>
  <c r="Q425" i="1" s="1"/>
  <c r="M455" i="1"/>
  <c r="Q455" i="1" s="1"/>
  <c r="M479" i="1"/>
  <c r="Q479" i="1" s="1"/>
  <c r="M497" i="1"/>
  <c r="Q497" i="1" s="1"/>
  <c r="M521" i="1"/>
  <c r="Q521" i="1" s="1"/>
  <c r="M539" i="1"/>
  <c r="Q539" i="1" s="1"/>
  <c r="Q569" i="1"/>
  <c r="M569" i="1"/>
  <c r="M605" i="1"/>
  <c r="Q605" i="1" s="1"/>
  <c r="M635" i="1"/>
  <c r="Q635" i="1" s="1"/>
  <c r="M671" i="1"/>
  <c r="Q671" i="1" s="1"/>
  <c r="M695" i="1"/>
  <c r="Q695" i="1" s="1"/>
  <c r="M725" i="1"/>
  <c r="Q725" i="1" s="1"/>
  <c r="M749" i="1"/>
  <c r="Q749" i="1" s="1"/>
  <c r="M767" i="1"/>
  <c r="Q767" i="1" s="1"/>
  <c r="M779" i="1"/>
  <c r="Q779" i="1" s="1"/>
  <c r="M797" i="1"/>
  <c r="Q797" i="1" s="1"/>
  <c r="M809" i="1"/>
  <c r="Q809" i="1" s="1"/>
  <c r="M815" i="1"/>
  <c r="Q815" i="1" s="1"/>
  <c r="M827" i="1"/>
  <c r="Q827" i="1" s="1"/>
  <c r="M839" i="1"/>
  <c r="Q839" i="1" s="1"/>
  <c r="M857" i="1"/>
  <c r="Q857" i="1" s="1"/>
  <c r="M869" i="1"/>
  <c r="Q869" i="1" s="1"/>
  <c r="M887" i="1"/>
  <c r="Q887" i="1" s="1"/>
  <c r="M164" i="1"/>
  <c r="Q164" i="1" s="1"/>
  <c r="Q176" i="1"/>
  <c r="M176" i="1"/>
  <c r="M182" i="1"/>
  <c r="Q182" i="1" s="1"/>
  <c r="M194" i="1"/>
  <c r="Q194" i="1" s="1"/>
  <c r="M200" i="1"/>
  <c r="Q200" i="1" s="1"/>
  <c r="M206" i="1"/>
  <c r="Q206" i="1" s="1"/>
  <c r="M212" i="1"/>
  <c r="Q212" i="1" s="1"/>
  <c r="Q3" i="1"/>
  <c r="M3" i="1"/>
  <c r="M15" i="1"/>
  <c r="Q15" i="1" s="1"/>
  <c r="M27" i="1"/>
  <c r="Q27" i="1" s="1"/>
  <c r="M51" i="1"/>
  <c r="Q51" i="1" s="1"/>
  <c r="M69" i="1"/>
  <c r="Q69" i="1" s="1"/>
  <c r="Q93" i="1"/>
  <c r="M93" i="1"/>
  <c r="M141" i="1"/>
  <c r="Q141" i="1" s="1"/>
  <c r="M165" i="1"/>
  <c r="Q165" i="1" s="1"/>
  <c r="M183" i="1"/>
  <c r="Q183" i="1" s="1"/>
  <c r="M201" i="1"/>
  <c r="Q201" i="1" s="1"/>
  <c r="M4" i="1"/>
  <c r="Q4" i="1" s="1"/>
  <c r="M10" i="1"/>
  <c r="Q10" i="1" s="1"/>
  <c r="M16" i="1"/>
  <c r="Q16" i="1" s="1"/>
  <c r="M22" i="1"/>
  <c r="Q22" i="1" s="1"/>
  <c r="M28" i="1"/>
  <c r="Q28" i="1" s="1"/>
  <c r="M34" i="1"/>
  <c r="Q34" i="1" s="1"/>
  <c r="M40" i="1"/>
  <c r="Q40" i="1" s="1"/>
  <c r="M46" i="1"/>
  <c r="Q46" i="1" s="1"/>
  <c r="M52" i="1"/>
  <c r="Q52" i="1" s="1"/>
  <c r="M58" i="1"/>
  <c r="Q58" i="1" s="1"/>
  <c r="M64" i="1"/>
  <c r="Q64" i="1" s="1"/>
  <c r="M70" i="1"/>
  <c r="Q70" i="1" s="1"/>
  <c r="M76" i="1"/>
  <c r="Q76" i="1" s="1"/>
  <c r="M82" i="1"/>
  <c r="Q82" i="1" s="1"/>
  <c r="Q88" i="1"/>
  <c r="M88" i="1"/>
  <c r="M94" i="1"/>
  <c r="Q94" i="1" s="1"/>
  <c r="M100" i="1"/>
  <c r="Q100" i="1" s="1"/>
  <c r="M106" i="1"/>
  <c r="Q106" i="1" s="1"/>
  <c r="M112" i="1"/>
  <c r="Q112" i="1" s="1"/>
  <c r="M118" i="1"/>
  <c r="Q118" i="1" s="1"/>
  <c r="M124" i="1"/>
  <c r="Q124" i="1" s="1"/>
  <c r="M130" i="1"/>
  <c r="Q130" i="1" s="1"/>
  <c r="M136" i="1"/>
  <c r="Q136" i="1" s="1"/>
  <c r="M142" i="1"/>
  <c r="Q142" i="1" s="1"/>
  <c r="M148" i="1"/>
  <c r="Q148" i="1" s="1"/>
  <c r="M154" i="1"/>
  <c r="Q154" i="1" s="1"/>
  <c r="Q219" i="1"/>
  <c r="M219" i="1"/>
  <c r="M225" i="1"/>
  <c r="Q225" i="1" s="1"/>
  <c r="M231" i="1"/>
  <c r="Q231" i="1" s="1"/>
  <c r="M237" i="1"/>
  <c r="Q237" i="1" s="1"/>
  <c r="M243" i="1"/>
  <c r="Q243" i="1" s="1"/>
  <c r="M249" i="1"/>
  <c r="Q249" i="1" s="1"/>
  <c r="Q255" i="1"/>
  <c r="M255" i="1"/>
  <c r="M261" i="1"/>
  <c r="Q261" i="1" s="1"/>
  <c r="M267" i="1"/>
  <c r="Q267" i="1" s="1"/>
  <c r="M273" i="1"/>
  <c r="Q273" i="1" s="1"/>
  <c r="M279" i="1"/>
  <c r="Q279" i="1" s="1"/>
  <c r="M285" i="1"/>
  <c r="Q285" i="1" s="1"/>
  <c r="Q291" i="1"/>
  <c r="M291" i="1"/>
  <c r="M297" i="1"/>
  <c r="Q297" i="1" s="1"/>
  <c r="M303" i="1"/>
  <c r="Q303" i="1" s="1"/>
  <c r="M309" i="1"/>
  <c r="Q309" i="1" s="1"/>
  <c r="M315" i="1"/>
  <c r="Q315" i="1" s="1"/>
  <c r="M321" i="1"/>
  <c r="Q321" i="1" s="1"/>
  <c r="M327" i="1"/>
  <c r="Q327" i="1" s="1"/>
  <c r="Q333" i="1"/>
  <c r="M333" i="1"/>
  <c r="M339" i="1"/>
  <c r="Q339" i="1" s="1"/>
  <c r="M345" i="1"/>
  <c r="Q345" i="1" s="1"/>
  <c r="M351" i="1"/>
  <c r="Q351" i="1" s="1"/>
  <c r="M357" i="1"/>
  <c r="Q357" i="1" s="1"/>
  <c r="M363" i="1"/>
  <c r="Q363" i="1" s="1"/>
  <c r="M369" i="1"/>
  <c r="Q369" i="1" s="1"/>
  <c r="Q375" i="1"/>
  <c r="M375" i="1"/>
  <c r="M381" i="1"/>
  <c r="Q381" i="1" s="1"/>
  <c r="M387" i="1"/>
  <c r="Q387" i="1" s="1"/>
  <c r="M393" i="1"/>
  <c r="Q393" i="1" s="1"/>
  <c r="Q399" i="1"/>
  <c r="M399" i="1"/>
  <c r="M405" i="1"/>
  <c r="Q405" i="1" s="1"/>
  <c r="M411" i="1"/>
  <c r="Q411" i="1" s="1"/>
  <c r="M417" i="1"/>
  <c r="Q417" i="1" s="1"/>
  <c r="M423" i="1"/>
  <c r="Q423" i="1" s="1"/>
  <c r="Q429" i="1"/>
  <c r="M429" i="1"/>
  <c r="M435" i="1"/>
  <c r="Q435" i="1" s="1"/>
  <c r="Q441" i="1"/>
  <c r="M441" i="1"/>
  <c r="M447" i="1"/>
  <c r="Q447" i="1" s="1"/>
  <c r="M453" i="1"/>
  <c r="Q453" i="1" s="1"/>
  <c r="M459" i="1"/>
  <c r="Q459" i="1" s="1"/>
  <c r="M465" i="1"/>
  <c r="Q465" i="1" s="1"/>
  <c r="M471" i="1"/>
  <c r="Q471" i="1" s="1"/>
  <c r="M477" i="1"/>
  <c r="Q477" i="1" s="1"/>
  <c r="Q483" i="1"/>
  <c r="M483" i="1"/>
  <c r="M489" i="1"/>
  <c r="Q489" i="1" s="1"/>
  <c r="M495" i="1"/>
  <c r="Q495" i="1" s="1"/>
  <c r="M501" i="1"/>
  <c r="Q501" i="1" s="1"/>
  <c r="Q507" i="1"/>
  <c r="M507" i="1"/>
  <c r="M513" i="1"/>
  <c r="Q513" i="1" s="1"/>
  <c r="M519" i="1"/>
  <c r="Q519" i="1" s="1"/>
  <c r="M525" i="1"/>
  <c r="Q525" i="1" s="1"/>
  <c r="M531" i="1"/>
  <c r="Q531" i="1" s="1"/>
  <c r="M537" i="1"/>
  <c r="Q537" i="1" s="1"/>
  <c r="M543" i="1"/>
  <c r="Q543" i="1" s="1"/>
  <c r="Q549" i="1"/>
  <c r="M549" i="1"/>
  <c r="M555" i="1"/>
  <c r="Q555" i="1" s="1"/>
  <c r="M561" i="1"/>
  <c r="Q561" i="1" s="1"/>
  <c r="M567" i="1"/>
  <c r="Q567" i="1" s="1"/>
  <c r="M573" i="1"/>
  <c r="Q573" i="1" s="1"/>
  <c r="M579" i="1"/>
  <c r="Q579" i="1" s="1"/>
  <c r="M585" i="1"/>
  <c r="Q585" i="1" s="1"/>
  <c r="Q591" i="1"/>
  <c r="M591" i="1"/>
  <c r="M597" i="1"/>
  <c r="Q597" i="1" s="1"/>
  <c r="M603" i="1"/>
  <c r="Q603" i="1" s="1"/>
  <c r="M609" i="1"/>
  <c r="Q609" i="1" s="1"/>
  <c r="Q615" i="1"/>
  <c r="M615" i="1"/>
  <c r="M621" i="1"/>
  <c r="Q621" i="1" s="1"/>
  <c r="M627" i="1"/>
  <c r="Q627" i="1" s="1"/>
  <c r="M633" i="1"/>
  <c r="Q633" i="1" s="1"/>
  <c r="M639" i="1"/>
  <c r="Q639" i="1" s="1"/>
  <c r="M645" i="1"/>
  <c r="Q645" i="1" s="1"/>
  <c r="M651" i="1"/>
  <c r="Q651" i="1" s="1"/>
  <c r="M657" i="1"/>
  <c r="Q657" i="1" s="1"/>
  <c r="M663" i="1"/>
  <c r="Q663" i="1" s="1"/>
  <c r="M669" i="1"/>
  <c r="Q669" i="1" s="1"/>
  <c r="M675" i="1"/>
  <c r="Q675" i="1" s="1"/>
  <c r="M681" i="1"/>
  <c r="Q681" i="1" s="1"/>
  <c r="M687" i="1"/>
  <c r="Q687" i="1" s="1"/>
  <c r="M693" i="1"/>
  <c r="Q693" i="1" s="1"/>
  <c r="Q699" i="1"/>
  <c r="M699" i="1"/>
  <c r="M705" i="1"/>
  <c r="Q705" i="1" s="1"/>
  <c r="M711" i="1"/>
  <c r="Q711" i="1" s="1"/>
  <c r="M717" i="1"/>
  <c r="Q717" i="1" s="1"/>
  <c r="Q723" i="1"/>
  <c r="M723" i="1"/>
  <c r="M729" i="1"/>
  <c r="Q729" i="1" s="1"/>
  <c r="M735" i="1"/>
  <c r="Q735" i="1" s="1"/>
  <c r="M741" i="1"/>
  <c r="Q741" i="1" s="1"/>
  <c r="M747" i="1"/>
  <c r="Q747" i="1" s="1"/>
  <c r="M753" i="1"/>
  <c r="Q753" i="1" s="1"/>
  <c r="M759" i="1"/>
  <c r="Q759" i="1" s="1"/>
  <c r="Q765" i="1"/>
  <c r="M765" i="1"/>
  <c r="M771" i="1"/>
  <c r="Q771" i="1" s="1"/>
  <c r="M777" i="1"/>
  <c r="Q777" i="1" s="1"/>
  <c r="M783" i="1"/>
  <c r="Q783" i="1" s="1"/>
  <c r="M789" i="1"/>
  <c r="Q789" i="1" s="1"/>
  <c r="M795" i="1"/>
  <c r="Q795" i="1" s="1"/>
  <c r="M801" i="1"/>
  <c r="Q801" i="1" s="1"/>
  <c r="M807" i="1"/>
  <c r="Q807" i="1" s="1"/>
  <c r="M813" i="1"/>
  <c r="Q813" i="1" s="1"/>
  <c r="M819" i="1"/>
  <c r="Q819" i="1" s="1"/>
  <c r="M825" i="1"/>
  <c r="Q825" i="1" s="1"/>
  <c r="M831" i="1"/>
  <c r="Q831" i="1" s="1"/>
  <c r="M837" i="1"/>
  <c r="Q837" i="1" s="1"/>
  <c r="M843" i="1"/>
  <c r="Q843" i="1" s="1"/>
  <c r="M756" i="1"/>
  <c r="Q756" i="1" s="1"/>
  <c r="M612" i="1"/>
  <c r="Q612" i="1" s="1"/>
  <c r="M468" i="1"/>
  <c r="Q468" i="1" s="1"/>
  <c r="M324" i="1"/>
  <c r="Q324" i="1" s="1"/>
  <c r="M180" i="1"/>
  <c r="Q180" i="1" s="1"/>
  <c r="M36" i="1"/>
  <c r="Q36" i="1" s="1"/>
  <c r="Q84" i="1"/>
  <c r="M299" i="1"/>
  <c r="Q299" i="1" s="1"/>
  <c r="M166" i="1"/>
  <c r="Q166" i="1" s="1"/>
  <c r="M172" i="1"/>
  <c r="Q172" i="1" s="1"/>
  <c r="Q178" i="1"/>
  <c r="M178" i="1"/>
  <c r="M184" i="1"/>
  <c r="Q184" i="1" s="1"/>
  <c r="M190" i="1"/>
  <c r="Q190" i="1" s="1"/>
  <c r="M196" i="1"/>
  <c r="Q196" i="1" s="1"/>
  <c r="M202" i="1"/>
  <c r="Q202" i="1" s="1"/>
  <c r="M208" i="1"/>
  <c r="Q208" i="1" s="1"/>
  <c r="Q214" i="1"/>
  <c r="M214" i="1"/>
  <c r="M744" i="1"/>
  <c r="Q744" i="1" s="1"/>
  <c r="M600" i="1"/>
  <c r="Q600" i="1" s="1"/>
  <c r="M456" i="1"/>
  <c r="Q456" i="1" s="1"/>
  <c r="M312" i="1"/>
  <c r="Q312" i="1" s="1"/>
  <c r="M168" i="1"/>
  <c r="Q168" i="1" s="1"/>
  <c r="M24" i="1"/>
  <c r="Q24" i="1" s="1"/>
  <c r="M179" i="1"/>
  <c r="Q179" i="1" s="1"/>
  <c r="M6" i="1"/>
  <c r="Q6" i="1" s="1"/>
  <c r="M42" i="1"/>
  <c r="Q42" i="1" s="1"/>
  <c r="Q108" i="1"/>
  <c r="Q144" i="1"/>
  <c r="M269" i="1"/>
  <c r="Q269" i="1" s="1"/>
  <c r="M335" i="1"/>
  <c r="Q335" i="1" s="1"/>
  <c r="Q419" i="1"/>
  <c r="M419" i="1"/>
  <c r="M515" i="1"/>
  <c r="Q515" i="1" s="1"/>
  <c r="M659" i="1"/>
  <c r="Q659" i="1" s="1"/>
  <c r="M160" i="1"/>
  <c r="Q160" i="1" s="1"/>
  <c r="M5" i="1"/>
  <c r="Q5" i="1" s="1"/>
  <c r="M11" i="1"/>
  <c r="Q11" i="1" s="1"/>
  <c r="M17" i="1"/>
  <c r="Q17" i="1" s="1"/>
  <c r="M23" i="1"/>
  <c r="Q23" i="1" s="1"/>
  <c r="M29" i="1"/>
  <c r="Q29" i="1" s="1"/>
  <c r="M35" i="1"/>
  <c r="Q35" i="1" s="1"/>
  <c r="M41" i="1"/>
  <c r="Q41" i="1" s="1"/>
  <c r="M47" i="1"/>
  <c r="Q47" i="1" s="1"/>
  <c r="M53" i="1"/>
  <c r="Q53" i="1" s="1"/>
  <c r="M59" i="1"/>
  <c r="Q59" i="1" s="1"/>
  <c r="M65" i="1"/>
  <c r="Q65" i="1" s="1"/>
  <c r="M71" i="1"/>
  <c r="Q71" i="1" s="1"/>
  <c r="M77" i="1"/>
  <c r="Q77" i="1" s="1"/>
  <c r="M83" i="1"/>
  <c r="Q83" i="1" s="1"/>
  <c r="M89" i="1"/>
  <c r="Q89" i="1" s="1"/>
  <c r="M95" i="1"/>
  <c r="Q95" i="1" s="1"/>
  <c r="M101" i="1"/>
  <c r="Q101" i="1" s="1"/>
  <c r="M107" i="1"/>
  <c r="Q107" i="1" s="1"/>
  <c r="M113" i="1"/>
  <c r="Q113" i="1" s="1"/>
  <c r="M119" i="1"/>
  <c r="Q119" i="1" s="1"/>
  <c r="M125" i="1"/>
  <c r="Q125" i="1" s="1"/>
  <c r="M131" i="1"/>
  <c r="Q131" i="1" s="1"/>
  <c r="Q137" i="1"/>
  <c r="M137" i="1"/>
  <c r="M143" i="1"/>
  <c r="Q143" i="1" s="1"/>
  <c r="M149" i="1"/>
  <c r="Q149" i="1" s="1"/>
  <c r="M155" i="1"/>
  <c r="Q155" i="1" s="1"/>
  <c r="M220" i="1"/>
  <c r="Q220" i="1" s="1"/>
  <c r="M226" i="1"/>
  <c r="Q226" i="1" s="1"/>
  <c r="M232" i="1"/>
  <c r="Q232" i="1" s="1"/>
  <c r="M238" i="1"/>
  <c r="Q238" i="1" s="1"/>
  <c r="M244" i="1"/>
  <c r="Q244" i="1" s="1"/>
  <c r="M250" i="1"/>
  <c r="Q250" i="1" s="1"/>
  <c r="Q256" i="1"/>
  <c r="M256" i="1"/>
  <c r="M262" i="1"/>
  <c r="Q262" i="1" s="1"/>
  <c r="Q268" i="1"/>
  <c r="M268" i="1"/>
  <c r="M274" i="1"/>
  <c r="Q274" i="1" s="1"/>
  <c r="M280" i="1"/>
  <c r="Q280" i="1" s="1"/>
  <c r="M286" i="1"/>
  <c r="Q286" i="1" s="1"/>
  <c r="M292" i="1"/>
  <c r="Q292" i="1" s="1"/>
  <c r="M298" i="1"/>
  <c r="Q298" i="1" s="1"/>
  <c r="M304" i="1"/>
  <c r="Q304" i="1" s="1"/>
  <c r="M310" i="1"/>
  <c r="Q310" i="1" s="1"/>
  <c r="M316" i="1"/>
  <c r="Q316" i="1" s="1"/>
  <c r="M322" i="1"/>
  <c r="Q322" i="1" s="1"/>
  <c r="M328" i="1"/>
  <c r="Q328" i="1" s="1"/>
  <c r="M334" i="1"/>
  <c r="Q334" i="1" s="1"/>
  <c r="M340" i="1"/>
  <c r="Q340" i="1" s="1"/>
  <c r="M346" i="1"/>
  <c r="Q346" i="1" s="1"/>
  <c r="M352" i="1"/>
  <c r="Q352" i="1" s="1"/>
  <c r="M358" i="1"/>
  <c r="Q358" i="1" s="1"/>
  <c r="M364" i="1"/>
  <c r="Q364" i="1" s="1"/>
  <c r="M370" i="1"/>
  <c r="Q370" i="1" s="1"/>
  <c r="Q376" i="1"/>
  <c r="M376" i="1"/>
  <c r="M382" i="1"/>
  <c r="Q382" i="1" s="1"/>
  <c r="M388" i="1"/>
  <c r="Q388" i="1" s="1"/>
  <c r="M394" i="1"/>
  <c r="Q394" i="1" s="1"/>
  <c r="M400" i="1"/>
  <c r="Q400" i="1" s="1"/>
  <c r="M406" i="1"/>
  <c r="Q406" i="1" s="1"/>
  <c r="M412" i="1"/>
  <c r="Q412" i="1" s="1"/>
  <c r="M418" i="1"/>
  <c r="Q418" i="1" s="1"/>
  <c r="M424" i="1"/>
  <c r="Q424" i="1" s="1"/>
  <c r="M430" i="1"/>
  <c r="Q430" i="1" s="1"/>
  <c r="M436" i="1"/>
  <c r="Q436" i="1" s="1"/>
  <c r="M442" i="1"/>
  <c r="Q442" i="1" s="1"/>
  <c r="Q448" i="1"/>
  <c r="M448" i="1"/>
  <c r="M454" i="1"/>
  <c r="Q454" i="1" s="1"/>
  <c r="M460" i="1"/>
  <c r="Q460" i="1" s="1"/>
  <c r="M466" i="1"/>
  <c r="Q466" i="1" s="1"/>
  <c r="M472" i="1"/>
  <c r="Q472" i="1" s="1"/>
  <c r="M478" i="1"/>
  <c r="Q478" i="1" s="1"/>
  <c r="Q484" i="1"/>
  <c r="M484" i="1"/>
  <c r="M490" i="1"/>
  <c r="Q490" i="1" s="1"/>
  <c r="M496" i="1"/>
  <c r="Q496" i="1" s="1"/>
  <c r="M502" i="1"/>
  <c r="Q502" i="1" s="1"/>
  <c r="M508" i="1"/>
  <c r="Q508" i="1" s="1"/>
  <c r="M514" i="1"/>
  <c r="Q514" i="1" s="1"/>
  <c r="Q520" i="1"/>
  <c r="M520" i="1"/>
  <c r="M526" i="1"/>
  <c r="Q526" i="1" s="1"/>
  <c r="M532" i="1"/>
  <c r="Q532" i="1" s="1"/>
  <c r="M538" i="1"/>
  <c r="Q538" i="1" s="1"/>
  <c r="M544" i="1"/>
  <c r="Q544" i="1" s="1"/>
  <c r="M550" i="1"/>
  <c r="Q550" i="1" s="1"/>
  <c r="Q556" i="1"/>
  <c r="M556" i="1"/>
  <c r="M562" i="1"/>
  <c r="Q562" i="1" s="1"/>
  <c r="M568" i="1"/>
  <c r="Q568" i="1" s="1"/>
  <c r="M574" i="1"/>
  <c r="Q574" i="1" s="1"/>
  <c r="Q580" i="1"/>
  <c r="M580" i="1"/>
  <c r="M586" i="1"/>
  <c r="Q586" i="1" s="1"/>
  <c r="M592" i="1"/>
  <c r="Q592" i="1" s="1"/>
  <c r="M598" i="1"/>
  <c r="Q598" i="1" s="1"/>
  <c r="M604" i="1"/>
  <c r="Q604" i="1" s="1"/>
  <c r="M610" i="1"/>
  <c r="Q610" i="1" s="1"/>
  <c r="M616" i="1"/>
  <c r="Q616" i="1" s="1"/>
  <c r="M622" i="1"/>
  <c r="Q622" i="1" s="1"/>
  <c r="Q628" i="1"/>
  <c r="M628" i="1"/>
  <c r="M634" i="1"/>
  <c r="Q634" i="1" s="1"/>
  <c r="M640" i="1"/>
  <c r="Q640" i="1" s="1"/>
  <c r="M646" i="1"/>
  <c r="Q646" i="1" s="1"/>
  <c r="M652" i="1"/>
  <c r="Q652" i="1" s="1"/>
  <c r="M658" i="1"/>
  <c r="Q658" i="1" s="1"/>
  <c r="Q664" i="1"/>
  <c r="M664" i="1"/>
  <c r="M670" i="1"/>
  <c r="Q670" i="1" s="1"/>
  <c r="M676" i="1"/>
  <c r="Q676" i="1" s="1"/>
  <c r="M682" i="1"/>
  <c r="Q682" i="1" s="1"/>
  <c r="Q688" i="1"/>
  <c r="M688" i="1"/>
  <c r="M694" i="1"/>
  <c r="Q694" i="1" s="1"/>
  <c r="Q700" i="1"/>
  <c r="M700" i="1"/>
  <c r="M706" i="1"/>
  <c r="Q706" i="1" s="1"/>
  <c r="M712" i="1"/>
  <c r="Q712" i="1" s="1"/>
  <c r="M718" i="1"/>
  <c r="Q718" i="1" s="1"/>
  <c r="M724" i="1"/>
  <c r="Q724" i="1" s="1"/>
  <c r="M730" i="1"/>
  <c r="Q730" i="1" s="1"/>
  <c r="M736" i="1"/>
  <c r="Q736" i="1" s="1"/>
  <c r="M742" i="1"/>
  <c r="Q742" i="1" s="1"/>
  <c r="M748" i="1"/>
  <c r="Q748" i="1" s="1"/>
  <c r="M754" i="1"/>
  <c r="Q754" i="1" s="1"/>
  <c r="M760" i="1"/>
  <c r="Q760" i="1" s="1"/>
  <c r="M766" i="1"/>
  <c r="Q766" i="1" s="1"/>
  <c r="M772" i="1"/>
  <c r="Q772" i="1" s="1"/>
  <c r="M778" i="1"/>
  <c r="Q778" i="1" s="1"/>
  <c r="M784" i="1"/>
  <c r="Q784" i="1" s="1"/>
  <c r="M790" i="1"/>
  <c r="Q790" i="1" s="1"/>
  <c r="M796" i="1"/>
  <c r="Q796" i="1" s="1"/>
  <c r="M802" i="1"/>
  <c r="Q802" i="1" s="1"/>
  <c r="M808" i="1"/>
  <c r="Q808" i="1" s="1"/>
  <c r="M814" i="1"/>
  <c r="Q814" i="1" s="1"/>
  <c r="M820" i="1"/>
  <c r="Q820" i="1" s="1"/>
  <c r="M826" i="1"/>
  <c r="Q826" i="1" s="1"/>
  <c r="M832" i="1"/>
  <c r="Q832" i="1" s="1"/>
  <c r="M838" i="1"/>
  <c r="Q838" i="1" s="1"/>
  <c r="Q844" i="1"/>
  <c r="M844" i="1"/>
  <c r="M850" i="1"/>
  <c r="Q850" i="1" s="1"/>
  <c r="M856" i="1"/>
  <c r="Q856" i="1" s="1"/>
  <c r="M862" i="1"/>
  <c r="Q862" i="1" s="1"/>
  <c r="M868" i="1"/>
  <c r="Q868" i="1" s="1"/>
  <c r="M874" i="1"/>
  <c r="Q874" i="1" s="1"/>
  <c r="Q880" i="1"/>
  <c r="M880" i="1"/>
  <c r="M886" i="1"/>
  <c r="Q886" i="1" s="1"/>
  <c r="M892" i="1"/>
  <c r="Q892" i="1" s="1"/>
  <c r="M898" i="1"/>
  <c r="Q898" i="1" s="1"/>
  <c r="M732" i="1"/>
  <c r="Q732" i="1" s="1"/>
  <c r="M588" i="1"/>
  <c r="Q588" i="1" s="1"/>
  <c r="M444" i="1"/>
  <c r="Q444" i="1" s="1"/>
  <c r="M300" i="1"/>
  <c r="Q300" i="1" s="1"/>
  <c r="M156" i="1"/>
  <c r="Q156" i="1" s="1"/>
  <c r="M12" i="1"/>
  <c r="Q12" i="1" s="1"/>
  <c r="Q852" i="1"/>
  <c r="Q864" i="1"/>
  <c r="Q870" i="1"/>
  <c r="Q876" i="1"/>
  <c r="Q882" i="1"/>
  <c r="Q888" i="1"/>
  <c r="Q900" i="1"/>
  <c r="Q853" i="1"/>
  <c r="Q865" i="1"/>
  <c r="Q877" i="1"/>
  <c r="Q901" i="1"/>
  <c r="M883" i="1"/>
  <c r="Q883" i="1" s="1"/>
  <c r="M871" i="1"/>
  <c r="Q871" i="1" s="1"/>
  <c r="M859" i="1"/>
  <c r="Q859" i="1" s="1"/>
  <c r="Q860" i="1"/>
  <c r="Q872" i="1"/>
  <c r="Q884" i="1"/>
  <c r="Q890" i="1"/>
  <c r="Q896" i="1"/>
  <c r="Q902" i="1"/>
  <c r="M895" i="1"/>
  <c r="Q895" i="1" s="1"/>
  <c r="M882" i="1"/>
  <c r="M870" i="1"/>
  <c r="M858" i="1"/>
  <c r="Q858" i="1" s="1"/>
  <c r="M906" i="1"/>
  <c r="Q906" i="1" s="1"/>
  <c r="M894" i="1"/>
  <c r="Q894" i="1" s="1"/>
  <c r="Q849" i="1"/>
  <c r="Q861" i="1"/>
  <c r="Q873" i="1"/>
  <c r="Q885" i="1"/>
  <c r="Q897" i="1"/>
  <c r="Q909" i="1"/>
  <c r="M879" i="1"/>
  <c r="Q879" i="1" s="1"/>
  <c r="M867" i="1"/>
  <c r="Q867" i="1" s="1"/>
  <c r="M855" i="1"/>
  <c r="Q855" i="1" s="1"/>
  <c r="M891" i="1"/>
  <c r="Q891" i="1" s="1"/>
  <c r="M878" i="1"/>
  <c r="Q878" i="1" s="1"/>
  <c r="M866" i="1"/>
  <c r="Q866" i="1" s="1"/>
  <c r="Q159" i="1"/>
  <c r="Q217" i="1"/>
</calcChain>
</file>

<file path=xl/sharedStrings.xml><?xml version="1.0" encoding="utf-8"?>
<sst xmlns="http://schemas.openxmlformats.org/spreadsheetml/2006/main" count="7565" uniqueCount="1095">
  <si>
    <t>Sl No</t>
  </si>
  <si>
    <t>Supplier/Sender Name</t>
  </si>
  <si>
    <t>Description Of Material</t>
  </si>
  <si>
    <t>UOM</t>
  </si>
  <si>
    <t>Purchase Order</t>
  </si>
  <si>
    <t>Unit Rate</t>
  </si>
  <si>
    <t>Type of Receipt</t>
  </si>
  <si>
    <t xml:space="preserve">Remarks </t>
  </si>
  <si>
    <t>GRN No.</t>
  </si>
  <si>
    <t>GRN Date</t>
  </si>
  <si>
    <t>CGST</t>
  </si>
  <si>
    <t>SGST</t>
  </si>
  <si>
    <t>Frieght</t>
  </si>
  <si>
    <t>Vehicle No.</t>
  </si>
  <si>
    <t>RAM STEEL, FANCY &amp; GIFTS STORE</t>
  </si>
  <si>
    <t>PVC CHAIR</t>
  </si>
  <si>
    <t>NOS</t>
  </si>
  <si>
    <t>TS07K2256</t>
  </si>
  <si>
    <t>Site Purchase</t>
  </si>
  <si>
    <t>Plastic Material</t>
  </si>
  <si>
    <t>PVC DINING TABLE</t>
  </si>
  <si>
    <t>GACHIBOWLI SITE 90410</t>
  </si>
  <si>
    <t>ELECTRICAL CABLE 3CORE X 2.5 SQUM</t>
  </si>
  <si>
    <t>MTR</t>
  </si>
  <si>
    <t>AP35AF6768</t>
  </si>
  <si>
    <t>STN</t>
  </si>
  <si>
    <t>Returned</t>
  </si>
  <si>
    <t>ASD METAL TRADE</t>
  </si>
  <si>
    <t>TMT BAR 16 MM</t>
  </si>
  <si>
    <t>MTS</t>
  </si>
  <si>
    <t>ASD/P/EPPL/24-25/01</t>
  </si>
  <si>
    <t>24-25/JSW/0876</t>
  </si>
  <si>
    <t>TS07UE6626</t>
  </si>
  <si>
    <t>Supplier</t>
  </si>
  <si>
    <t>Execution Material</t>
  </si>
  <si>
    <t>NCL INDUSTRIES LIMITED</t>
  </si>
  <si>
    <t>READY MIX CONCRETE M-15</t>
  </si>
  <si>
    <t>M3</t>
  </si>
  <si>
    <t>QU-RMCKL-2025-03-337</t>
  </si>
  <si>
    <t>RL-25-03-4410</t>
  </si>
  <si>
    <t>TS07UM5447</t>
  </si>
  <si>
    <t>TMT BAR 32 MM</t>
  </si>
  <si>
    <t>24-25/JSW/0881</t>
  </si>
  <si>
    <t>TN38CF4450</t>
  </si>
  <si>
    <t>TMT BAR 20 MM</t>
  </si>
  <si>
    <t>24-25/JSW/0882</t>
  </si>
  <si>
    <t>KA51AD3456</t>
  </si>
  <si>
    <t>NATIONAL TRADING CO</t>
  </si>
  <si>
    <t>SPN DB DOUBLE DOOR 8WAY</t>
  </si>
  <si>
    <t xml:space="preserve">NTC/476 </t>
  </si>
  <si>
    <t>NTC/25/2852</t>
  </si>
  <si>
    <t>TG08U3756</t>
  </si>
  <si>
    <t>Slab Electrical Material</t>
  </si>
  <si>
    <t>MCB 63AMPS 4POLE</t>
  </si>
  <si>
    <t>MCB 40AMPS 2POLE</t>
  </si>
  <si>
    <t>MCB 16AMPS 1POLE</t>
  </si>
  <si>
    <t>MODULAR SURFACE BOX &amp; PALTE,PVC 8M</t>
  </si>
  <si>
    <t>INSULATION TAPE</t>
  </si>
  <si>
    <t>MODULAR PLATE 8 WAY</t>
  </si>
  <si>
    <t>SWITCH-16AMP</t>
  </si>
  <si>
    <t>SOCKET 3PIN,16AMP</t>
  </si>
  <si>
    <t>SWITCH-6AMP</t>
  </si>
  <si>
    <t>SOCKET 3PIN,6AMP</t>
  </si>
  <si>
    <t>MODULAR DUMMY SWITCH</t>
  </si>
  <si>
    <t>LED TUBE LIGHT-20W</t>
  </si>
  <si>
    <t>PVC PIPE-25MM</t>
  </si>
  <si>
    <t>PVC BEND,10KG/CM2-25MMX90DEG</t>
  </si>
  <si>
    <t>PVC JUNCTION BOX 25MM X 4 WAY</t>
  </si>
  <si>
    <t>CABLE TIE 200 MM</t>
  </si>
  <si>
    <t>PKT</t>
  </si>
  <si>
    <t>COPPER FLEXIBLE CABLE 1.5 SQMM 1 CORE</t>
  </si>
  <si>
    <t>CLS</t>
  </si>
  <si>
    <t>COPPER FLEXIBLE CABLE-3CX2.5SQMM</t>
  </si>
  <si>
    <t>COPPER FLEXIBLE CABLE-3CX4.0SQMM</t>
  </si>
  <si>
    <t>INDUSTRIAL PLUG AND SOCKET,3PIN,16AMP</t>
  </si>
  <si>
    <t>MODULAR SURFACE BOX &amp; PALTE,PVC 12M</t>
  </si>
  <si>
    <t>MODULAR SURFACE BOX &amp; PALTE,PVC 3M</t>
  </si>
  <si>
    <t>MCCB-3POLE,125AMP</t>
  </si>
  <si>
    <t>LED FLOOD LIGHT FITTING-200W</t>
  </si>
  <si>
    <t>RECHARGEABLE EMERGENCY LIGHT 9W</t>
  </si>
  <si>
    <t>LED RECHARGEABLE TORCH LIGHT</t>
  </si>
  <si>
    <t>NTC/25/2853</t>
  </si>
  <si>
    <t>CEILING FAN-48IN</t>
  </si>
  <si>
    <t>TMT BAR 8 MM</t>
  </si>
  <si>
    <t>24-25/JSW/0887</t>
  </si>
  <si>
    <t>TG12T3796</t>
  </si>
  <si>
    <t>TMT BAR 10 MM</t>
  </si>
  <si>
    <t>TMT BAR 12 MM</t>
  </si>
  <si>
    <t>TMT BAR 25 MM</t>
  </si>
  <si>
    <t>KRISHNA HARDWARE AND ELECTRCIALS</t>
  </si>
  <si>
    <t>LP-10</t>
  </si>
  <si>
    <t>TS07HJ2766</t>
  </si>
  <si>
    <t>MEIL_CENTRAL STORE YARD</t>
  </si>
  <si>
    <t>MS PIPE 40MM 6MTR</t>
  </si>
  <si>
    <t>KGS</t>
  </si>
  <si>
    <t>TS08UJ1471</t>
  </si>
  <si>
    <t>RL-25-03-4455</t>
  </si>
  <si>
    <t>TS08UE8928</t>
  </si>
  <si>
    <t>RL-25-03-4456</t>
  </si>
  <si>
    <t>TS13UC6868</t>
  </si>
  <si>
    <t>RL-25-03-4458</t>
  </si>
  <si>
    <t>TS07UM5446</t>
  </si>
  <si>
    <t>24-25/ASD/0800</t>
  </si>
  <si>
    <t>TS08UF0144</t>
  </si>
  <si>
    <t>24-25/ASD/0001</t>
  </si>
  <si>
    <t>MATHAJI HARDWARE &amp; ELECTRICALS</t>
  </si>
  <si>
    <t>PVC TARPAULIN,GSM200-30FTX24FT</t>
  </si>
  <si>
    <t>LP-17</t>
  </si>
  <si>
    <t>GI SHEETS 10X3</t>
  </si>
  <si>
    <t>AP28TA7819</t>
  </si>
  <si>
    <t>PRATHYAKSHITHA  ELECTRICAL &amp; HARDWARE</t>
  </si>
  <si>
    <t>MS CROW BAR- 25MM</t>
  </si>
  <si>
    <t xml:space="preserve">Civil  tools </t>
  </si>
  <si>
    <t>PVC GHAMELA 15IN</t>
  </si>
  <si>
    <t>PRAJESH IMPEX</t>
  </si>
  <si>
    <t>SAFETY HELEMT WHITE</t>
  </si>
  <si>
    <t>P/25-26/000083</t>
  </si>
  <si>
    <t>TS10UC9652</t>
  </si>
  <si>
    <t>Fety Material</t>
  </si>
  <si>
    <t>SAFETY HELMET GREEN</t>
  </si>
  <si>
    <t>SAFETY HELMET RED</t>
  </si>
  <si>
    <t>SAFETY HELMET BLUE</t>
  </si>
  <si>
    <t>SAFETY HELMET YELLOW</t>
  </si>
  <si>
    <t>RUBBER HAND GLOVES</t>
  </si>
  <si>
    <t>COTTON HAND GLOVES</t>
  </si>
  <si>
    <t>PAIR</t>
  </si>
  <si>
    <t>SAFETY GUM BOOT-15 SIZE</t>
  </si>
  <si>
    <t>PVC SAFETY PSHOE-9</t>
  </si>
  <si>
    <t>SAFETY GOOGLE WHITE</t>
  </si>
  <si>
    <t>SAFETY GOGGLES - BLACK</t>
  </si>
  <si>
    <t>SAFETY BELT FULL BODY HARNESS</t>
  </si>
  <si>
    <t>PVC HEXA SAFETY CONE-750MM</t>
  </si>
  <si>
    <t>SAFETY REFLECTIVE JACKET-ORANGE</t>
  </si>
  <si>
    <t>SAFETY REFLECTIVE JACKET-GREEN</t>
  </si>
  <si>
    <t>LEATHER HAND GLOVES</t>
  </si>
  <si>
    <t>SAFETY SHOE STAFF-09</t>
  </si>
  <si>
    <t>FIRST AID KIT</t>
  </si>
  <si>
    <t>STEEL MEASURMENT TAPE-5MTR</t>
  </si>
  <si>
    <t>STEEL MEASURMENT TAPE-30MTRS</t>
  </si>
  <si>
    <t>BARICATION TAPE-75MM</t>
  </si>
  <si>
    <t>ROL</t>
  </si>
  <si>
    <t>WHITE TAPE -ADHESIVE</t>
  </si>
  <si>
    <t>SHREE TARPAULIN UDYOG</t>
  </si>
  <si>
    <t>GREEN SHADE NET</t>
  </si>
  <si>
    <t>PVC TARPAULIN,GSM200-18FTX24FT</t>
  </si>
  <si>
    <t>ADHESIVES &amp; PACKAGING CO</t>
  </si>
  <si>
    <t>NITOBOND HARDNER</t>
  </si>
  <si>
    <t>APC0052/25-26</t>
  </si>
  <si>
    <t>TN07UN4721</t>
  </si>
  <si>
    <t>CONPLAST</t>
  </si>
  <si>
    <t>LTR</t>
  </si>
  <si>
    <t>CONCURE WB WHITE</t>
  </si>
  <si>
    <t>LOKFIX E55S</t>
  </si>
  <si>
    <t>STEEL SILICON GUN</t>
  </si>
  <si>
    <t>GROUTING CEMENT CONBEXTRA GP2</t>
  </si>
  <si>
    <t>BAG</t>
  </si>
  <si>
    <t>ROCK SPRAY PAINT,RED-400ML</t>
  </si>
  <si>
    <t>CALCUTTA TUBE CORPORATION</t>
  </si>
  <si>
    <t>PVC WATER TANK-5000L</t>
  </si>
  <si>
    <t>TS09UD2164</t>
  </si>
  <si>
    <t>PVC WATER TANK 500 LTRS</t>
  </si>
  <si>
    <t>HI-TECH PORTABLE CABINS</t>
  </si>
  <si>
    <t>CONTAINER,OFFICE,20X10X8.6FT</t>
  </si>
  <si>
    <t>HTPC/2025/24-25</t>
  </si>
  <si>
    <t>HTPC/105/2025-26</t>
  </si>
  <si>
    <t>AP29TB3599</t>
  </si>
  <si>
    <t>ASSET</t>
  </si>
  <si>
    <t>CONTAINER,DINING,20X10X8.6FT</t>
  </si>
  <si>
    <t>CONTAINER,SECURITY,4X4X8.6FT</t>
  </si>
  <si>
    <t>CONTAINER CEMENT STORE 20 X 8 X 8.6FT</t>
  </si>
  <si>
    <t>CONTAINER,TOILET BLOCK,20X8X8.6FT</t>
  </si>
  <si>
    <t>SRI RAMA STEEL TRADERS</t>
  </si>
  <si>
    <t>CEMENT OPC 53 GRADE</t>
  </si>
  <si>
    <t>AP11W8131</t>
  </si>
  <si>
    <t>HDPE PIPE,PE100,PN06-32MM</t>
  </si>
  <si>
    <t>LP-27</t>
  </si>
  <si>
    <t>AGARWAL &amp; SONS</t>
  </si>
  <si>
    <t>ROTARY HAMMER DRILL MACHINE,GBH2-26RE</t>
  </si>
  <si>
    <t>TS07UL3561</t>
  </si>
  <si>
    <t>Manual Tools</t>
  </si>
  <si>
    <t xml:space="preserve"> ELECTRICAL VIBRATOR.</t>
  </si>
  <si>
    <t>ANGLE GRINDER,4IN-GWS600</t>
  </si>
  <si>
    <t>CUTTING WHEEL-AG4</t>
  </si>
  <si>
    <t>P VENKAIAH AND SONS</t>
  </si>
  <si>
    <t>MS BINDING WIRE 18GAUGE</t>
  </si>
  <si>
    <t>STAINLESS STEEL SPADE 12 X 11 IN</t>
  </si>
  <si>
    <t>SHOVEL SPADE (PAWDA)</t>
  </si>
  <si>
    <t>PVC GHAMELA 12IN</t>
  </si>
  <si>
    <t>SHOVEL SPADE SMALL</t>
  </si>
  <si>
    <t>PICK AXE WITH HANDLE</t>
  </si>
  <si>
    <t>SHOVEL SPADE MEDIUM</t>
  </si>
  <si>
    <t>IRON TROWEL,(THAPI) 4IN</t>
  </si>
  <si>
    <t>RED OXIDE POWDER</t>
  </si>
  <si>
    <t>HAMMER WITH HANDLE,16LBS</t>
  </si>
  <si>
    <t>HAMMER WITH HANDLE,6LBS</t>
  </si>
  <si>
    <t>NYLON LINE DORI</t>
  </si>
  <si>
    <t>HAKSAW BLADE 25MM</t>
  </si>
  <si>
    <t>SPONGE</t>
  </si>
  <si>
    <t>PVC COVER BLOCK CHAIR TYPE-25MM</t>
  </si>
  <si>
    <t>PVC COVER BLOCK CHAIR TYPE-40MM</t>
  </si>
  <si>
    <t>PVC COVER BLOCK CHAIR TYPE-50MM</t>
  </si>
  <si>
    <t>COCONUT BROOM</t>
  </si>
  <si>
    <t>POINTED CHISEL 25 X 100 MM</t>
  </si>
  <si>
    <t>FLAT CHISEL 25 X 100 MM</t>
  </si>
  <si>
    <t>SHOVEL SPADE (BELCHA)</t>
  </si>
  <si>
    <t>MS RIGHT ANGLE TRIANGLE BAR,E250-24X24MM</t>
  </si>
  <si>
    <t>MS RIGHT ANGLE TRIANGLE BAR,E250-15X15MM</t>
  </si>
  <si>
    <t>HESSIAN CLOTH</t>
  </si>
  <si>
    <t>BOMBAY NAILS 2 IN</t>
  </si>
  <si>
    <t>BOMBAY NAILS 3 IN</t>
  </si>
  <si>
    <t>CONCRETE NAILS 2 IN</t>
  </si>
  <si>
    <t>CONCRETE NAILS 3 IN</t>
  </si>
  <si>
    <t>ALUMINUM SQUARETUBE-4X4INX6FT</t>
  </si>
  <si>
    <t>IRON TROWEL,(THAPI) 5IN</t>
  </si>
  <si>
    <t>FINISHING TROWEL (GURMALA)</t>
  </si>
  <si>
    <t>IRON LEAF RAKE (PANJA) 5 TEETH</t>
  </si>
  <si>
    <t>GI CHAIN 4MM</t>
  </si>
  <si>
    <t>GI CHAIN 5MM</t>
  </si>
  <si>
    <t>STEEL MEASURMENT TAPE-3MTR</t>
  </si>
  <si>
    <t>PLUMB BOB,0-300 GRMS</t>
  </si>
  <si>
    <t>Nos</t>
  </si>
  <si>
    <t>MULTI PURPOSE COCONUT FIBER COIR ROPE</t>
  </si>
  <si>
    <t>RUBBER HAMMER 0.5 KG</t>
  </si>
  <si>
    <t>PVC PAWDA HANDLE 30IN</t>
  </si>
  <si>
    <t>RL-25-04-83</t>
  </si>
  <si>
    <t>TS07U5446</t>
  </si>
  <si>
    <t>RL-25-04-84</t>
  </si>
  <si>
    <t>RL-25-04-85</t>
  </si>
  <si>
    <t>TS08UF9380</t>
  </si>
  <si>
    <t>RL-25-04-86</t>
  </si>
  <si>
    <t>TS13UC6870</t>
  </si>
  <si>
    <t>SRI RAMA ELECTRICAL WORKS</t>
  </si>
  <si>
    <t>SUBMERSIBLE PUMP,S6G,10 HP</t>
  </si>
  <si>
    <t>TS08UE 9938</t>
  </si>
  <si>
    <t>HDPE PIPE,PE-80,PN20-50MM</t>
  </si>
  <si>
    <t>COPPER FLEXIBLE CABLE-3CX6.0SQMM</t>
  </si>
  <si>
    <t>SRI SADGURU SEVALAL MAHARAJ STEEL , CEMENT &amp; HARDWARE</t>
  </si>
  <si>
    <t>TR1</t>
  </si>
  <si>
    <t>MALIKARJUNA DHARMA KANTA</t>
  </si>
  <si>
    <t>ROBO SAND</t>
  </si>
  <si>
    <t>MT</t>
  </si>
  <si>
    <t>AP36W6522</t>
  </si>
  <si>
    <t>PVC WATER LEVEL PIPE 6MM</t>
  </si>
  <si>
    <t>BUN</t>
  </si>
  <si>
    <t>TS07UA2176</t>
  </si>
  <si>
    <t>PVC HOSE PIPE-25MM</t>
  </si>
  <si>
    <t>TS11UD1606</t>
  </si>
  <si>
    <t>Local Purchase</t>
  </si>
  <si>
    <t>PVC WATER TAP-100MM</t>
  </si>
  <si>
    <t>PVC WATER TAP-50MM</t>
  </si>
  <si>
    <t>SRI THARUN SAGAR STATIONERY &amp; PRINTERS</t>
  </si>
  <si>
    <t>MRIV BOOKS</t>
  </si>
  <si>
    <t>INDENT BOOK</t>
  </si>
  <si>
    <t xml:space="preserve"> 140 PAGES STOCK REGISTERS</t>
  </si>
  <si>
    <t>CARBON PAPER</t>
  </si>
  <si>
    <t>CABIN FAN WALL MOUNTING 12 V</t>
  </si>
  <si>
    <t>LP-41</t>
  </si>
  <si>
    <t>BAVAYA ELECTRONICS</t>
  </si>
  <si>
    <t>WATER DISPENSER HOT,COLD&amp;NORMAL PRESSTYP</t>
  </si>
  <si>
    <t>TS07UG 1204</t>
  </si>
  <si>
    <t>AIR CONDITIONER,SPLIT-1.5 TR</t>
  </si>
  <si>
    <t>AP28D9173</t>
  </si>
  <si>
    <t>KAPIL CEMENT BRICKS SHOP MAHESHWARAM</t>
  </si>
  <si>
    <t>CEMENT RINGS 4 FEET X 1 FEET</t>
  </si>
  <si>
    <t>TS07UK0917</t>
  </si>
  <si>
    <t xml:space="preserve"> CEMENT RINGS 3 FEET X 1 FEET</t>
  </si>
  <si>
    <t xml:space="preserve"> CEMENT RING COVER</t>
  </si>
  <si>
    <t>INTERACTIVE DATA SYSTEMS LIMITED</t>
  </si>
  <si>
    <t>OFC CABLE 6F</t>
  </si>
  <si>
    <t>FY2025-26/950067</t>
  </si>
  <si>
    <t>TS08UK5950</t>
  </si>
  <si>
    <t>FIBER-MODULE-310GT</t>
  </si>
  <si>
    <t>SET</t>
  </si>
  <si>
    <t>UPS 1KVA</t>
  </si>
  <si>
    <t>CCTV IP CAMERA</t>
  </si>
  <si>
    <t>BACK UPS 600VA</t>
  </si>
  <si>
    <t>POE-SWITCH-8PORT-2 SFP</t>
  </si>
  <si>
    <t>NETWORK RACK 6U</t>
  </si>
  <si>
    <t>CCTV PTZ CAMERA</t>
  </si>
  <si>
    <t>NVR ( NETWORK VIDEO RECORDER )</t>
  </si>
  <si>
    <t>CAT-6 CABLE</t>
  </si>
  <si>
    <t>FIBER PATCH CABLE LC LC SM 3 MTR</t>
  </si>
  <si>
    <t>RJ45 CONNECTOR</t>
  </si>
  <si>
    <t>HARD DISC</t>
  </si>
  <si>
    <t xml:space="preserve"> SURVEILLANCE HARD DISC 10TB</t>
  </si>
  <si>
    <t>LED MONITOR</t>
  </si>
  <si>
    <t>24IN</t>
  </si>
  <si>
    <t>FIBER TERMINATION BOX</t>
  </si>
  <si>
    <t>COPPER FLEXIBLE CABLE-2CX1.5SQMM</t>
  </si>
  <si>
    <t>VMS OUTDOOR JUNCTION BOX</t>
  </si>
  <si>
    <t>MODULAR SOCKET 3 PIN 16A</t>
  </si>
  <si>
    <t>CAMERA BRACKETS</t>
  </si>
  <si>
    <t>HOSE CLAMP 2IN</t>
  </si>
  <si>
    <t>CABLE LAYING &amp; CSS INSTALLATION WORKS</t>
  </si>
  <si>
    <t>MEIL -STOCK YARD MANSANPALLY</t>
  </si>
  <si>
    <t>6MTR POLE CURVE</t>
  </si>
  <si>
    <t>TS08UJ3018</t>
  </si>
  <si>
    <t>RL-25-05-284</t>
  </si>
  <si>
    <t>NTC/26/0321</t>
  </si>
  <si>
    <t>TS12UE2190</t>
  </si>
  <si>
    <t>PVC JUNCTION BOX-25MM</t>
  </si>
  <si>
    <t>NTC/476</t>
  </si>
  <si>
    <t>PVC FLEXIBLE PIPE 20MM</t>
  </si>
  <si>
    <t>COPPER FLEXIBLE CABLE 2.5 SQMM 2 CORE</t>
  </si>
  <si>
    <t>FAN REGULATOR</t>
  </si>
  <si>
    <t>PACKING &amp; FORWARDING</t>
  </si>
  <si>
    <t>S K GUPTA VALVES PRIVATE LIMITED</t>
  </si>
  <si>
    <t>CPVC PIPE,SDR11,25MM</t>
  </si>
  <si>
    <t>SKG/0535/25-26</t>
  </si>
  <si>
    <t>TS10UB3441</t>
  </si>
  <si>
    <t>CPVC COUPLING 25MM</t>
  </si>
  <si>
    <t>CPVC ELBOW 25MM X 90 DEG</t>
  </si>
  <si>
    <t>CPVC TEE 25MM</t>
  </si>
  <si>
    <t>CPVC ELBOW 25MM X 45 DEG</t>
  </si>
  <si>
    <t>CPVC TANK NIPPLE 25MM</t>
  </si>
  <si>
    <t>CPVC FTA 25MM</t>
  </si>
  <si>
    <t>CPVC UNION 25MM</t>
  </si>
  <si>
    <t>CPVC BALL VALVE,SDR11-25MM</t>
  </si>
  <si>
    <t>CPVC PIPE,SDR11,20MM</t>
  </si>
  <si>
    <t>CPVC COUPLING 20MM</t>
  </si>
  <si>
    <t>CPVC ELBOW 20MM X 90 DEG</t>
  </si>
  <si>
    <t>CPVC TEE 20MM</t>
  </si>
  <si>
    <t>CPVC SOLVENT 118 ML</t>
  </si>
  <si>
    <t>TEFLON TAPE-12MM</t>
  </si>
  <si>
    <t>SWR PIPE D/S 110MM X 6 FT TYPE-A</t>
  </si>
  <si>
    <t>PVC SWR PIPE,S/S,R/F,110MM X 6F TYPE-A</t>
  </si>
  <si>
    <t>PVC COUPLER 110 MM</t>
  </si>
  <si>
    <t>PVC BEND 110MM</t>
  </si>
  <si>
    <t>PVC TEE 110 X 110 X 50 MM</t>
  </si>
  <si>
    <t>PVC BEND 110MM X 45 DEG</t>
  </si>
  <si>
    <t>PVC PIPE,10KG/CM2-40MM</t>
  </si>
  <si>
    <t>PVC COUPLER 75MM</t>
  </si>
  <si>
    <t>PVC BEND 75MM X 90 DEG</t>
  </si>
  <si>
    <t>PVC SWR PIPE,S/S,R/F,75MM X 6F TYPE-A</t>
  </si>
  <si>
    <t>PVC BEND 75MM X 45 DEG</t>
  </si>
  <si>
    <t>PVC SOLVENT 500 ML</t>
  </si>
  <si>
    <t>PVC P TRAP 110 X 75MM</t>
  </si>
  <si>
    <t>PVC LUBRICANT</t>
  </si>
  <si>
    <t xml:space="preserve"> FAPT,CPVC 1 1/4 IN</t>
  </si>
  <si>
    <t>LP-52</t>
  </si>
  <si>
    <t>GI NIPPLE</t>
  </si>
  <si>
    <t>1X1/4" CPVC BUSH</t>
  </si>
  <si>
    <t xml:space="preserve"> CPVC REDUCER - 3/4" X 1"</t>
  </si>
  <si>
    <t>LP-53</t>
  </si>
  <si>
    <t>SKG/0694/25-26</t>
  </si>
  <si>
    <t>GI UNION-25MM</t>
  </si>
  <si>
    <t>GI NIPPLE-80X25MM</t>
  </si>
  <si>
    <t>GI NIPPLE -100X25MM</t>
  </si>
  <si>
    <t>GI TEE 25MM</t>
  </si>
  <si>
    <t>BRASS BALL VALVE 25MM</t>
  </si>
  <si>
    <t>CPVC LONG BEND 1 INCH</t>
  </si>
  <si>
    <t>PVC BEND,10KG/CM2-40MMX90DEG</t>
  </si>
  <si>
    <t>GI NIPPLE HY, CLASS C,BST-50X25MM</t>
  </si>
  <si>
    <t>PVC FTA, SCH-40-40MMX10KG/CM2</t>
  </si>
  <si>
    <t>PVC TEE,SCH-40,6KG/CM2-40X20X20MM</t>
  </si>
  <si>
    <t>PVC NAHANI TRAP 75MM</t>
  </si>
  <si>
    <t>PVC REDUCER,6 KG/CM2-110X75MM</t>
  </si>
  <si>
    <t>GI HOSE NIPPLE,CLASS C-25X150MM</t>
  </si>
  <si>
    <t>SRI GANESH ENTERPRISES</t>
  </si>
  <si>
    <t>PVC CONNECTION PIPE - 18"</t>
  </si>
  <si>
    <t xml:space="preserve"> C P EXTENSTION NIPPLE 1INCH</t>
  </si>
  <si>
    <t xml:space="preserve"> WATCHERS 1/2"</t>
  </si>
  <si>
    <t xml:space="preserve"> GI REDUCER - 1 1/4" X 1 1/2"</t>
  </si>
  <si>
    <t xml:space="preserve"> GI NIPPLE</t>
  </si>
  <si>
    <t>HANUMAN FURNITURE</t>
  </si>
  <si>
    <t>ALLUMINIUM LADDER</t>
  </si>
  <si>
    <t>AP29BD5763</t>
  </si>
  <si>
    <t>Store Equipement</t>
  </si>
  <si>
    <t>AIR CONDITIONER,SPLIT,INVERTER-1.0 TR</t>
  </si>
  <si>
    <t>TS07UE8150</t>
  </si>
  <si>
    <t>AIR COOLER</t>
  </si>
  <si>
    <t>TG0706751</t>
  </si>
  <si>
    <t>RL-25-05-633</t>
  </si>
  <si>
    <t>RL-25-05-631</t>
  </si>
  <si>
    <t>GLOBAL INDUSTRIES</t>
  </si>
  <si>
    <t>IRON COT 3FT X 6 FT</t>
  </si>
  <si>
    <t>TS12UD1904</t>
  </si>
  <si>
    <t>Staff Equipement</t>
  </si>
  <si>
    <t>MATTRESS-3FTX6FT</t>
  </si>
  <si>
    <t>IRON RACK 3FT X 8FT</t>
  </si>
  <si>
    <t>MEIL_8STPs PKG-I (4167)</t>
  </si>
  <si>
    <t>HORIZONTAL LEDGER 1.5MTR</t>
  </si>
  <si>
    <t>BAR BENDING MACHINE</t>
  </si>
  <si>
    <t>TS08UJ4252</t>
  </si>
  <si>
    <t>LDPE PIPE 3 IN</t>
  </si>
  <si>
    <t>LP-68</t>
  </si>
  <si>
    <t>PROP JACK U TYPE 4 MTR X 4</t>
  </si>
  <si>
    <t>TS03UA8585</t>
  </si>
  <si>
    <t>PROP JACK BASE TYPE 4 MTR X 4</t>
  </si>
  <si>
    <t>PROP JACK BASE TYPE 3 MTR X 3</t>
  </si>
  <si>
    <t>PROP JACK L TYPE 3 MTR X 3</t>
  </si>
  <si>
    <t>PROP JACK U TYPE 3 MTR X 3</t>
  </si>
  <si>
    <t>PROP JACK L TYPE 2 MTR X 2</t>
  </si>
  <si>
    <t>PROP JACK U TYPE 2 MTR X 2</t>
  </si>
  <si>
    <t>HORIZONTAL LEDGER 800MM</t>
  </si>
  <si>
    <t>MS SPIGOT PIN</t>
  </si>
  <si>
    <t>SQURE PIPE - 50 X 50 X 3 MM</t>
  </si>
  <si>
    <t>MS TIE ROD WING NUT-90X25M</t>
  </si>
  <si>
    <t>CUPLOCK VERTICAL 3MTR</t>
  </si>
  <si>
    <t>SHUTTERING PLATE 500X2750 MM</t>
  </si>
  <si>
    <t>SHUTTERING PLATE 300X2750 MM</t>
  </si>
  <si>
    <t>SHUTTERING PLATE 230X2750 MM</t>
  </si>
  <si>
    <t>SHUTTERING PLATE 230X1800 MM</t>
  </si>
  <si>
    <t>SHUTTERING PLATE 30X900 MM</t>
  </si>
  <si>
    <t>SHUTTERING PLATE 230X900 MM</t>
  </si>
  <si>
    <t>SHUTTERING PLATE 400X900 MM</t>
  </si>
  <si>
    <t>SHUTTERING PLATE 460X900 MM</t>
  </si>
  <si>
    <t>MEIL_SUNKISHALA INTAKE(1285)</t>
  </si>
  <si>
    <t>STEEL CUTTING MACHINE</t>
  </si>
  <si>
    <t>CUPLOCK VERTICAL 1.5 MTR</t>
  </si>
  <si>
    <t>A.S.LIGHT HOUSE (LOCAL PURCHASE)</t>
  </si>
  <si>
    <t>CUTTING PLIER -7IN</t>
  </si>
  <si>
    <t>FLAT SCREW DRIVER (6-12 MM)</t>
  </si>
  <si>
    <t>RL-25-06-826</t>
  </si>
  <si>
    <t>RL-25-06-827</t>
  </si>
  <si>
    <t>TS13UC8928</t>
  </si>
  <si>
    <t>RL-25-06-870</t>
  </si>
  <si>
    <t>ANIL ENGINEERING CORPORATION</t>
  </si>
  <si>
    <t>CANVAS HOSE PIPE-75MM</t>
  </si>
  <si>
    <t>SELF</t>
  </si>
  <si>
    <t>12.06.2025</t>
  </si>
  <si>
    <t>IT-ACCESS POINT</t>
  </si>
  <si>
    <t>FY2025-26/950256</t>
  </si>
  <si>
    <t>By Hand</t>
  </si>
  <si>
    <t>IT-NETWORK FIREWALL</t>
  </si>
  <si>
    <t>HP OFFICEJET PRINTER 9730</t>
  </si>
  <si>
    <t>IT-XTREAM PROTECTION SOFTWARE</t>
  </si>
  <si>
    <t>Installation and Configuation Charges</t>
  </si>
  <si>
    <t>ANDHRA PUMPS &amp; MOTORS</t>
  </si>
  <si>
    <t>DEWATER PUMP-2.5HP</t>
  </si>
  <si>
    <t>A1289</t>
  </si>
  <si>
    <t>TS09UC4491</t>
  </si>
  <si>
    <t>DEWATER PUMP-1.75HP</t>
  </si>
  <si>
    <t>LP-83</t>
  </si>
  <si>
    <t>STEEL BOLT CUTTER - 18"</t>
  </si>
  <si>
    <t>CLICKTECH RETAIL PRIVATE LIMITED</t>
  </si>
  <si>
    <t>14" STEEL CUTTING MACHINE</t>
  </si>
  <si>
    <t>TG-HYD8-297683823-2526</t>
  </si>
  <si>
    <t>AMG CENTRAL WARE HOUSE</t>
  </si>
  <si>
    <t>TWO WHEELER</t>
  </si>
  <si>
    <t>1-RETURNED</t>
  </si>
  <si>
    <t>CIRCULAR SAW-GKS190.</t>
  </si>
  <si>
    <t>AP22AA0243</t>
  </si>
  <si>
    <t>Meil_HO Store-000913</t>
  </si>
  <si>
    <t>PRINTER - IMAGECLASS MF 3010</t>
  </si>
  <si>
    <t>PERFECT PLYWOOD &amp; HARDWARE</t>
  </si>
  <si>
    <t>PINE WOOD RUNNER-2INX3INX8FT</t>
  </si>
  <si>
    <t>1356, Dated: 12-06-2025</t>
  </si>
  <si>
    <t>PPH/1074/2025-26</t>
  </si>
  <si>
    <t>TG09T5583</t>
  </si>
  <si>
    <t>PLYWOOD SHEET-4FTX8FTX12MM</t>
  </si>
  <si>
    <t>PPH/1075/2025-26</t>
  </si>
  <si>
    <t>TS07UC2001</t>
  </si>
  <si>
    <t>M.GULAMALI &amp; SONS</t>
  </si>
  <si>
    <t>SPANNER SET 11 TO 32 MM</t>
  </si>
  <si>
    <t>BO/1387</t>
  </si>
  <si>
    <t>HEX KEY SET</t>
  </si>
  <si>
    <t>AIR BLOWER</t>
  </si>
  <si>
    <t>Tool Box (Empty)</t>
  </si>
  <si>
    <t>LASER DISTANCE DETECTOR</t>
  </si>
  <si>
    <t>SHUTTERING PLATE 600X900 MM</t>
  </si>
  <si>
    <t>MS WIRE NAIL-3.0IN</t>
  </si>
  <si>
    <t>LP-94</t>
  </si>
  <si>
    <t>MS WIRE NAIL-1.5IN</t>
  </si>
  <si>
    <t>WOOD CUTTING BLADE-4IN</t>
  </si>
  <si>
    <t>TS07UK8173</t>
  </si>
  <si>
    <t>LP-96</t>
  </si>
  <si>
    <t>MS TIE ROD -3000M</t>
  </si>
  <si>
    <t>PPH/1087/2025-26</t>
  </si>
  <si>
    <t>TS09UC2000</t>
  </si>
  <si>
    <t>MS WIRE NAIL-2.0IN</t>
  </si>
  <si>
    <t>MS WIRE NAIL-2.5IN</t>
  </si>
  <si>
    <t>TEYEA INDIA PRIVATE LIMITED</t>
  </si>
  <si>
    <t>TOOL KIT</t>
  </si>
  <si>
    <t>BOX</t>
  </si>
  <si>
    <t>407-8369569-4662702</t>
  </si>
  <si>
    <t>SRI RAMA AUTOMOBILE &amp; SPARE PARTS (Local Purchase)</t>
  </si>
  <si>
    <t>WASTE OIL</t>
  </si>
  <si>
    <t>LTRS</t>
  </si>
  <si>
    <t>LP-99</t>
  </si>
  <si>
    <t>HORIZONTAL LEDGER 1.2MTR</t>
  </si>
  <si>
    <t>SRI MALLIKARJUNA BAMBOO MERCHANTS</t>
  </si>
  <si>
    <t>BAMBOOS 18 FEET</t>
  </si>
  <si>
    <t>LP-103</t>
  </si>
  <si>
    <t>TS07UG2821</t>
  </si>
  <si>
    <t>READY MIX CONCRETE GRADE M-35</t>
  </si>
  <si>
    <t>RL-25-06-1063</t>
  </si>
  <si>
    <t>RL-25-06-1064</t>
  </si>
  <si>
    <t>RL-25-06-1066</t>
  </si>
  <si>
    <t>RL-25-06-1067</t>
  </si>
  <si>
    <t>RL-25-06-1068</t>
  </si>
  <si>
    <t>RL-25-06-1070</t>
  </si>
  <si>
    <t>TS08UE8927</t>
  </si>
  <si>
    <t>RL-25-06-1071</t>
  </si>
  <si>
    <t>RL-25-06-1072</t>
  </si>
  <si>
    <t>RL-25-06-1074</t>
  </si>
  <si>
    <t>RL-25-07-1099</t>
  </si>
  <si>
    <t>GOODS INWARD REGISTER</t>
  </si>
  <si>
    <t>GOODS OUTWARD REGISTER</t>
  </si>
  <si>
    <t>STOCK LEDGER</t>
  </si>
  <si>
    <t>IRON BRUSH</t>
  </si>
  <si>
    <t>EMERY PAPER</t>
  </si>
  <si>
    <t>CUTTING WHEEL-AG14</t>
  </si>
  <si>
    <t>RL-25-07-1119</t>
  </si>
  <si>
    <t>RL-25-07-1120</t>
  </si>
  <si>
    <t>RL-25-07-1121</t>
  </si>
  <si>
    <t>TS08UE9380</t>
  </si>
  <si>
    <t>RL-25-07-1122</t>
  </si>
  <si>
    <t>RL-25-07-1124</t>
  </si>
  <si>
    <t>RL-25-07-1125</t>
  </si>
  <si>
    <t>RL-25-07-1126</t>
  </si>
  <si>
    <t>RL-25-07-1127</t>
  </si>
  <si>
    <t>RL-25-07-1128</t>
  </si>
  <si>
    <t>RL-25-07-1129</t>
  </si>
  <si>
    <t>TS08UF6037</t>
  </si>
  <si>
    <t>RL-25-07-1130</t>
  </si>
  <si>
    <t>RED OXIDE METAL PRIMER</t>
  </si>
  <si>
    <t>TARPENT OIL</t>
  </si>
  <si>
    <t>CHOUDHARY ELECTRICAL</t>
  </si>
  <si>
    <t>WOODEN DRILL BIT-25MM</t>
  </si>
  <si>
    <t>LP-129</t>
  </si>
  <si>
    <t>LP-133</t>
  </si>
  <si>
    <t>RL-25-07-1175</t>
  </si>
  <si>
    <t>RL-25-07-1176</t>
  </si>
  <si>
    <t>RL-25-07-1177</t>
  </si>
  <si>
    <t>RL-25-07-1178</t>
  </si>
  <si>
    <t>SHAMINI ENTERPRISES</t>
  </si>
  <si>
    <t>PINE WOOD RUNNERS 3 IN X 4 IN X 5 FT</t>
  </si>
  <si>
    <t>LP-139</t>
  </si>
  <si>
    <t>TG07U4175</t>
  </si>
  <si>
    <t>RL-25-08-1188</t>
  </si>
  <si>
    <t>RL-25-08-1189</t>
  </si>
  <si>
    <t>RL-25-08-1190</t>
  </si>
  <si>
    <t>RL-25-08-1191</t>
  </si>
  <si>
    <t>RL-25-08-1192</t>
  </si>
  <si>
    <t>RL-25-08-1193</t>
  </si>
  <si>
    <t>RL-25-08-1195</t>
  </si>
  <si>
    <t>RL-25-08-1196</t>
  </si>
  <si>
    <t>RL-25-08-1197</t>
  </si>
  <si>
    <t>RL-25-08-1198</t>
  </si>
  <si>
    <t>RL-25-08-1200</t>
  </si>
  <si>
    <t>RL-25-08-1199</t>
  </si>
  <si>
    <t>TS08UF6266</t>
  </si>
  <si>
    <t>RL-25-08-1201</t>
  </si>
  <si>
    <t>RL-25-08-1202</t>
  </si>
  <si>
    <t>RL-25-08-1203</t>
  </si>
  <si>
    <t>RL-25-08-1204</t>
  </si>
  <si>
    <t>RL-25-08-1205</t>
  </si>
  <si>
    <t>RL-25-08-1206</t>
  </si>
  <si>
    <t>RL-25-08-1207</t>
  </si>
  <si>
    <t>RL-25-08-1208</t>
  </si>
  <si>
    <t>RL-25-08-1209</t>
  </si>
  <si>
    <t>RL-25-08-1210</t>
  </si>
  <si>
    <t>RL-25-08-1211</t>
  </si>
  <si>
    <t>RL-25-08-1212</t>
  </si>
  <si>
    <t>RL-25-08-1213</t>
  </si>
  <si>
    <t>RL-25-08-1214</t>
  </si>
  <si>
    <t>RL-25-08-1215</t>
  </si>
  <si>
    <t>RL-25-08-1216</t>
  </si>
  <si>
    <t>RL-25-08-1217</t>
  </si>
  <si>
    <t>RL-25-08-1219</t>
  </si>
  <si>
    <t>RL-25-08-1220</t>
  </si>
  <si>
    <t>RL-25-08-1221</t>
  </si>
  <si>
    <t>RL-25-08-1222</t>
  </si>
  <si>
    <t>RL-25-08-1223</t>
  </si>
  <si>
    <t>RL-25-08-1224</t>
  </si>
  <si>
    <t>RL-25-08-1225</t>
  </si>
  <si>
    <t>RL-25-8-1239</t>
  </si>
  <si>
    <t>RL-25-08-1240</t>
  </si>
  <si>
    <t>RL-25-08-1241</t>
  </si>
  <si>
    <t>PPH/1583/2025-26</t>
  </si>
  <si>
    <t>TS07UV2001</t>
  </si>
  <si>
    <t>PPH/1597/2025-26</t>
  </si>
  <si>
    <t>PINE WOOD RUNNER-3INX4INX8FT</t>
  </si>
  <si>
    <t>RL-25-08-1340</t>
  </si>
  <si>
    <t>RL-25-08-1343</t>
  </si>
  <si>
    <t>RL-25-08-1344</t>
  </si>
  <si>
    <t>RL-25-08-1345</t>
  </si>
  <si>
    <t>SRI ANJANEYA WEIGH BRIDGE</t>
  </si>
  <si>
    <t>FINE SAND</t>
  </si>
  <si>
    <t>LP-185</t>
  </si>
  <si>
    <t>TS01U86405</t>
  </si>
  <si>
    <t>PAINT BRUSH-3IN</t>
  </si>
  <si>
    <t>TS07HT2766</t>
  </si>
  <si>
    <t>TS01UB6405</t>
  </si>
  <si>
    <t>LP-188</t>
  </si>
  <si>
    <t>TS07UG1204</t>
  </si>
  <si>
    <t>PLYTILE INTERIO</t>
  </si>
  <si>
    <t>DRILL BIT 25MM</t>
  </si>
  <si>
    <t>SUPER ENGINEERING WORKS</t>
  </si>
  <si>
    <t xml:space="preserve">BAR BENDING MACHINE PINS </t>
  </si>
  <si>
    <t>LP-191</t>
  </si>
  <si>
    <t>SRI GANESH TRADERS</t>
  </si>
  <si>
    <t>WOOD CUTTING BLADE-7IN</t>
  </si>
  <si>
    <t>RL-25-08-1375</t>
  </si>
  <si>
    <t>RL-25-08-1376</t>
  </si>
  <si>
    <t>TS07UA0992</t>
  </si>
  <si>
    <t>PPH/1758/2025-26</t>
  </si>
  <si>
    <t>LEO DESIGNERS</t>
  </si>
  <si>
    <t>PLASTIC SIGN BOARD RADIUM-1.5FTX1FT</t>
  </si>
  <si>
    <t>F044</t>
  </si>
  <si>
    <t>AP11Y8899</t>
  </si>
  <si>
    <t>PLASTIC SIGN BOARD RADIUM-3FTX5FT</t>
  </si>
  <si>
    <t>PLASTIC SIGN BOARD RADIUM-1FTX0.5FT</t>
  </si>
  <si>
    <t>RL-08-1446</t>
  </si>
  <si>
    <t>RL-08-1447</t>
  </si>
  <si>
    <t>RL-08-1448</t>
  </si>
  <si>
    <t>TS13UCU6870</t>
  </si>
  <si>
    <t>RL-08-1449</t>
  </si>
  <si>
    <t>RL-08-1450</t>
  </si>
  <si>
    <t>RL-08-1451</t>
  </si>
  <si>
    <t>RL-08-1452</t>
  </si>
  <si>
    <t>RL-08-1453</t>
  </si>
  <si>
    <t>TS13UC69870</t>
  </si>
  <si>
    <t>RL-08-1454</t>
  </si>
  <si>
    <t>RL-08-1455</t>
  </si>
  <si>
    <t>PVC WATER STOPPER</t>
  </si>
  <si>
    <t>RL-08-1470</t>
  </si>
  <si>
    <t>RL-08-1479</t>
  </si>
  <si>
    <t>INDIAN ELECTRICAL SHOP</t>
  </si>
  <si>
    <t>HAMMER DRILL BIT-25MMX450MM</t>
  </si>
  <si>
    <t>Quotation DT : 13/08/2025</t>
  </si>
  <si>
    <t xml:space="preserve"> 25-26/JSW/0512</t>
  </si>
  <si>
    <t>AP04TW5594</t>
  </si>
  <si>
    <t xml:space="preserve"> 25-26/JSW/0517</t>
  </si>
  <si>
    <t>TS12UE0858</t>
  </si>
  <si>
    <t>SRI VENKATESHWARA TRADERS</t>
  </si>
  <si>
    <t>TS07UN3529</t>
  </si>
  <si>
    <t>RL-09-1548</t>
  </si>
  <si>
    <t>RL-09-1552</t>
  </si>
  <si>
    <t>RL-09-1555</t>
  </si>
  <si>
    <t>RL-09-1557</t>
  </si>
  <si>
    <t>RL-09-1558</t>
  </si>
  <si>
    <t>RL-09-1560</t>
  </si>
  <si>
    <t>RL-09-1562</t>
  </si>
  <si>
    <t>RL-09-1563</t>
  </si>
  <si>
    <t>RL-09-1564</t>
  </si>
  <si>
    <t>FOSROC BRUSHBOND RFX PART-A</t>
  </si>
  <si>
    <t>AP16EH7502</t>
  </si>
  <si>
    <t>PVC DUMMY CAP-25MM</t>
  </si>
  <si>
    <t>LP-229</t>
  </si>
  <si>
    <t>LP-230</t>
  </si>
  <si>
    <t>LP-231</t>
  </si>
  <si>
    <t>RL-09-1581</t>
  </si>
  <si>
    <t>SRI MANIKANTA MAHESHWARAM</t>
  </si>
  <si>
    <t>DIESEL</t>
  </si>
  <si>
    <t>RL-09-1610</t>
  </si>
  <si>
    <t>RL-09-1611</t>
  </si>
  <si>
    <t>RL-09-1612</t>
  </si>
  <si>
    <t>RL-09-1614</t>
  </si>
  <si>
    <t>RL-09-1616</t>
  </si>
  <si>
    <t>RL-09-1615</t>
  </si>
  <si>
    <t>RL-09-1617</t>
  </si>
  <si>
    <t>RL-09-1618</t>
  </si>
  <si>
    <t>RL-09-1619</t>
  </si>
  <si>
    <t>ELECTRICAL VIBRATOR MOTOR 3.5HP</t>
  </si>
  <si>
    <t>VIBRATOR NEEDLE-50MM</t>
  </si>
  <si>
    <t>CUTTING BLADE-4IN</t>
  </si>
  <si>
    <t>RL-25-09-1674</t>
  </si>
  <si>
    <t>RL-25-09-1676</t>
  </si>
  <si>
    <t>RL-25-09-1678</t>
  </si>
  <si>
    <t>RL-25-09-1679</t>
  </si>
  <si>
    <t>RL-25-09-1680</t>
  </si>
  <si>
    <t>RL-25-09-1682</t>
  </si>
  <si>
    <t>RL-25-09-1683</t>
  </si>
  <si>
    <t>RL-25-09-1684</t>
  </si>
  <si>
    <t>RL-25-09-1685</t>
  </si>
  <si>
    <t>RL-25-09-1686</t>
  </si>
  <si>
    <t>RL-25-09-1687</t>
  </si>
  <si>
    <t>RL-25-09-1688</t>
  </si>
  <si>
    <t>RL-25-09-1690</t>
  </si>
  <si>
    <t>RL-25-09-1681</t>
  </si>
  <si>
    <t>RL-25-09-1706</t>
  </si>
  <si>
    <t>RL-25-09-1707</t>
  </si>
  <si>
    <t>SRI VENKATESHWARA SUPPLIERS</t>
  </si>
  <si>
    <t>RIVER SAND</t>
  </si>
  <si>
    <t>TS07UK4005</t>
  </si>
  <si>
    <t>RL-25-09-1751</t>
  </si>
  <si>
    <t>RL-25-09-1753</t>
  </si>
  <si>
    <t>RL-25-09-1754</t>
  </si>
  <si>
    <t>PETROL</t>
  </si>
  <si>
    <t>17 STPS, 4160 25MLD MULLAKATHUVA</t>
  </si>
  <si>
    <t>TG12T3876</t>
  </si>
  <si>
    <t>HORIZONTAL LEDGER 0.85MTR</t>
  </si>
  <si>
    <t>ADJUSTABLE BASE JACK</t>
  </si>
  <si>
    <t xml:space="preserve"> SCAFF FOLDING CLAMPS</t>
  </si>
  <si>
    <t>RL-09-1837</t>
  </si>
  <si>
    <t>RL-10-1850</t>
  </si>
  <si>
    <t>J1169</t>
  </si>
  <si>
    <t>RL-25-10-1854</t>
  </si>
  <si>
    <t>RL-25-10-1855</t>
  </si>
  <si>
    <t>RL-25-10-1857</t>
  </si>
  <si>
    <t>RL-25-10-1858</t>
  </si>
  <si>
    <t>RL-25-10-1859</t>
  </si>
  <si>
    <t>RL-25-10-1861</t>
  </si>
  <si>
    <t>RL-25-10-1862</t>
  </si>
  <si>
    <t>LP282</t>
  </si>
  <si>
    <t>J2947</t>
  </si>
  <si>
    <t>RL-25-10-1896</t>
  </si>
  <si>
    <t>RL-25-10-1946</t>
  </si>
  <si>
    <t>RL-25-10-1949</t>
  </si>
  <si>
    <t>RL-25-10-1956</t>
  </si>
  <si>
    <t>RL-25-10-1957</t>
  </si>
  <si>
    <t>TH08T9248</t>
  </si>
  <si>
    <t>RL-25-10-1959</t>
  </si>
  <si>
    <t>17 STPS, 4160 14MLD SIVALAYA NAGAR</t>
  </si>
  <si>
    <t>POLYESTER GEOGRID 300</t>
  </si>
  <si>
    <t>TS07UH0656</t>
  </si>
  <si>
    <t>PVC WATER STOPPER 125MM X10MM THICK</t>
  </si>
  <si>
    <t>ROLL</t>
  </si>
  <si>
    <t>WALKWAY JALI</t>
  </si>
  <si>
    <t>LP-291</t>
  </si>
  <si>
    <t>RL-25-10-2028</t>
  </si>
  <si>
    <t>RL-25-10-2030</t>
  </si>
  <si>
    <t>RL-25-10-2033</t>
  </si>
  <si>
    <t>RL-25-10-2034</t>
  </si>
  <si>
    <t>RL-25-10-2037</t>
  </si>
  <si>
    <t>RL-25-10-2041</t>
  </si>
  <si>
    <t>J6957</t>
  </si>
  <si>
    <t>TS07JH2766</t>
  </si>
  <si>
    <t>RL-25-10-2049</t>
  </si>
  <si>
    <t>RL-25-10-2050</t>
  </si>
  <si>
    <t>RL-25-10-2052</t>
  </si>
  <si>
    <t>RL-25-10-2053</t>
  </si>
  <si>
    <t>RL-25-10-2055</t>
  </si>
  <si>
    <t>TS07UK1469</t>
  </si>
  <si>
    <t>17 STPS, 4160 43.5MLD MOOSAPET</t>
  </si>
  <si>
    <t>ADJUSTABLE U JACK</t>
  </si>
  <si>
    <t>TS15UE1025</t>
  </si>
  <si>
    <t>RL-25-10-2126</t>
  </si>
  <si>
    <t>RL-25-10-2127</t>
  </si>
  <si>
    <t>RL-25-10-2143</t>
  </si>
  <si>
    <t>RL-25-10-2144</t>
  </si>
  <si>
    <t>RL-25-10-2145</t>
  </si>
  <si>
    <t>RL-25-10-2146</t>
  </si>
  <si>
    <t>HONESTY TOOLS AND HARDWARE MART</t>
  </si>
  <si>
    <t>010/CGD Office Maheshwaram/6111/25-26</t>
  </si>
  <si>
    <t>TG12T8776</t>
  </si>
  <si>
    <t>SAFETY SHOES-WORKER-7</t>
  </si>
  <si>
    <t>SAFETY SHOE STAFF-08</t>
  </si>
  <si>
    <t>SAFETY PLASTIC SHOES - 10 (LABOUR)</t>
  </si>
  <si>
    <t>COTTON SAFETY SHOULDER PAD</t>
  </si>
  <si>
    <t>CUT RESISTANT COATED GLOVES</t>
  </si>
  <si>
    <t>CHALK PIECE BOX</t>
  </si>
  <si>
    <t>COTTON WASTE</t>
  </si>
  <si>
    <t>HAND OPERATED BARREL/DRUM PUMP</t>
  </si>
  <si>
    <t>DIGITAL WEIGHING BALANCE-150KG</t>
  </si>
  <si>
    <t>BLUE PAINT</t>
  </si>
  <si>
    <t>TURPENTINE OIL</t>
  </si>
  <si>
    <t>PAINT BRUSH  4IN</t>
  </si>
  <si>
    <t>PAINT BRUSH-1IN</t>
  </si>
  <si>
    <t>FOAM SHEET 10MM</t>
  </si>
  <si>
    <t>M</t>
  </si>
  <si>
    <t>MASTIC PAD 25MM</t>
  </si>
  <si>
    <t>MS BARROW HAND TROLLEY WHEEL</t>
  </si>
  <si>
    <t>ELECTRICAL VIBRATOR</t>
  </si>
  <si>
    <t>PETROL VIBRATOR 3 HP</t>
  </si>
  <si>
    <t>VIBRATOR NEEDLE-60MM</t>
  </si>
  <si>
    <t>.</t>
  </si>
  <si>
    <t>VIBRATOR NEEDLE-40MM</t>
  </si>
  <si>
    <t>PPH/2605/2025-26</t>
  </si>
  <si>
    <t>TG09UE3868</t>
  </si>
  <si>
    <t>RL-25-10-2170</t>
  </si>
  <si>
    <t>RL-25-10-2171</t>
  </si>
  <si>
    <t>RL-25-10-2169</t>
  </si>
  <si>
    <t>RL-25-10-2172</t>
  </si>
  <si>
    <t>RL-25-10-2173</t>
  </si>
  <si>
    <t>J3128</t>
  </si>
  <si>
    <t>RL-25-11-2219</t>
  </si>
  <si>
    <t>RL-25-11-2221</t>
  </si>
  <si>
    <t>RL-25-11-2222</t>
  </si>
  <si>
    <t>RL-25-11-2223</t>
  </si>
  <si>
    <t>RL-25-11-2225</t>
  </si>
  <si>
    <t>011/CGD Office Maheshwaram/6111/25-26</t>
  </si>
  <si>
    <t>TS08UF9824</t>
  </si>
  <si>
    <t>MEASURMENT TAPE 15MTRS</t>
  </si>
  <si>
    <t>K2046</t>
  </si>
  <si>
    <t>K2677</t>
  </si>
  <si>
    <t>K2999</t>
  </si>
  <si>
    <t>DEWATERING  PUMP 3HP (ELECTRICAL)</t>
  </si>
  <si>
    <t>DEWATERING  PUMP (PETROL)</t>
  </si>
  <si>
    <t>MS FLANGE 2IN</t>
  </si>
  <si>
    <t>RUBBER WASHER -50MM</t>
  </si>
  <si>
    <t>MS NUT,BOLT,CL5.0-M12X50MM</t>
  </si>
  <si>
    <t>RL-25-11-2259</t>
  </si>
  <si>
    <t>AKG SHUTTERINGS PRIVATE LIMITED</t>
  </si>
  <si>
    <t>U JACK 600MM</t>
  </si>
  <si>
    <t>AKG25-26TC0196</t>
  </si>
  <si>
    <t>AKG</t>
  </si>
  <si>
    <t>STEEL CHANNEL 10FT</t>
  </si>
  <si>
    <t>AKG25-26TC0197</t>
  </si>
  <si>
    <t>CLAMPS SWIVEL 40MM</t>
  </si>
  <si>
    <t>ADJUSTABLE BASE JACK 32X600 MM</t>
  </si>
  <si>
    <t>AKG25-26TC0198</t>
  </si>
  <si>
    <t>RL-25-11-2305</t>
  </si>
  <si>
    <t>RL-25-11-2306</t>
  </si>
  <si>
    <t>RL-25-11-2307</t>
  </si>
  <si>
    <t>RL-25-11-2308</t>
  </si>
  <si>
    <t>K5577</t>
  </si>
  <si>
    <t>MEIL - SAT-0000938 Sharepally (V), Boothpur</t>
  </si>
  <si>
    <t>MS SQUARE BRACING PIPE (40X40X2400MM)</t>
  </si>
  <si>
    <t>MS SQUARE WALLER PIPE (50X50X1100MM)</t>
  </si>
  <si>
    <t>1356, Dated: 12-06-2025 Amendment</t>
  </si>
  <si>
    <t>PPH/2829/2025-26</t>
  </si>
  <si>
    <t>PPH/2872/2025-26</t>
  </si>
  <si>
    <t>MASKING ADHESIVE TAPE-3IN</t>
  </si>
  <si>
    <t>CHIPPING BIT-25MM</t>
  </si>
  <si>
    <t>TS15UE7993</t>
  </si>
  <si>
    <t>RL-25-11-2419</t>
  </si>
  <si>
    <t>RL-25-11-2420</t>
  </si>
  <si>
    <t>RL-25-11-2424</t>
  </si>
  <si>
    <t>RL-25-11-2426</t>
  </si>
  <si>
    <t>RL-25-11-2431</t>
  </si>
  <si>
    <t>RL-25-11-2434</t>
  </si>
  <si>
    <t>TS08UJ8743</t>
  </si>
  <si>
    <t xml:space="preserve"> PPH/2917/2025-26</t>
  </si>
  <si>
    <t xml:space="preserve"> TS09UB5548</t>
  </si>
  <si>
    <t>CHANNEL, ISMC, MS 75X40X5M 4MTR</t>
  </si>
  <si>
    <t>CHANNEL, ISMC, MS 75X40X5M 3MTR</t>
  </si>
  <si>
    <t>PPH/2979/2025-26</t>
  </si>
  <si>
    <t>PPH/2978/2025-26</t>
  </si>
  <si>
    <t>AKG25-26TC0205</t>
  </si>
  <si>
    <t>AKG25-26TC0206</t>
  </si>
  <si>
    <t>LEDGER PIPE 1 MTR</t>
  </si>
  <si>
    <t>PPH/3072/2025-26</t>
  </si>
  <si>
    <t>TS13UC8698</t>
  </si>
  <si>
    <t>RL-25-12-2596</t>
  </si>
  <si>
    <t>RL-25-12-2597</t>
  </si>
  <si>
    <t>RL-25-12-2600</t>
  </si>
  <si>
    <t>RL-25-12-2602</t>
  </si>
  <si>
    <t>RL-25-12-2646</t>
  </si>
  <si>
    <t>RL-25-12-2648</t>
  </si>
  <si>
    <t>RL-25-12-2651</t>
  </si>
  <si>
    <t>RL-25-12-2652</t>
  </si>
  <si>
    <t>DST ENTERPRISES</t>
  </si>
  <si>
    <t>MS SQUIRE PIPE,E250-40X40X3MM</t>
  </si>
  <si>
    <t>012/CGD Office Maheshwaram/6111/25-26</t>
  </si>
  <si>
    <t>INVDST/25-26/506</t>
  </si>
  <si>
    <t>AP28V6777</t>
  </si>
  <si>
    <t>RL-25-12-2681</t>
  </si>
  <si>
    <t>RL-25-12-2682</t>
  </si>
  <si>
    <t>VENKATESHWARA TRADERS</t>
  </si>
  <si>
    <t>AGGREGATE 20MM</t>
  </si>
  <si>
    <t>VTM-12-58</t>
  </si>
  <si>
    <t>TS12UO0610</t>
  </si>
  <si>
    <t>JITENDRA ELECTRICALS</t>
  </si>
  <si>
    <t>014/CGD Office Maheshwaram/6111/25-26</t>
  </si>
  <si>
    <t>JE/1225/25-26</t>
  </si>
  <si>
    <t>TG10T1859</t>
  </si>
  <si>
    <t>INDUSTRIAL PLUG AND SOCKET,3PIN,32AMP</t>
  </si>
  <si>
    <t>SETS</t>
  </si>
  <si>
    <t>RL-25-12-2753</t>
  </si>
  <si>
    <t>RL-25-12-2755</t>
  </si>
  <si>
    <t>RL-25-12-2756</t>
  </si>
  <si>
    <t>RL-25-12-2784</t>
  </si>
  <si>
    <t>MS SIKNAJA AND CLAMP</t>
  </si>
  <si>
    <t>RL-25-12-2829</t>
  </si>
  <si>
    <t>RL-25-12-2830</t>
  </si>
  <si>
    <t>TS07UG4427</t>
  </si>
  <si>
    <t>RL-25-12-2847</t>
  </si>
  <si>
    <t>RL-25-12-2848</t>
  </si>
  <si>
    <t>PPH/3349/2025-26</t>
  </si>
  <si>
    <t>AP13Y5606</t>
  </si>
  <si>
    <t>MB INDUSTRIAL EQUIPMENT</t>
  </si>
  <si>
    <t>013/CGD Office Maheshwaram/6111/25-26</t>
  </si>
  <si>
    <t>TS07US1975</t>
  </si>
  <si>
    <t>AP29UG4272</t>
  </si>
  <si>
    <t>THERMOCOL SHEET-20X100X500MM</t>
  </si>
  <si>
    <t>BROWN TAPE 3IN</t>
  </si>
  <si>
    <t>PO-DT 17/03/2025</t>
  </si>
  <si>
    <t>RL-26-01-2964</t>
  </si>
  <si>
    <t>RL-26-01-2965</t>
  </si>
  <si>
    <t>RL-26-01-2966</t>
  </si>
  <si>
    <t>RL-26-01-2967</t>
  </si>
  <si>
    <t>RL-26-01-2968</t>
  </si>
  <si>
    <t>RL-26-01-2969</t>
  </si>
  <si>
    <t>RL-26-01-2971</t>
  </si>
  <si>
    <t>RL-26-01-2973</t>
  </si>
  <si>
    <t>RL-26-01-2974</t>
  </si>
  <si>
    <t>RL-26-01-2975</t>
  </si>
  <si>
    <t>RL-26-01-2980</t>
  </si>
  <si>
    <t>RL-26-01-2981</t>
  </si>
  <si>
    <t>RL-26-01-2982</t>
  </si>
  <si>
    <t>RL-26-01-2983</t>
  </si>
  <si>
    <t>TS08UF6020</t>
  </si>
  <si>
    <t>RL-26-01-2984</t>
  </si>
  <si>
    <t>RL-26-01-2985</t>
  </si>
  <si>
    <t>RL-26-01-2986</t>
  </si>
  <si>
    <t>TS08T9248</t>
  </si>
  <si>
    <t>RL-26-01-2987</t>
  </si>
  <si>
    <t>RL-26-01-2988</t>
  </si>
  <si>
    <t>RL-26-01-2989</t>
  </si>
  <si>
    <t>TS18T1035</t>
  </si>
  <si>
    <t>RL-26-01-2990</t>
  </si>
  <si>
    <t>RL-26-01-2991</t>
  </si>
  <si>
    <t>RL-26-01-2992</t>
  </si>
  <si>
    <t>TS08UH2741</t>
  </si>
  <si>
    <t>RL-26-01-2993</t>
  </si>
  <si>
    <t>RL-26-01-2994</t>
  </si>
  <si>
    <t>RL-26-01-2995</t>
  </si>
  <si>
    <t>RL-26-01-2996</t>
  </si>
  <si>
    <t>RL-26-01-2997</t>
  </si>
  <si>
    <t>RL-26-01-2998</t>
  </si>
  <si>
    <t>RL-26-01-2999</t>
  </si>
  <si>
    <t>RL-26-01-3000</t>
  </si>
  <si>
    <t>RL-26-01-3001</t>
  </si>
  <si>
    <t>RL-26-01-3002</t>
  </si>
  <si>
    <t>RL-26-01-3003</t>
  </si>
  <si>
    <t>RL-26-01-3004</t>
  </si>
  <si>
    <t>RL-26-01-3005</t>
  </si>
  <si>
    <t>TS07UM9248</t>
  </si>
  <si>
    <t>RL-26-01-3006</t>
  </si>
  <si>
    <t>RL-26-01-3007</t>
  </si>
  <si>
    <t>RL-26-01-3008</t>
  </si>
  <si>
    <t>RL-26-01-3010</t>
  </si>
  <si>
    <t>RL-26-01-3012</t>
  </si>
  <si>
    <t>RL-26-01-3014</t>
  </si>
  <si>
    <t>TG08T9248</t>
  </si>
  <si>
    <t>RL-26-01-3016</t>
  </si>
  <si>
    <t>RL-26-01-3017</t>
  </si>
  <si>
    <t>TS07UK1463</t>
  </si>
  <si>
    <t>RL-26-01-3093</t>
  </si>
  <si>
    <t>RL-26-01-3096</t>
  </si>
  <si>
    <t>NISA INFRA PRIVATE LIMITED</t>
  </si>
  <si>
    <t>016/CGD Office Maheshwaram/6111/25-26</t>
  </si>
  <si>
    <t>NIPL/25-26-2388</t>
  </si>
  <si>
    <t>TS08UK3056</t>
  </si>
  <si>
    <t>CHIPPING MACHINE-DXG02-15 16, 750 W</t>
  </si>
  <si>
    <t>015/CGD Office Maheshwaram/6111/25-26</t>
  </si>
  <si>
    <t>TS07UE5178</t>
  </si>
  <si>
    <t>WELDING MACHINE</t>
  </si>
  <si>
    <t>AIR BLOWER-GBL650</t>
  </si>
  <si>
    <t>PVC GAMELA</t>
  </si>
  <si>
    <t>SAFETY GUM BOOT-08 SIZE</t>
  </si>
  <si>
    <t>SAFETY GUM BOOT-09 SIZE</t>
  </si>
  <si>
    <t>A9324</t>
  </si>
  <si>
    <t>TS16EH7502</t>
  </si>
  <si>
    <t>AP11Y2851</t>
  </si>
  <si>
    <t>B4675</t>
  </si>
  <si>
    <t>APARNA ENTERPRISES LIMITED</t>
  </si>
  <si>
    <t>PO-18-25-26</t>
  </si>
  <si>
    <t>TG07V0375</t>
  </si>
  <si>
    <t>TS07UM5754</t>
  </si>
  <si>
    <t>TG07X2936</t>
  </si>
  <si>
    <t>TG07X2937</t>
  </si>
  <si>
    <t>TG07V0378</t>
  </si>
  <si>
    <t>TS07UM5753</t>
  </si>
  <si>
    <t>TG07V9220</t>
  </si>
  <si>
    <t>TG07B0376</t>
  </si>
  <si>
    <t>TG07V0379</t>
  </si>
  <si>
    <t>TG07V0377</t>
  </si>
  <si>
    <t>VTM-02-02</t>
  </si>
  <si>
    <t>TS07UM6180</t>
  </si>
  <si>
    <t>TG07V0376</t>
  </si>
  <si>
    <t>NOORJAHAN BEGUM</t>
  </si>
  <si>
    <t>MNB-01</t>
  </si>
  <si>
    <t>PPH/4057/2025-26</t>
  </si>
  <si>
    <t>PPH/4066/2025-26</t>
  </si>
  <si>
    <t>C1771</t>
  </si>
  <si>
    <t>c3829</t>
  </si>
  <si>
    <t>SDS HAMMER DRILL BIT 22 X 320 MM</t>
  </si>
  <si>
    <t>INJECTABLE MORTAR HIT RE 500 V4/500</t>
  </si>
  <si>
    <t>APC03607/25-26</t>
  </si>
  <si>
    <t>001/CGD Office Maheshwaram/6111/26-27</t>
  </si>
  <si>
    <t>NIPL/26-27/76</t>
  </si>
  <si>
    <t>PO-02/26-27</t>
  </si>
  <si>
    <t>TS07UM6181</t>
  </si>
  <si>
    <t>TG07V0380</t>
  </si>
  <si>
    <t>SRI MANIKANTA SERVICE STATION</t>
  </si>
  <si>
    <t>D4617</t>
  </si>
  <si>
    <t>PPH/0162/2026-27</t>
  </si>
  <si>
    <t xml:space="preserve"> TG07V0377</t>
  </si>
  <si>
    <t>ROTARY HAMMER DRILL MACHINE,GBH2-26RE.</t>
  </si>
  <si>
    <t xml:space="preserve"> AP1616EH7502</t>
  </si>
  <si>
    <t xml:space="preserve"> TS07UM6181</t>
  </si>
  <si>
    <t>LPA4</t>
  </si>
  <si>
    <t>HORIZONTAL LEDGER 0.915MTR</t>
  </si>
  <si>
    <t>003/CGD Office Maheshwaram/6111/26-27</t>
  </si>
  <si>
    <t>26-27/ASD/0092</t>
  </si>
  <si>
    <t>TS07UE6437</t>
  </si>
  <si>
    <t xml:space="preserve">	82605270001</t>
  </si>
  <si>
    <t xml:space="preserve">	82605270002</t>
  </si>
  <si>
    <t xml:space="preserve">	82605270003</t>
  </si>
  <si>
    <t xml:space="preserve">	82605270004</t>
  </si>
  <si>
    <t xml:space="preserve">	82605270005</t>
  </si>
  <si>
    <t xml:space="preserve">	82605270006</t>
  </si>
  <si>
    <t xml:space="preserve">	82605270007</t>
  </si>
  <si>
    <t xml:space="preserve">	82605270008</t>
  </si>
  <si>
    <t xml:space="preserve">	82605270009</t>
  </si>
  <si>
    <t xml:space="preserve">	82605270010</t>
  </si>
  <si>
    <t xml:space="preserve">	82605270011</t>
  </si>
  <si>
    <t>LTS</t>
  </si>
  <si>
    <t>E0316</t>
  </si>
  <si>
    <t>CUPLOCK VERTICAL 1MTR</t>
  </si>
  <si>
    <t xml:space="preserve">	261209002064</t>
  </si>
  <si>
    <t xml:space="preserve">	261209002066</t>
  </si>
  <si>
    <t xml:space="preserve">	261209002068</t>
  </si>
  <si>
    <t xml:space="preserve">	261209002071</t>
  </si>
  <si>
    <t xml:space="preserve">	261209002073</t>
  </si>
  <si>
    <t>m3</t>
  </si>
  <si>
    <t xml:space="preserve">	261209002189</t>
  </si>
  <si>
    <t xml:space="preserve">	261209002191</t>
  </si>
  <si>
    <t xml:space="preserve">	261209002195</t>
  </si>
  <si>
    <t xml:space="preserve">	261209002197</t>
  </si>
  <si>
    <t>MONOBLACK PUMPU</t>
  </si>
  <si>
    <t>PO-04/26-27</t>
  </si>
  <si>
    <t>07/07//2026</t>
  </si>
  <si>
    <t>CIRCULAR SAW-GKS190</t>
  </si>
  <si>
    <t>PAINT BRUSH-5IN</t>
  </si>
  <si>
    <t>PAINT ROLLER,9 INCH</t>
  </si>
  <si>
    <t>DIAMOND CUTTING BLADE-4 IN</t>
  </si>
  <si>
    <t>SPRIT LEVEL 300 MM</t>
  </si>
  <si>
    <t>DIGITAL MULTIMETER-DMM 830L</t>
  </si>
  <si>
    <t>AK ELECTRICALS &amp; HARDWARE</t>
  </si>
  <si>
    <t>PO-05/26-27</t>
  </si>
  <si>
    <t>3HP OPENWELL PUMP</t>
  </si>
  <si>
    <t>TS30T8161</t>
  </si>
  <si>
    <t>RETRUN</t>
  </si>
  <si>
    <t>LINE TESTER-816</t>
  </si>
  <si>
    <t xml:space="preserve"> Indent 025</t>
  </si>
  <si>
    <t>PVC FOOT VALVE,THREADED-3 IN</t>
  </si>
  <si>
    <t>PVC LONG BEND,6 KG/CM2-25MM X 90 DEG</t>
  </si>
  <si>
    <t>AP39G3683</t>
  </si>
  <si>
    <t>DOL STARTER,3HP,440V,6-10A-MK1</t>
  </si>
  <si>
    <t>indent25</t>
  </si>
  <si>
    <t>PO-06/26-27</t>
  </si>
  <si>
    <t>26-27/ASD/0284</t>
  </si>
  <si>
    <t>TS7UL7082</t>
  </si>
  <si>
    <t>26-27/ASD/0283</t>
  </si>
  <si>
    <t>MEIL-GACHIBOWLI-0090410</t>
  </si>
  <si>
    <t>HYDRALIC JACK -100TON</t>
  </si>
  <si>
    <t>ACE SEC2500 MOBILE TOWER CRANE</t>
  </si>
  <si>
    <t>WORK-04</t>
  </si>
  <si>
    <t>PO-07/26-27</t>
  </si>
  <si>
    <t>PPH/1394/2026-27</t>
  </si>
  <si>
    <t>TS10UC6257</t>
  </si>
  <si>
    <t>PPH/1395/2026-27</t>
  </si>
  <si>
    <t>PPH/1405/2026-27</t>
  </si>
  <si>
    <t>TS09UE3868</t>
  </si>
  <si>
    <t>SHIKANJA/SHUTTERING CLAMP 2.5 IN</t>
  </si>
  <si>
    <t>SHIKANJA/SHUTTERING CLAMP-3 IN</t>
  </si>
  <si>
    <t>AKG26-27-27TC0150</t>
  </si>
  <si>
    <t>TS08U3018</t>
  </si>
  <si>
    <t>AKG26-27-27TC0153</t>
  </si>
  <si>
    <t>AKG26-27-27TC0155</t>
  </si>
  <si>
    <t>TS13UB6673</t>
  </si>
  <si>
    <t>4 SQMM,5 CORE COPPER UNARMOURED CABLE</t>
  </si>
  <si>
    <t>TS15UE4317</t>
  </si>
  <si>
    <t>MS PLATE 410MMX460MMX12MM</t>
  </si>
  <si>
    <t>MS SUPPORTING PLATES 10FT</t>
  </si>
  <si>
    <t>AKG26-27TCO0150</t>
  </si>
  <si>
    <t>AKG26-27TCO0153</t>
  </si>
  <si>
    <t>AKG26-27TCO0155</t>
  </si>
  <si>
    <t xml:space="preserve"> </t>
  </si>
  <si>
    <t>RAPTOR SAFETY</t>
  </si>
  <si>
    <t>SAFETY SHOES-WORKER-06</t>
  </si>
  <si>
    <t>RS/26-27/1230</t>
  </si>
  <si>
    <t>TS26TA3815</t>
  </si>
  <si>
    <t>SAFETY SHOES-WORKER-08</t>
  </si>
  <si>
    <t>MUNAVATH SRINVIAS</t>
  </si>
  <si>
    <t>GEAR OIL-90</t>
  </si>
  <si>
    <t>UCON EQUIPMENTS</t>
  </si>
  <si>
    <t>WEB SLING 3 TON 75MM X 3 MTR</t>
  </si>
  <si>
    <t>UE/466/26-27</t>
  </si>
  <si>
    <t>WIRE ROPE SLING,6X36-18MMX10MTRX3TON</t>
  </si>
  <si>
    <t>D SHACKLE 3 TON</t>
  </si>
  <si>
    <t>TS12UD0610</t>
  </si>
  <si>
    <t>PVC PIPE,6KG/CM2-50MM</t>
  </si>
  <si>
    <t>AP07CZ7851</t>
  </si>
  <si>
    <t>TS07UF8965</t>
  </si>
  <si>
    <t>TS07UF8966</t>
  </si>
  <si>
    <t>TG07T7104</t>
  </si>
  <si>
    <t>TG07Y6848</t>
  </si>
  <si>
    <t>TG07T7102</t>
  </si>
  <si>
    <t>TG07T7110</t>
  </si>
  <si>
    <t>TG07T7108</t>
  </si>
  <si>
    <t>TG07T6848</t>
  </si>
  <si>
    <t>TG07T7103</t>
  </si>
  <si>
    <t>TS07UF78966</t>
  </si>
  <si>
    <t>SAFETY NET 10 MTR X 5 MTR</t>
  </si>
  <si>
    <t>RS/26-27/1345</t>
  </si>
  <si>
    <t>SWARAJ ELECTRICALS</t>
  </si>
  <si>
    <t>OPENWELL SUBMERSIBLE PUMP</t>
  </si>
  <si>
    <t>AP69G3683</t>
  </si>
  <si>
    <t>LP-685</t>
  </si>
  <si>
    <t>AP39G3688</t>
  </si>
  <si>
    <t>Invoice/Delivery Challan Qty</t>
  </si>
  <si>
    <t>Received Qty</t>
  </si>
  <si>
    <t>Total Invoie  Value</t>
  </si>
  <si>
    <t>Invoice / D.C No</t>
  </si>
  <si>
    <t>Dc Date</t>
  </si>
  <si>
    <t xml:space="preserve">Date of Received </t>
  </si>
  <si>
    <t>Store Entry No</t>
  </si>
  <si>
    <t>PO-Date</t>
  </si>
  <si>
    <t>Invoice Basic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</si>
</sst>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;[Red]0"/>
    <numFmt numFmtId="165" formatCode="_(* #,##0.00_);_(* \(#,##0.00\);_(* &quot;-&quot;??_);_(@_)"/>
    <numFmt numFmtId="166" formatCode="0.00;[Red]0.00"/>
    <numFmt numFmtId="167" formatCode="0.0;[Red]0.0"/>
    <numFmt numFmtId="168" formatCode="dd/mmyyyy"/>
    <numFmt numFmtId="169" formatCode="[$-14009]dd/mm/yyyy;@"/>
    <numFmt numFmtId="170" formatCode="#,##0.000"/>
    <numFmt numFmtId="171" formatCode="_(* #,##0_);_(* \(#,##0\);_(* &quot;-&quot;??_);_(@_)"/>
    <numFmt numFmtId="172" formatCode="_(* #,##0.000_);_(* \(#,##0.000\);_(* &quot;-&quot;??_);_(@_)"/>
  </numFmts>
  <fonts count="15" x14ac:knownFonts="1">
    <font>
      <sz val="11"/>
      <color theme="1"/>
      <name val="Bookman Old Style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2"/>
    </font>
    <font>
      <sz val="11"/>
      <color theme="1"/>
      <name val="Candara"/>
      <family val="2"/>
    </font>
    <font>
      <b/>
      <sz val="14"/>
      <color theme="1"/>
      <name val="Candara"/>
      <family val="2"/>
    </font>
    <font>
      <sz val="14"/>
      <color theme="1"/>
      <name val="Candara"/>
      <family val="2"/>
    </font>
    <font>
      <sz val="14"/>
      <color rgb="FFFF0000"/>
      <name val="Candara"/>
      <family val="2"/>
    </font>
    <font>
      <sz val="14"/>
      <color theme="1"/>
      <name val="Bookman Old Style"/>
      <family val="2"/>
    </font>
    <font>
      <sz val="10"/>
      <color theme="1"/>
      <name val="Candara"/>
      <family val="2"/>
    </font>
    <font>
      <sz val="14"/>
      <name val="Candara"/>
      <family val="2"/>
    </font>
    <font>
      <sz val="10"/>
      <name val="Arial"/>
      <family val="2"/>
    </font>
    <font>
      <sz val="14"/>
      <color theme="1"/>
      <name val="Bookman Old Style"/>
      <family val="1"/>
    </font>
    <font>
      <sz val="14"/>
      <color theme="1"/>
      <name val="Calibri"/>
      <family val="2"/>
      <scheme val="minor"/>
    </font>
    <font>
      <sz val="14"/>
      <color rgb="FF002060"/>
      <name val="Candar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65" fontId="3" fillId="0" borderId="0" applyFont="0" applyFill="0" applyBorder="0" applyAlignment="0" applyProtection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1" fillId="0" borderId="0"/>
  </cellStyleXfs>
  <cellXfs count="143">
    <xf numFmtId="0" fontId="0" fillId="0" borderId="0" xfId="0"/>
    <xf numFmtId="0" fontId="4" fillId="2" borderId="0" xfId="0" applyFont="1" applyFill="1" applyAlignment="1" applyProtection="1">
      <alignment vertical="center"/>
      <protection hidden="1"/>
    </xf>
    <xf numFmtId="0" fontId="5" fillId="3" borderId="1" xfId="0" applyFont="1" applyFill="1" applyBorder="1" applyAlignment="1" applyProtection="1">
      <alignment horizontal="center" vertical="center" wrapText="1"/>
      <protection hidden="1"/>
    </xf>
    <xf numFmtId="164" fontId="5" fillId="3" borderId="1" xfId="0" applyNumberFormat="1" applyFont="1" applyFill="1" applyBorder="1" applyAlignment="1" applyProtection="1">
      <alignment horizontal="center" vertical="center" wrapText="1"/>
      <protection hidden="1"/>
    </xf>
    <xf numFmtId="14" fontId="5" fillId="3" borderId="1" xfId="0" applyNumberFormat="1" applyFont="1" applyFill="1" applyBorder="1" applyAlignment="1" applyProtection="1">
      <alignment horizontal="center" vertical="center" wrapText="1"/>
      <protection hidden="1"/>
    </xf>
    <xf numFmtId="166" fontId="5" fillId="3" borderId="1" xfId="0" applyNumberFormat="1" applyFont="1" applyFill="1" applyBorder="1" applyAlignment="1" applyProtection="1">
      <alignment horizontal="center" vertical="center" wrapText="1"/>
      <protection hidden="1"/>
    </xf>
    <xf numFmtId="4" fontId="5" fillId="3" borderId="1" xfId="0" applyNumberFormat="1" applyFont="1" applyFill="1" applyBorder="1" applyAlignment="1" applyProtection="1">
      <alignment horizontal="center" vertical="center" wrapText="1"/>
      <protection hidden="1"/>
    </xf>
    <xf numFmtId="165" fontId="5" fillId="3" borderId="1" xfId="1" applyFont="1" applyFill="1" applyBorder="1" applyAlignment="1" applyProtection="1">
      <alignment horizontal="center" vertical="center" wrapText="1"/>
      <protection hidden="1"/>
    </xf>
    <xf numFmtId="170" fontId="5" fillId="3" borderId="1" xfId="1" applyNumberFormat="1" applyFont="1" applyFill="1" applyBorder="1" applyAlignment="1" applyProtection="1">
      <alignment horizontal="center" vertical="center" wrapText="1"/>
      <protection hidden="1"/>
    </xf>
    <xf numFmtId="167" fontId="5" fillId="3" borderId="1" xfId="1" applyNumberFormat="1" applyFont="1" applyFill="1" applyBorder="1" applyAlignment="1" applyProtection="1">
      <alignment horizontal="center" vertical="center" wrapText="1"/>
      <protection hidden="1"/>
    </xf>
    <xf numFmtId="4" fontId="5" fillId="3" borderId="1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6" fillId="2" borderId="1" xfId="0" quotePrefix="1" applyFont="1" applyFill="1" applyBorder="1" applyAlignment="1" applyProtection="1">
      <alignment horizontal="center" vertical="center" wrapText="1"/>
      <protection hidden="1"/>
    </xf>
    <xf numFmtId="164" fontId="6" fillId="4" borderId="1" xfId="0" applyNumberFormat="1" applyFont="1" applyFill="1" applyBorder="1" applyAlignment="1" applyProtection="1">
      <alignment horizontal="center" vertical="center" wrapText="1"/>
      <protection hidden="1"/>
    </xf>
    <xf numFmtId="14" fontId="6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4" borderId="1" xfId="0" applyFont="1" applyFill="1" applyBorder="1" applyAlignment="1" applyProtection="1">
      <alignment vertical="center" wrapText="1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1" xfId="0" quotePrefix="1" applyFont="1" applyFill="1" applyBorder="1" applyAlignment="1" applyProtection="1">
      <alignment horizontal="center" vertical="center" wrapText="1"/>
      <protection hidden="1"/>
    </xf>
    <xf numFmtId="1" fontId="6" fillId="4" borderId="1" xfId="0" applyNumberFormat="1" applyFont="1" applyFill="1" applyBorder="1" applyAlignment="1" applyProtection="1">
      <alignment horizontal="center" vertical="center" wrapText="1"/>
      <protection hidden="1"/>
    </xf>
    <xf numFmtId="171" fontId="6" fillId="4" borderId="1" xfId="1" applyNumberFormat="1" applyFont="1" applyFill="1" applyBorder="1" applyAlignment="1" applyProtection="1">
      <alignment vertical="center" wrapText="1"/>
      <protection hidden="1"/>
    </xf>
    <xf numFmtId="165" fontId="6" fillId="4" borderId="1" xfId="1" applyFont="1" applyFill="1" applyBorder="1" applyAlignment="1" applyProtection="1">
      <alignment horizontal="center" vertical="center" wrapText="1"/>
      <protection hidden="1"/>
    </xf>
    <xf numFmtId="166" fontId="6" fillId="4" borderId="1" xfId="0" applyNumberFormat="1" applyFont="1" applyFill="1" applyBorder="1" applyAlignment="1" applyProtection="1">
      <alignment horizontal="center" vertical="center" wrapText="1"/>
      <protection hidden="1"/>
    </xf>
    <xf numFmtId="164" fontId="6" fillId="4" borderId="1" xfId="1" applyNumberFormat="1" applyFont="1" applyFill="1" applyBorder="1" applyAlignment="1" applyProtection="1">
      <alignment horizontal="center" vertical="center" wrapText="1"/>
      <protection hidden="1"/>
    </xf>
    <xf numFmtId="167" fontId="6" fillId="4" borderId="1" xfId="1" applyNumberFormat="1" applyFont="1" applyFill="1" applyBorder="1" applyAlignment="1" applyProtection="1">
      <alignment horizontal="center" vertical="center" wrapText="1"/>
      <protection hidden="1"/>
    </xf>
    <xf numFmtId="1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4" borderId="1" xfId="0" applyFont="1" applyFill="1" applyBorder="1" applyAlignment="1" applyProtection="1">
      <alignment vertical="center"/>
      <protection hidden="1"/>
    </xf>
    <xf numFmtId="0" fontId="6" fillId="4" borderId="1" xfId="0" applyFont="1" applyFill="1" applyBorder="1" applyAlignment="1" applyProtection="1">
      <alignment horizontal="left" vertical="center" wrapText="1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6" fillId="5" borderId="1" xfId="0" quotePrefix="1" applyFont="1" applyFill="1" applyBorder="1" applyAlignment="1" applyProtection="1">
      <alignment horizontal="center" vertical="center" wrapText="1"/>
      <protection hidden="1"/>
    </xf>
    <xf numFmtId="164" fontId="6" fillId="5" borderId="1" xfId="0" applyNumberFormat="1" applyFont="1" applyFill="1" applyBorder="1" applyAlignment="1" applyProtection="1">
      <alignment horizontal="center" vertical="center" wrapText="1"/>
      <protection hidden="1"/>
    </xf>
    <xf numFmtId="14" fontId="6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5" borderId="1" xfId="0" applyFont="1" applyFill="1" applyBorder="1" applyAlignment="1" applyProtection="1">
      <alignment vertical="center" wrapText="1"/>
      <protection hidden="1"/>
    </xf>
    <xf numFmtId="0" fontId="6" fillId="5" borderId="1" xfId="0" applyFont="1" applyFill="1" applyBorder="1" applyAlignment="1" applyProtection="1">
      <alignment horizontal="center" vertical="center" wrapText="1"/>
      <protection hidden="1"/>
    </xf>
    <xf numFmtId="1" fontId="6" fillId="5" borderId="1" xfId="0" applyNumberFormat="1" applyFont="1" applyFill="1" applyBorder="1" applyAlignment="1" applyProtection="1">
      <alignment horizontal="center" vertical="center" wrapText="1"/>
      <protection hidden="1"/>
    </xf>
    <xf numFmtId="171" fontId="6" fillId="5" borderId="1" xfId="1" applyNumberFormat="1" applyFont="1" applyFill="1" applyBorder="1" applyAlignment="1" applyProtection="1">
      <alignment vertical="center" wrapText="1"/>
      <protection hidden="1"/>
    </xf>
    <xf numFmtId="165" fontId="6" fillId="5" borderId="1" xfId="1" applyFont="1" applyFill="1" applyBorder="1" applyAlignment="1" applyProtection="1">
      <alignment horizontal="center" vertical="center" wrapText="1"/>
      <protection hidden="1"/>
    </xf>
    <xf numFmtId="167" fontId="6" fillId="5" borderId="1" xfId="0" applyNumberFormat="1" applyFont="1" applyFill="1" applyBorder="1" applyAlignment="1" applyProtection="1">
      <alignment horizontal="center" vertical="center" wrapText="1"/>
      <protection hidden="1"/>
    </xf>
    <xf numFmtId="164" fontId="6" fillId="5" borderId="1" xfId="1" applyNumberFormat="1" applyFont="1" applyFill="1" applyBorder="1" applyAlignment="1" applyProtection="1">
      <alignment horizontal="center" vertical="center" wrapText="1"/>
      <protection hidden="1"/>
    </xf>
    <xf numFmtId="167" fontId="6" fillId="5" borderId="1" xfId="1" applyNumberFormat="1" applyFont="1" applyFill="1" applyBorder="1" applyAlignment="1" applyProtection="1">
      <alignment horizontal="center" vertical="center" wrapText="1"/>
      <protection hidden="1"/>
    </xf>
    <xf numFmtId="0" fontId="6" fillId="5" borderId="1" xfId="0" applyFont="1" applyFill="1" applyBorder="1" applyAlignment="1" applyProtection="1">
      <alignment vertical="center"/>
      <protection hidden="1"/>
    </xf>
    <xf numFmtId="0" fontId="6" fillId="5" borderId="1" xfId="0" applyFont="1" applyFill="1" applyBorder="1" applyAlignment="1" applyProtection="1">
      <alignment horizontal="left" vertical="center" wrapText="1"/>
      <protection hidden="1"/>
    </xf>
    <xf numFmtId="0" fontId="9" fillId="5" borderId="0" xfId="0" applyFont="1" applyFill="1" applyAlignment="1" applyProtection="1">
      <alignment vertical="center"/>
      <protection hidden="1"/>
    </xf>
    <xf numFmtId="164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14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169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vertical="center" wrapText="1"/>
      <protection hidden="1"/>
    </xf>
    <xf numFmtId="0" fontId="6" fillId="2" borderId="1" xfId="0" applyFont="1" applyFill="1" applyBorder="1" applyAlignment="1" applyProtection="1">
      <alignment horizontal="center" vertical="center" wrapText="1"/>
      <protection hidden="1"/>
    </xf>
    <xf numFmtId="171" fontId="6" fillId="2" borderId="1" xfId="1" applyNumberFormat="1" applyFont="1" applyFill="1" applyBorder="1" applyAlignment="1" applyProtection="1">
      <alignment vertical="center" wrapText="1"/>
      <protection hidden="1"/>
    </xf>
    <xf numFmtId="165" fontId="6" fillId="2" borderId="1" xfId="1" applyFont="1" applyFill="1" applyBorder="1" applyAlignment="1" applyProtection="1">
      <alignment horizontal="center" vertical="center" wrapText="1"/>
      <protection hidden="1"/>
    </xf>
    <xf numFmtId="166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164" fontId="6" fillId="2" borderId="1" xfId="1" applyNumberFormat="1" applyFont="1" applyFill="1" applyBorder="1" applyAlignment="1" applyProtection="1">
      <alignment horizontal="center" vertical="center" wrapText="1"/>
      <protection hidden="1"/>
    </xf>
    <xf numFmtId="167" fontId="6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vertical="center"/>
      <protection hidden="1"/>
    </xf>
    <xf numFmtId="0" fontId="6" fillId="2" borderId="1" xfId="0" applyFont="1" applyFill="1" applyBorder="1" applyAlignment="1" applyProtection="1">
      <alignment horizontal="left" vertical="center" wrapText="1"/>
      <protection hidden="1"/>
    </xf>
    <xf numFmtId="0" fontId="6" fillId="2" borderId="1" xfId="0" applyFont="1" applyFill="1" applyBorder="1" applyAlignment="1" applyProtection="1">
      <alignment horizontal="left" vertical="center"/>
      <protection hidden="1"/>
    </xf>
    <xf numFmtId="166" fontId="6" fillId="2" borderId="1" xfId="1" applyNumberFormat="1" applyFont="1" applyFill="1" applyBorder="1" applyAlignment="1" applyProtection="1">
      <alignment vertical="center" wrapText="1"/>
      <protection hidden="1"/>
    </xf>
    <xf numFmtId="0" fontId="6" fillId="2" borderId="1" xfId="0" quotePrefix="1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6" fillId="6" borderId="1" xfId="0" applyFont="1" applyFill="1" applyBorder="1" applyAlignment="1" applyProtection="1">
      <alignment vertical="center"/>
      <protection hidden="1"/>
    </xf>
    <xf numFmtId="171" fontId="6" fillId="2" borderId="1" xfId="1" applyNumberFormat="1" applyFont="1" applyFill="1" applyBorder="1" applyAlignment="1" applyProtection="1">
      <alignment vertical="center"/>
      <protection hidden="1"/>
    </xf>
    <xf numFmtId="171" fontId="6" fillId="4" borderId="1" xfId="1" applyNumberFormat="1" applyFont="1" applyFill="1" applyBorder="1" applyAlignment="1" applyProtection="1">
      <alignment vertical="center"/>
      <protection hidden="1"/>
    </xf>
    <xf numFmtId="0" fontId="6" fillId="4" borderId="1" xfId="0" applyFont="1" applyFill="1" applyBorder="1" applyAlignment="1" applyProtection="1">
      <alignment horizontal="left" vertical="center"/>
      <protection hidden="1"/>
    </xf>
    <xf numFmtId="167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166" fontId="6" fillId="2" borderId="1" xfId="1" applyNumberFormat="1" applyFont="1" applyFill="1" applyBorder="1" applyAlignment="1" applyProtection="1">
      <alignment vertical="center"/>
      <protection hidden="1"/>
    </xf>
    <xf numFmtId="1" fontId="6" fillId="2" borderId="1" xfId="0" quotePrefix="1" applyNumberFormat="1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wrapText="1"/>
      <protection hidden="1"/>
    </xf>
    <xf numFmtId="0" fontId="6" fillId="2" borderId="1" xfId="0" applyFont="1" applyFill="1" applyBorder="1" applyAlignment="1" applyProtection="1">
      <alignment horizontal="left"/>
      <protection hidden="1"/>
    </xf>
    <xf numFmtId="1" fontId="10" fillId="2" borderId="1" xfId="4" applyNumberFormat="1" applyFont="1" applyFill="1" applyBorder="1" applyAlignment="1" applyProtection="1">
      <alignment horizontal="center" vertical="center"/>
      <protection hidden="1"/>
    </xf>
    <xf numFmtId="166" fontId="7" fillId="2" borderId="1" xfId="1" applyNumberFormat="1" applyFont="1" applyFill="1" applyBorder="1" applyAlignment="1" applyProtection="1">
      <alignment vertical="center" wrapText="1"/>
      <protection hidden="1"/>
    </xf>
    <xf numFmtId="0" fontId="10" fillId="2" borderId="1" xfId="5" applyFont="1" applyFill="1" applyBorder="1" applyAlignment="1" applyProtection="1">
      <alignment vertical="center" wrapText="1"/>
      <protection hidden="1"/>
    </xf>
    <xf numFmtId="0" fontId="10" fillId="2" borderId="1" xfId="5" applyFont="1" applyFill="1" applyBorder="1" applyAlignment="1" applyProtection="1">
      <alignment horizontal="left" vertical="center"/>
      <protection hidden="1"/>
    </xf>
    <xf numFmtId="0" fontId="10" fillId="2" borderId="1" xfId="6" applyFont="1" applyFill="1" applyBorder="1" applyAlignment="1" applyProtection="1">
      <alignment vertical="center" wrapText="1"/>
      <protection hidden="1"/>
    </xf>
    <xf numFmtId="0" fontId="6" fillId="2" borderId="1" xfId="0" applyFont="1" applyFill="1" applyBorder="1" applyAlignment="1" applyProtection="1">
      <alignment horizontal="center" wrapText="1"/>
      <protection hidden="1"/>
    </xf>
    <xf numFmtId="165" fontId="6" fillId="2" borderId="1" xfId="1" applyFont="1" applyFill="1" applyBorder="1" applyAlignment="1" applyProtection="1">
      <alignment vertical="center" wrapText="1"/>
      <protection hidden="1"/>
    </xf>
    <xf numFmtId="0" fontId="6" fillId="4" borderId="1" xfId="0" applyFont="1" applyFill="1" applyBorder="1" applyAlignment="1" applyProtection="1">
      <alignment horizontal="center" wrapText="1"/>
      <protection hidden="1"/>
    </xf>
    <xf numFmtId="165" fontId="6" fillId="4" borderId="1" xfId="1" applyFont="1" applyFill="1" applyBorder="1" applyAlignment="1" applyProtection="1">
      <alignment vertical="center" wrapText="1"/>
      <protection hidden="1"/>
    </xf>
    <xf numFmtId="0" fontId="10" fillId="2" borderId="1" xfId="6" applyFont="1" applyFill="1" applyBorder="1" applyAlignment="1" applyProtection="1">
      <alignment horizontal="center" vertical="center"/>
      <protection hidden="1"/>
    </xf>
    <xf numFmtId="0" fontId="10" fillId="4" borderId="1" xfId="6" applyFont="1" applyFill="1" applyBorder="1" applyAlignment="1" applyProtection="1">
      <alignment vertical="center" wrapText="1"/>
      <protection hidden="1"/>
    </xf>
    <xf numFmtId="0" fontId="10" fillId="4" borderId="1" xfId="6" applyFont="1" applyFill="1" applyBorder="1" applyAlignment="1" applyProtection="1">
      <alignment horizontal="center" vertical="center"/>
      <protection hidden="1"/>
    </xf>
    <xf numFmtId="0" fontId="6" fillId="2" borderId="1" xfId="3" applyFont="1" applyFill="1" applyBorder="1" applyAlignment="1" applyProtection="1">
      <alignment horizontal="left" vertical="center" wrapText="1"/>
      <protection hidden="1"/>
    </xf>
    <xf numFmtId="165" fontId="6" fillId="2" borderId="1" xfId="1" quotePrefix="1" applyFont="1" applyFill="1" applyBorder="1" applyAlignment="1" applyProtection="1">
      <alignment vertical="center" wrapText="1"/>
      <protection hidden="1"/>
    </xf>
    <xf numFmtId="0" fontId="6" fillId="2" borderId="1" xfId="3" applyFont="1" applyFill="1" applyBorder="1" applyAlignment="1" applyProtection="1">
      <alignment horizontal="left" vertical="center"/>
      <protection hidden="1"/>
    </xf>
    <xf numFmtId="0" fontId="6" fillId="2" borderId="1" xfId="6" applyFont="1" applyFill="1" applyBorder="1" applyAlignment="1" applyProtection="1">
      <alignment vertical="center" wrapText="1"/>
      <protection hidden="1"/>
    </xf>
    <xf numFmtId="0" fontId="6" fillId="4" borderId="1" xfId="0" applyFont="1" applyFill="1" applyBorder="1" applyAlignment="1" applyProtection="1">
      <alignment horizontal="center" vertical="center"/>
      <protection hidden="1"/>
    </xf>
    <xf numFmtId="0" fontId="6" fillId="4" borderId="1" xfId="3" applyFont="1" applyFill="1" applyBorder="1" applyAlignment="1" applyProtection="1">
      <alignment horizontal="left" vertical="center" wrapText="1"/>
      <protection hidden="1"/>
    </xf>
    <xf numFmtId="1" fontId="6" fillId="4" borderId="1" xfId="0" quotePrefix="1" applyNumberFormat="1" applyFont="1" applyFill="1" applyBorder="1" applyAlignment="1" applyProtection="1">
      <alignment horizontal="center" vertical="center" wrapText="1"/>
      <protection hidden="1"/>
    </xf>
    <xf numFmtId="0" fontId="6" fillId="7" borderId="1" xfId="0" quotePrefix="1" applyFont="1" applyFill="1" applyBorder="1" applyAlignment="1" applyProtection="1">
      <alignment horizontal="center" vertical="center" wrapText="1"/>
      <protection hidden="1"/>
    </xf>
    <xf numFmtId="164" fontId="6" fillId="7" borderId="1" xfId="0" applyNumberFormat="1" applyFont="1" applyFill="1" applyBorder="1" applyAlignment="1" applyProtection="1">
      <alignment horizontal="center" vertical="center" wrapText="1"/>
      <protection hidden="1"/>
    </xf>
    <xf numFmtId="14" fontId="6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7" borderId="1" xfId="0" applyFont="1" applyFill="1" applyBorder="1" applyAlignment="1" applyProtection="1">
      <alignment vertical="center" wrapText="1"/>
      <protection hidden="1"/>
    </xf>
    <xf numFmtId="0" fontId="10" fillId="7" borderId="1" xfId="6" applyFont="1" applyFill="1" applyBorder="1" applyAlignment="1" applyProtection="1">
      <alignment vertical="center" wrapText="1"/>
      <protection hidden="1"/>
    </xf>
    <xf numFmtId="0" fontId="10" fillId="7" borderId="1" xfId="6" applyFont="1" applyFill="1" applyBorder="1" applyAlignment="1" applyProtection="1">
      <alignment horizontal="center" vertical="center"/>
      <protection hidden="1"/>
    </xf>
    <xf numFmtId="0" fontId="6" fillId="7" borderId="1" xfId="0" applyFont="1" applyFill="1" applyBorder="1" applyAlignment="1" applyProtection="1">
      <alignment horizontal="center" vertical="center" wrapText="1"/>
      <protection hidden="1"/>
    </xf>
    <xf numFmtId="1" fontId="6" fillId="7" borderId="1" xfId="0" applyNumberFormat="1" applyFont="1" applyFill="1" applyBorder="1" applyAlignment="1" applyProtection="1">
      <alignment horizontal="center" vertical="center" wrapText="1"/>
      <protection hidden="1"/>
    </xf>
    <xf numFmtId="165" fontId="6" fillId="7" borderId="1" xfId="1" applyFont="1" applyFill="1" applyBorder="1" applyAlignment="1" applyProtection="1">
      <alignment vertical="center" wrapText="1"/>
      <protection hidden="1"/>
    </xf>
    <xf numFmtId="165" fontId="6" fillId="7" borderId="1" xfId="1" applyFont="1" applyFill="1" applyBorder="1" applyAlignment="1" applyProtection="1">
      <alignment horizontal="center" vertical="center" wrapText="1"/>
      <protection hidden="1"/>
    </xf>
    <xf numFmtId="167" fontId="6" fillId="7" borderId="1" xfId="0" applyNumberFormat="1" applyFont="1" applyFill="1" applyBorder="1" applyAlignment="1" applyProtection="1">
      <alignment horizontal="center" vertical="center" wrapText="1"/>
      <protection hidden="1"/>
    </xf>
    <xf numFmtId="164" fontId="6" fillId="7" borderId="1" xfId="1" applyNumberFormat="1" applyFont="1" applyFill="1" applyBorder="1" applyAlignment="1" applyProtection="1">
      <alignment horizontal="center" vertical="center" wrapText="1"/>
      <protection hidden="1"/>
    </xf>
    <xf numFmtId="167" fontId="6" fillId="7" borderId="1" xfId="1" applyNumberFormat="1" applyFont="1" applyFill="1" applyBorder="1" applyAlignment="1" applyProtection="1">
      <alignment horizontal="center" vertical="center" wrapText="1"/>
      <protection hidden="1"/>
    </xf>
    <xf numFmtId="1" fontId="6" fillId="7" borderId="1" xfId="0" quotePrefix="1" applyNumberFormat="1" applyFont="1" applyFill="1" applyBorder="1" applyAlignment="1" applyProtection="1">
      <alignment horizontal="center" vertical="center" wrapText="1"/>
      <protection hidden="1"/>
    </xf>
    <xf numFmtId="0" fontId="6" fillId="7" borderId="1" xfId="0" applyFont="1" applyFill="1" applyBorder="1" applyAlignment="1" applyProtection="1">
      <alignment horizontal="left" vertical="center"/>
      <protection hidden="1"/>
    </xf>
    <xf numFmtId="172" fontId="6" fillId="2" borderId="1" xfId="1" applyNumberFormat="1" applyFont="1" applyFill="1" applyBorder="1" applyAlignment="1" applyProtection="1">
      <alignment vertical="center" wrapText="1"/>
      <protection hidden="1"/>
    </xf>
    <xf numFmtId="0" fontId="10" fillId="4" borderId="1" xfId="5" applyFont="1" applyFill="1" applyBorder="1" applyAlignment="1" applyProtection="1">
      <alignment vertical="center" wrapText="1"/>
      <protection hidden="1"/>
    </xf>
    <xf numFmtId="1" fontId="10" fillId="4" borderId="1" xfId="4" applyNumberFormat="1" applyFont="1" applyFill="1" applyBorder="1" applyAlignment="1" applyProtection="1">
      <alignment horizontal="center" vertical="center"/>
      <protection hidden="1"/>
    </xf>
    <xf numFmtId="166" fontId="6" fillId="2" borderId="1" xfId="1" quotePrefix="1" applyNumberFormat="1" applyFont="1" applyFill="1" applyBorder="1" applyAlignment="1" applyProtection="1">
      <alignment vertical="center" wrapText="1"/>
      <protection hidden="1"/>
    </xf>
    <xf numFmtId="0" fontId="6" fillId="4" borderId="1" xfId="0" quotePrefix="1" applyFont="1" applyFill="1" applyBorder="1" applyAlignment="1" applyProtection="1">
      <alignment horizontal="center" vertical="center"/>
      <protection hidden="1"/>
    </xf>
    <xf numFmtId="172" fontId="6" fillId="4" borderId="1" xfId="1" applyNumberFormat="1" applyFont="1" applyFill="1" applyBorder="1" applyAlignment="1" applyProtection="1">
      <alignment vertical="center" wrapText="1"/>
      <protection hidden="1"/>
    </xf>
    <xf numFmtId="0" fontId="6" fillId="4" borderId="1" xfId="6" applyFont="1" applyFill="1" applyBorder="1" applyAlignment="1" applyProtection="1">
      <alignment vertical="center" wrapText="1"/>
      <protection hidden="1"/>
    </xf>
    <xf numFmtId="0" fontId="10" fillId="6" borderId="1" xfId="6" applyFont="1" applyFill="1" applyBorder="1" applyAlignment="1" applyProtection="1">
      <alignment vertical="center" wrapText="1"/>
      <protection hidden="1"/>
    </xf>
    <xf numFmtId="0" fontId="6" fillId="6" borderId="1" xfId="0" applyFont="1" applyFill="1" applyBorder="1" applyAlignment="1" applyProtection="1">
      <alignment horizontal="left" vertical="center" wrapText="1"/>
      <protection hidden="1"/>
    </xf>
    <xf numFmtId="165" fontId="6" fillId="4" borderId="1" xfId="1" quotePrefix="1" applyFont="1" applyFill="1" applyBorder="1" applyAlignment="1" applyProtection="1">
      <alignment vertical="center" wrapText="1"/>
      <protection hidden="1"/>
    </xf>
    <xf numFmtId="171" fontId="7" fillId="2" borderId="1" xfId="1" applyNumberFormat="1" applyFont="1" applyFill="1" applyBorder="1" applyAlignment="1" applyProtection="1">
      <alignment vertical="center" wrapText="1"/>
      <protection hidden="1"/>
    </xf>
    <xf numFmtId="166" fontId="6" fillId="2" borderId="1" xfId="0" applyNumberFormat="1" applyFont="1" applyFill="1" applyBorder="1" applyAlignment="1" applyProtection="1">
      <alignment vertical="center" wrapText="1"/>
      <protection hidden="1"/>
    </xf>
    <xf numFmtId="165" fontId="7" fillId="2" borderId="1" xfId="1" applyFont="1" applyFill="1" applyBorder="1" applyAlignment="1" applyProtection="1">
      <alignment vertical="center" wrapText="1"/>
      <protection hidden="1"/>
    </xf>
    <xf numFmtId="165" fontId="7" fillId="2" borderId="1" xfId="1" quotePrefix="1" applyFont="1" applyFill="1" applyBorder="1" applyAlignment="1" applyProtection="1">
      <alignment vertical="center" wrapText="1"/>
      <protection hidden="1"/>
    </xf>
    <xf numFmtId="170" fontId="6" fillId="2" borderId="1" xfId="1" applyNumberFormat="1" applyFont="1" applyFill="1" applyBorder="1" applyAlignment="1" applyProtection="1">
      <alignment horizontal="right" vertical="center" wrapText="1"/>
      <protection hidden="1"/>
    </xf>
    <xf numFmtId="164" fontId="6" fillId="2" borderId="1" xfId="0" applyNumberFormat="1" applyFont="1" applyFill="1" applyBorder="1" applyAlignment="1" applyProtection="1">
      <alignment horizontal="center" vertical="center"/>
      <protection hidden="1"/>
    </xf>
    <xf numFmtId="14" fontId="6" fillId="2" borderId="1" xfId="0" applyNumberFormat="1" applyFont="1" applyFill="1" applyBorder="1" applyAlignment="1" applyProtection="1">
      <alignment horizontal="center" vertical="center"/>
      <protection hidden="1"/>
    </xf>
    <xf numFmtId="169" fontId="6" fillId="2" borderId="1" xfId="0" applyNumberFormat="1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wrapText="1"/>
      <protection hidden="1"/>
    </xf>
    <xf numFmtId="0" fontId="6" fillId="6" borderId="1" xfId="0" applyFont="1" applyFill="1" applyBorder="1" applyAlignment="1" applyProtection="1">
      <alignment vertical="center" wrapText="1"/>
      <protection hidden="1"/>
    </xf>
    <xf numFmtId="0" fontId="12" fillId="2" borderId="1" xfId="0" applyFont="1" applyFill="1" applyBorder="1" applyAlignment="1" applyProtection="1">
      <alignment horizontal="left" vertical="center"/>
      <protection hidden="1"/>
    </xf>
    <xf numFmtId="166" fontId="6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6" fillId="8" borderId="1" xfId="0" applyFont="1" applyFill="1" applyBorder="1" applyAlignment="1" applyProtection="1">
      <alignment vertical="center" wrapText="1"/>
      <protection hidden="1"/>
    </xf>
    <xf numFmtId="0" fontId="4" fillId="5" borderId="0" xfId="0" applyFont="1" applyFill="1" applyAlignment="1" applyProtection="1">
      <alignment vertical="center"/>
      <protection hidden="1"/>
    </xf>
    <xf numFmtId="0" fontId="13" fillId="2" borderId="2" xfId="0" applyFont="1" applyFill="1" applyBorder="1" applyAlignment="1">
      <alignment horizontal="left" wrapText="1"/>
    </xf>
    <xf numFmtId="0" fontId="14" fillId="4" borderId="1" xfId="0" applyFont="1" applyFill="1" applyBorder="1" applyAlignment="1" applyProtection="1">
      <alignment vertical="center" wrapText="1"/>
      <protection hidden="1"/>
    </xf>
    <xf numFmtId="15" fontId="13" fillId="2" borderId="2" xfId="0" applyNumberFormat="1" applyFont="1" applyFill="1" applyBorder="1" applyAlignment="1">
      <alignment horizontal="left"/>
    </xf>
    <xf numFmtId="0" fontId="6" fillId="2" borderId="0" xfId="0" applyFont="1" applyFill="1" applyAlignment="1" applyProtection="1">
      <alignment horizontal="center" vertical="center" wrapText="1"/>
      <protection hidden="1"/>
    </xf>
    <xf numFmtId="14" fontId="6" fillId="2" borderId="0" xfId="0" applyNumberFormat="1" applyFont="1" applyFill="1" applyAlignment="1" applyProtection="1">
      <alignment horizontal="center" vertical="center" wrapText="1"/>
      <protection hidden="1"/>
    </xf>
    <xf numFmtId="164" fontId="4" fillId="2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4" fontId="4" fillId="2" borderId="0" xfId="0" applyNumberFormat="1" applyFont="1" applyFill="1" applyAlignment="1" applyProtection="1">
      <alignment horizontal="center" vertical="center"/>
      <protection hidden="1"/>
    </xf>
    <xf numFmtId="169" fontId="4" fillId="2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166" fontId="4" fillId="2" borderId="0" xfId="1" applyNumberFormat="1" applyFont="1" applyFill="1" applyBorder="1" applyAlignment="1" applyProtection="1">
      <alignment horizontal="center" vertical="center"/>
      <protection hidden="1"/>
    </xf>
    <xf numFmtId="167" fontId="4" fillId="2" borderId="0" xfId="1" applyNumberFormat="1" applyFont="1" applyFill="1" applyBorder="1" applyAlignment="1" applyProtection="1">
      <alignment vertical="center"/>
      <protection hidden="1"/>
    </xf>
    <xf numFmtId="166" fontId="4" fillId="2" borderId="0" xfId="0" applyNumberFormat="1" applyFont="1" applyFill="1" applyAlignment="1" applyProtection="1">
      <alignment horizontal="center" vertical="center"/>
      <protection hidden="1"/>
    </xf>
    <xf numFmtId="165" fontId="4" fillId="2" borderId="0" xfId="1" applyFont="1" applyFill="1" applyBorder="1" applyAlignment="1" applyProtection="1">
      <alignment vertical="center"/>
      <protection hidden="1"/>
    </xf>
    <xf numFmtId="164" fontId="4" fillId="2" borderId="0" xfId="1" applyNumberFormat="1" applyFont="1" applyFill="1" applyBorder="1" applyAlignment="1" applyProtection="1">
      <alignment horizontal="center" vertical="center"/>
      <protection hidden="1"/>
    </xf>
    <xf numFmtId="1" fontId="4" fillId="2" borderId="0" xfId="0" applyNumberFormat="1" applyFont="1" applyFill="1" applyAlignment="1" applyProtection="1">
      <alignment horizontal="center" vertical="center"/>
      <protection hidden="1"/>
    </xf>
    <xf numFmtId="168" fontId="4" fillId="2" borderId="0" xfId="0" applyNumberFormat="1" applyFont="1" applyFill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</cellXfs>
  <cellStyles count="7">
    <cellStyle name="Comma" xfId="1" builtinId="3"/>
    <cellStyle name="Comma 17 15" xfId="4" xr:uid="{9B813061-C9AD-41A6-9DDB-32D1085F8BE6}"/>
    <cellStyle name="Normal" xfId="0" builtinId="0"/>
    <cellStyle name="Normal 2 2" xfId="6" xr:uid="{B0D5CF66-A87D-4D65-95DC-CD3C27A11B60}"/>
    <cellStyle name="Normal 29 16" xfId="3" xr:uid="{A1B25116-3438-4138-A2DC-F2716EF82DC6}"/>
    <cellStyle name="Normal 31" xfId="2" xr:uid="{31598244-8127-4B05-AF66-0C2E5C554A86}"/>
    <cellStyle name="Normal 31 15" xfId="5" xr:uid="{1AD9EB6E-E98C-4076-8F2A-EC7A6CC9C8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JEBEL%20ALI%20KI\My%20Documents\Jebel%20Ali%20KII\MOBI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-wdps\PUBLIC-ELEC\Documents%20and%20Settings\SCE\Local%20Settings\Temp\wz7500\TENDER%202-Akluj+Barshi+SHP-R+SHP-U-170108\Lot%20No.04-Dt%2009.09.07\amit\MERC\sagar%20JE\SUBMENU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00540\Local%20Settings\Temporary%20Internet%20Files\OLK2B\Documents%20and%20Settings\00540\Local%20Settings\Temporary%20Internet%20Files\OLK2B\devi\FR\SR\STREN-3\FR3q2001SR-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-wdps\PUBLIC-ELEC\Documents%20and%20Settings\SCE\Local%20Settings\Temp\wz7500\TENDER%202-Akluj+Barshi+SHP-R+SHP-U-170108\Lot%20No.04-Dt%2009.09.07\JE(IP)\sagar%20JE\New\Statement\Statement%202%20Average%20Sale%20ing%20Price\amit\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ost%20Data%2030.07.08\cost%20data%20as%20per%20audited%20CPA%20rates%20as%20on%20%2030.07.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-wdps\PUBLIC-ELEC\Documents%20and%20Settings\SCE\Local%20Settings\Temp\wz7500\TENDER%202-Akluj+Barshi+SHP-R+SHP-U-170108\Lot%20No.04-Dt%2009.09.07\JE(IP)\sagar%20JE\New\Changes%20in%20format%20D\amit\MERC\sagar%20JE\SUBMENU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-wdps\PUBLIC-ELEC\Documents%20and%20Settings\SCE\Local%20Settings\Temp\wz4b6\TENDER%202-Akluj+Barshi+SHP-R+SHP-U-170108\amit\MERC\sagar%20JE\SUBMENU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Cement\KVPgroup\E-Kvp\KVP-Engrs\PPRM-Housing\Namakkal%20Housing\School\T1037%20Entire%20Schoo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01.11.2004"/>
      <sheetName val="DTR"/>
      <sheetName val="CASH-FLOW"/>
      <sheetName val="drg"/>
      <sheetName val="BREAKUP OF OIL"/>
      <sheetName val="EDWise"/>
      <sheetName val="MOBIL"/>
      <sheetName val="Attachment 1"/>
      <sheetName val="DB_ET200(R. A)"/>
      <sheetName val="SPT vs PHI"/>
      <sheetName val="Joints"/>
      <sheetName val="Cash2"/>
      <sheetName val="Z"/>
      <sheetName val="공문"/>
      <sheetName val="1A-1 BLR_Material Cost"/>
      <sheetName val="Direct Labor cost"/>
      <sheetName val="목표세부명세"/>
      <sheetName val="breakdown"/>
      <sheetName val="BM"/>
      <sheetName val="Rate Analysis"/>
      <sheetName val="C3"/>
      <sheetName val="BQMPALOC"/>
      <sheetName val="ERECTION DAHEJ"/>
      <sheetName val="MTP"/>
      <sheetName val="RA"/>
      <sheetName val="Material "/>
      <sheetName val="Labour &amp; Plant"/>
      <sheetName val="HDPE"/>
      <sheetName val="DI"/>
      <sheetName val="pvc"/>
      <sheetName val="PIPE"/>
      <sheetName val="VALVE"/>
      <sheetName val="FLANG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Design"/>
      <sheetName val="Ins &amp; Bonds"/>
      <sheetName val="A-3.1"/>
      <sheetName val="Client req"/>
      <sheetName val="TTL"/>
      <sheetName val="01.11.2004"/>
      <sheetName val="CASH-FLOW"/>
      <sheetName val="drg"/>
      <sheetName val="SPT vs P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Boq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Table10"/>
      <sheetName val="Table11"/>
      <sheetName val="Table12"/>
      <sheetName val="Table9"/>
      <sheetName val="final abstract"/>
      <sheetName val="SPT_vs_PHI"/>
      <sheetName val="glass_project_concrete"/>
      <sheetName val="glass_project_reift"/>
      <sheetName val="glass_project_indices"/>
      <sheetName val="SBC-BH_19"/>
      <sheetName val="Coefficients"/>
      <sheetName val="sept-plan"/>
      <sheetName val="Other"/>
      <sheetName val="Summary"/>
      <sheetName val="Spt-BH"/>
      <sheetName val="Rate Analysis"/>
      <sheetName val="Summary 0506"/>
      <sheetName val="Summary 0607- 31.MAR"/>
      <sheetName val="#REF!"/>
      <sheetName val="Qty"/>
      <sheetName val="EDWise"/>
      <sheetName val="FitOutConfCentre"/>
      <sheetName val="Civil Boq"/>
      <sheetName val="Pile cap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SPT_vs_PHI1"/>
      <sheetName val="glass_project_concrete1"/>
      <sheetName val="glass_project_reift1"/>
      <sheetName val="glass_project_indices1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V.O.4 - PCC Qty"/>
      <sheetName val="TBAL9697 -group wise  sdpl"/>
      <sheetName val="Abstract Sheet"/>
      <sheetName val="PRECAST lightconc-II"/>
      <sheetName val="d-safe DELUXE"/>
      <sheetName val="Design"/>
      <sheetName val="Sheet3"/>
      <sheetName val="dummy"/>
      <sheetName val="Mix Design"/>
      <sheetName val="std-rates"/>
      <sheetName val="Load Details-220kV"/>
      <sheetName val="RCC,Ret. Wall"/>
      <sheetName val="Form 6"/>
      <sheetName val="PointNo.5"/>
      <sheetName val="8"/>
      <sheetName val="WWR"/>
      <sheetName val="BLK2"/>
      <sheetName val="BLK3"/>
      <sheetName val="E &amp; R"/>
      <sheetName val="radar"/>
      <sheetName val="UG"/>
      <sheetName val="Legal Risk Analysis"/>
      <sheetName val="Break up Sheet"/>
      <sheetName val="Fill this out first..."/>
      <sheetName val="LABOUR"/>
      <sheetName val="REVISED4A PROG PERF-SITE 1"/>
      <sheetName val="GBW"/>
      <sheetName val="Flight-1"/>
      <sheetName val="Publicbuilding"/>
      <sheetName val="FT-05-02IsoBOM"/>
      <sheetName val="BOQ_Direct_selling cost"/>
      <sheetName val="BOQ (2)"/>
      <sheetName val="CABLE DATA"/>
      <sheetName val="Stock-II"/>
      <sheetName val="R20_R30_work"/>
      <sheetName val="Title"/>
      <sheetName val="RA"/>
      <sheetName val="11-hsd"/>
      <sheetName val="13-septic"/>
      <sheetName val="7-ug"/>
      <sheetName val="2-utility"/>
      <sheetName val="18-misc"/>
      <sheetName val="5-pipe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beam-reinft-IIInd floor"/>
      <sheetName val="IS3370"/>
      <sheetName val="IS456"/>
      <sheetName val="A-General"/>
      <sheetName val="Footings"/>
      <sheetName val="Input"/>
      <sheetName val="Activity"/>
      <sheetName val="Staff Acco."/>
      <sheetName val="Crew"/>
      <sheetName val="Piping"/>
      <sheetName val="Pipe Supports"/>
      <sheetName val="M-Book for Conc"/>
      <sheetName val="M-Book for FW"/>
      <sheetName val="Rev S1 Abstract"/>
      <sheetName val="Quantity Abstract"/>
      <sheetName val="[Spt-BH.xls][Spt-BH.xls]B__2027"/>
      <sheetName val=""/>
      <sheetName val="Abstract"/>
      <sheetName val="B@_"/>
      <sheetName val="VCH-SLC"/>
      <sheetName val="Supplier"/>
      <sheetName val="Parapet"/>
      <sheetName val="sheet6"/>
      <sheetName val="RA-markate"/>
      <sheetName val="B@___x0004_@_____$__"/>
      <sheetName val="INPUT SHEET"/>
      <sheetName val="RES-PLANNING"/>
      <sheetName val="Sump"/>
      <sheetName val="COLUMN"/>
      <sheetName val="cubes_M20"/>
      <sheetName val="Summary_0506"/>
      <sheetName val="Summary_0607-_31_MAR"/>
      <sheetName val="Form_6"/>
      <sheetName val="[Spt-BH.xls][Spt-BH.xls]B__2028"/>
      <sheetName val="B@__x005f_x0000__x005f_x0004_@_x005f_x0000__x0000"/>
      <sheetName val="Project Budget Worksheet"/>
      <sheetName val="BS1"/>
      <sheetName val="#REF"/>
      <sheetName val="BOQ -II ph 2"/>
      <sheetName val="d-safe specs"/>
      <sheetName val="switch"/>
      <sheetName val="Cost_any"/>
      <sheetName val="Process"/>
      <sheetName val="pt_cw"/>
      <sheetName val="Metso - Forth &amp; Slurry 11.02.10"/>
      <sheetName val="Macro1"/>
      <sheetName val="Fee Rate Summary"/>
      <sheetName val="1"/>
      <sheetName val="DADAN-1"/>
      <sheetName val="Lead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Fill_this_out_first___"/>
      <sheetName val="REVISED4A_PROG_PERF-SITE_1"/>
      <sheetName val="STAFFSCHED "/>
      <sheetName val="SUMM"/>
      <sheetName val="class &amp; category"/>
      <sheetName val="Rein-Final (Ph 1+Ph2)"/>
      <sheetName val="India F&amp;S Template"/>
      <sheetName val="220 11  BS "/>
      <sheetName val="Headings"/>
      <sheetName val="Formulas"/>
      <sheetName val="HPL"/>
      <sheetName val="Costing"/>
      <sheetName val="T&amp;M"/>
      <sheetName val="SOR"/>
      <sheetName val="AOR"/>
      <sheetName val="PriceSummary"/>
      <sheetName val="FUNDFLOW"/>
      <sheetName val="col-reinft1"/>
      <sheetName val="SSR &amp; NSSR Market final"/>
      <sheetName val="p&amp;m"/>
      <sheetName val="[Spt-BH.xls][Spt-BH.xls]B__2029"/>
      <sheetName val="Site wise NADs"/>
      <sheetName val="Summary_05061"/>
      <sheetName val="Summary_0607-_31_MAR1"/>
      <sheetName val="Form_6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[Spt-BH.xls][Spt-BH.xls]_Sp_543"/>
      <sheetName val="Staff_Acco_"/>
      <sheetName val="Pipe_Supports"/>
      <sheetName val="M-Book_for_Conc"/>
      <sheetName val="M-Book_for_FW"/>
      <sheetName val="[Spt-BH.xls][Spt-BH.xls]B__2030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wt"/>
      <sheetName val="[Spt-BH.xls][Spt-BH.xls]B__2021"/>
      <sheetName val="[Spt-BH.xls][Spt-BH.xls]B__2022"/>
      <sheetName val="[Spt-BH.xls][Spt-BH.xls]B__2023"/>
      <sheetName val="[Spt-BH.xls][Spt-BH.xls]_Sp_542"/>
      <sheetName val="[Spt-BH.xls][Spt-BH.xls]B__2024"/>
      <sheetName val="02"/>
      <sheetName val="03"/>
      <sheetName val="04"/>
      <sheetName val="05"/>
      <sheetName val="LT Motor catalog"/>
      <sheetName val="Cable cat"/>
      <sheetName val="Coalmine"/>
      <sheetName val="TABLES"/>
      <sheetName val="Report"/>
      <sheetName val="Code"/>
      <sheetName val="PRRM Dashboard"/>
      <sheetName val="Mappings"/>
      <sheetName val="BHANDUP"/>
      <sheetName val="PACK (B)"/>
      <sheetName val="Abstract for Variation"/>
      <sheetName val="LBD VARIATION"/>
      <sheetName val="Quote Sheet"/>
      <sheetName val="Qty-Opt1"/>
      <sheetName val="precast RC element"/>
      <sheetName val="Build-up"/>
      <sheetName val="2gii"/>
      <sheetName val="MGS"/>
      <sheetName val="[Spt-BH.xls][Spt-BH.xls]B@[_x0000__x0004_@_x0000_"/>
      <sheetName val="[Spt-BH.xls][Spt-BH.xls]B@[?_x0004_@?"/>
      <sheetName val="[Spt-BH.xls][Spt-BH.xls][Spt-BH"/>
      <sheetName val="[Spt-BH.xls][Spt-BH.xls]B@[?@??"/>
      <sheetName val="Vind - BtB"/>
      <sheetName val="BTB"/>
      <sheetName val="cf"/>
      <sheetName val="orders"/>
      <sheetName val=" AT-1-220 "/>
      <sheetName val=" BC-220"/>
      <sheetName val="R2"/>
      <sheetName val="[Spt-BH.xls][Spt-BH.xls]_Sp_541"/>
      <sheetName val="pr.cal"/>
      <sheetName val="ELECT"/>
      <sheetName val="合成単価作成表-BLDG"/>
      <sheetName val="NPV"/>
      <sheetName val="Stress Calculation"/>
      <sheetName val="B@[_x005f_x0000__x005f_x0004_@_x005f_x0000__x0000"/>
      <sheetName val="x-items"/>
      <sheetName val="B@___x005f_x0004_@_____$__"/>
      <sheetName val="RA RCC F"/>
      <sheetName val="Cal"/>
      <sheetName val="Data"/>
      <sheetName val="Voucher"/>
      <sheetName val="Materials Cost(PCC)"/>
      <sheetName val="B@__x005f_x005f_x005f_x0000__x005f_x005f_x005f_x0004_@_"/>
      <sheetName val="DETAILED  BOQ"/>
      <sheetName val="Back"/>
      <sheetName val="B@["/>
      <sheetName val="estimate"/>
      <sheetName val="Havells  LT (XLPE)"/>
      <sheetName val="PL-ST-6"/>
      <sheetName val="C"/>
      <sheetName val="B"/>
      <sheetName val="Mx1012a"/>
      <sheetName val="BLOCK-E"/>
      <sheetName val="Cost of O &amp; O"/>
      <sheetName val="SPT_vs_PHI3"/>
      <sheetName val="glass_project_concrete3"/>
      <sheetName val="glass_project_reift3"/>
      <sheetName val="glass_project_indices3"/>
      <sheetName val="SBC-BH_192"/>
      <sheetName val="BH_12-11-10-132"/>
      <sheetName val="BH_12-11-10-92"/>
      <sheetName val="BH_36-15-372"/>
      <sheetName val="BH_16-35-25-172"/>
      <sheetName val="BH_35-25-172"/>
      <sheetName val="Sheet1_(2)2"/>
      <sheetName val="Rate_Analysis2"/>
      <sheetName val="Civil_Boq1"/>
      <sheetName val="Pile_cap1"/>
      <sheetName val="Mix_Design1"/>
      <sheetName val="PRECAST_lightconc-II1"/>
      <sheetName val="d-safe_DELUXE1"/>
      <sheetName val="PointNo_51"/>
      <sheetName val="RCC,Ret__Wall1"/>
      <sheetName val="TBAL9697_-group_wise__sdpl1"/>
      <sheetName val="Abstract_Sheet1"/>
      <sheetName val="E_&amp;_R1"/>
      <sheetName val="Legal_Risk_Analysis1"/>
      <sheetName val="Break_up_Sheet1"/>
      <sheetName val="V_O_4_-_PCC_Qty1"/>
      <sheetName val="class_&amp;_category"/>
      <sheetName val="d-safe_specs"/>
      <sheetName val="STAFFSCHED_"/>
      <sheetName val="Rein-Final_(Ph_1+Ph2)"/>
      <sheetName val="Metso_-_Forth_&amp;_Slurry_11_02_10"/>
      <sheetName val="Fee_Rate_Summary"/>
      <sheetName val="attach(2)"/>
      <sheetName val="B@_@__$"/>
      <sheetName val="inWords"/>
      <sheetName val="[Spt-BH.xls][Spt-BH.xls]B_____6"/>
      <sheetName val="[Spt-BH.xls][Spt-BH.xls]B_____7"/>
      <sheetName val="[Spt-BH.xls][Spt-BH.xls]B_____8"/>
      <sheetName val="[Spt-BH.xls][Spt-BH.xls]B_____9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_Spt__2"/>
      <sheetName val="Material "/>
      <sheetName val="Labour &amp; Plant"/>
      <sheetName val="Materials Cost"/>
      <sheetName val="Tees"/>
      <sheetName val="TRF details"/>
      <sheetName val="ComboSheet"/>
      <sheetName val="database"/>
      <sheetName val="ISA"/>
      <sheetName val="upa"/>
      <sheetName val="Joints"/>
      <sheetName val="2.2 띠장의 설계"/>
      <sheetName val="HVAC"/>
      <sheetName val="Detail"/>
      <sheetName val="3"/>
      <sheetName val="Debits as on 12.04.08"/>
      <sheetName val="Assmpns"/>
      <sheetName val="Fin Sum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ummary_05062"/>
      <sheetName val="Summary_0607-_31_MAR2"/>
      <sheetName val="Form_62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BOQ_-II_ph_21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SàQa_x0005_@_x0000__x0000__x0000_²"/>
      <sheetName val="precast_RC_element"/>
      <sheetName val="Abstract_for_Variation"/>
      <sheetName val="LBD_VARIATION"/>
      <sheetName val="LT_Motor_catalog"/>
      <sheetName val="Cable_cat"/>
      <sheetName val="PRRM_Dashboard"/>
      <sheetName val="Direct cost shed A-2 "/>
      <sheetName val="[Spt-BH.xls][Spt-BH.xls]B__2031"/>
      <sheetName val="Staff Forecast spread"/>
      <sheetName val="B@__x005f_x0000__x005f_x0004_@_x005f_x0000___$_x0"/>
      <sheetName val="B@___x005f_x005f_x005f_x0004_@_____$__"/>
      <sheetName val="B@__x005f_x005f_x005f_x005f_x005f_x005f_x005f_x0000__x0"/>
      <sheetName val="IDCCALHYD-GOO"/>
      <sheetName val="Inputs &amp; Summary Output"/>
      <sheetName val="Broad Refresher Model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ubmitCal"/>
      <sheetName val="재1"/>
      <sheetName val="Materials_Cost(PCC)"/>
      <sheetName val="Stress_Calculation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Stress_Calculation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x0000__x0004_@_x0000__x0000"/>
      <sheetName val="PL Inst RA 12"/>
      <sheetName val="Material List "/>
      <sheetName val="B@__x005f_x0000__x005f_x0004_@_"/>
      <sheetName val="[Spt-BH.xls]B____x005f_x0004______185"/>
      <sheetName val="[Spt-BH.xls]B___x005f_x0000__x000_185"/>
      <sheetName val="B@[_x005f_x005f_x005f_x0000__x005f_x005f_x005f_x0004_@_"/>
      <sheetName val="Basicrates"/>
      <sheetName val="bricks"/>
      <sheetName val="Works - Quote Sheet"/>
      <sheetName val="B@___x005f_x005f_x005f_x005f_x005f_x005f_x005f_x0004_@_"/>
      <sheetName val="B@__x005f_x005f_x005f_x005f_x005f_x005f_x005f_x005f_x00"/>
      <sheetName val="B@___x005f_x005f_x005f_x005f_x005f_x005f_x005f_x005f_x0"/>
      <sheetName val="measurement"/>
      <sheetName val="Components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[Spt-BH.xls][Spt-BH.xls]B__2032"/>
      <sheetName val="[Spt-BH.xls][Spt-BH.xls]B__2025"/>
      <sheetName val="[Spt-BH.xls][Spt-BH.xls]B__2026"/>
      <sheetName val="[Spt-BH.xls][Spt-BH.xls]_Spt__4"/>
      <sheetName val="[Spt-BH.xls][Spt-BH.xls]B____10"/>
      <sheetName val="[Spt-BH.xls][Spt-BH.xls]B____11"/>
      <sheetName val="[Spt-BH.xls][Spt-BH.xls]B____12"/>
      <sheetName val="[Spt-BH.xls]B____x005f_x0004________2"/>
      <sheetName val="[Spt-BH.xls]B___x005f_x0000__x005f_x0004__2"/>
      <sheetName val="[Spt-BH.xls][Spt-BH.xls]B____13"/>
      <sheetName val="[Spt-BH.xls]B____x005f_x0004________3"/>
      <sheetName val="[Spt-BH.xls]B___x005f_x0000__x005f_x0004__3"/>
      <sheetName val="[Spt-BH.xls][Spt-BH.xls]_Spt__5"/>
      <sheetName val="[Spt-BH.xls][Spt-BH.xls]_Spt__6"/>
      <sheetName val="[Spt-BH.xls][Spt-BH.xls]B____14"/>
      <sheetName val="[Spt-BH.xls][Spt-BH.xls]B____15"/>
      <sheetName val="[Spt-BH.xls][Spt-BH.xls]B____16"/>
      <sheetName val="[Spt-BH.xls][Spt-BH.xls]_Spt__7"/>
      <sheetName val="[Spt-BH.xls][Spt-BH.xls]B____17"/>
      <sheetName val="[Spt-BH.xls][Spt-BH.xls]B____18"/>
      <sheetName val="[Spt-BH.xls][Spt-BH.xls]B____19"/>
      <sheetName val="[Spt-BH.xls][Spt-BH.xls]B____20"/>
      <sheetName val="[Spt-BH.xls][Spt-BH.xls]_Spt_10"/>
      <sheetName val="[Spt-BH.xls][Spt-BH.xls]B____21"/>
      <sheetName val="[Spt-BH.xls][Spt-BH.xls]_Spt__8"/>
      <sheetName val="[Spt-BH.xls][Spt-BH.xls]B____22"/>
      <sheetName val="[Spt-BH.xls][Spt-BH.xls]B____23"/>
      <sheetName val="[Spt-BH.xls][Spt-BH.xls]B____24"/>
      <sheetName val="[Spt-BH.xls][Spt-BH.xls]_Spt__9"/>
      <sheetName val="[Spt-BH.xls][Spt-BH.xls]B____25"/>
      <sheetName val="[Spt-BH.xls][Spt-BH.xls]B____26"/>
      <sheetName val="[Spt-BH.xls][Spt-BH.xls]B____27"/>
      <sheetName val="[Spt-BH.xls][Spt-BH.xls]B____28"/>
      <sheetName val="[Spt-BH.xls][Spt-BH.xls]_Spt_12"/>
      <sheetName val="[Spt-BH.xls][Spt-BH.xls]B____29"/>
      <sheetName val="[Spt-BH.xls][Spt-BH.xls]B____34"/>
      <sheetName val="[Spt-BH.xls][Spt-BH.xls]B____35"/>
      <sheetName val="[Spt-BH.xls][Spt-BH.xls]B____36"/>
      <sheetName val="[Spt-BH.xls][Spt-BH.xls]B____37"/>
      <sheetName val="[Spt-BH.xls][Spt-BH.xls]B____30"/>
      <sheetName val="[Spt-BH.xls][Spt-BH.xls]B____31"/>
      <sheetName val="[Spt-BH.xls][Spt-BH.xls]B____32"/>
      <sheetName val="[Spt-BH.xls][Spt-BH.xls]B____33"/>
      <sheetName val="[Spt-BH.xls][Spt-BH.xls]_Spt_11"/>
      <sheetName val="[Spt-BH.xls][Spt-BH.xls]_Spt_13"/>
      <sheetName val="[Spt-BH.xls][Spt-BH.xls]_Spt_14"/>
      <sheetName val="[Spt-BH.xls][Spt-BH.xls]B____38"/>
      <sheetName val="[Spt-BH.xls][Spt-BH.xls]B____39"/>
      <sheetName val="[Spt-BH.xls][Spt-BH.xls]B____40"/>
      <sheetName val="[Spt-BH.xls][Spt-BH.xls]B____41"/>
      <sheetName val="DB_ET200(R. A)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[Spt-BH.xls][Spt-BH.xls]_Spt_19"/>
      <sheetName val="[Spt-BH.xls][Spt-BH.xls]B____58"/>
      <sheetName val="[Spt-BH.xls][Spt-BH.xls]B____59"/>
      <sheetName val="[Spt-BH.xls][Spt-BH.xls]B____60"/>
      <sheetName val="[Spt-BH.xls][Spt-BH.xls]_Spt_20"/>
      <sheetName val="[Spt-BH.xls][Spt-BH.xls]B____61"/>
      <sheetName val="[Spt-BH.xls][Spt-BH.xls]B____64"/>
      <sheetName val="[Spt-BH.xls][Spt-BH.xls]B____65"/>
      <sheetName val="[Spt-BH.xls][Spt-BH.xls]B____66"/>
      <sheetName val="[Spt-BH.xls][Spt-BH.xls]B____67"/>
      <sheetName val="[Spt-BH.xls][Spt-BH.xls]_Spt_16"/>
      <sheetName val="[Spt-BH.xls][Spt-BH.xls]B____46"/>
      <sheetName val="[Spt-BH.xls][Spt-BH.xls]B____47"/>
      <sheetName val="[Spt-BH.xls][Spt-BH.xls]B____48"/>
      <sheetName val="[Spt-BH.xls][Spt-BH.xls]B____49"/>
      <sheetName val="[Spt-BH.xls][Spt-BH.xls]_Spt_15"/>
      <sheetName val="[Spt-BH.xls][Spt-BH.xls]B____42"/>
      <sheetName val="[Spt-BH.xls][Spt-BH.xls]B____43"/>
      <sheetName val="[Spt-BH.xls][Spt-BH.xls]B____44"/>
      <sheetName val="[Spt-BH.xls][Spt-BH.xls]B____45"/>
      <sheetName val="[Spt-BH.xls][Spt-BH.xls]_Spt_17"/>
      <sheetName val="[Spt-BH.xls][Spt-BH.xls]B____50"/>
      <sheetName val="[Spt-BH.xls][Spt-BH.xls]B____51"/>
      <sheetName val="[Spt-BH.xls][Spt-BH.xls]B____52"/>
      <sheetName val="[Spt-BH.xls][Spt-BH.xls]B____53"/>
      <sheetName val="[Spt-BH.xls][Spt-BH.xls]_Spt_18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68"/>
      <sheetName val="[Spt-BH.xls][Spt-BH.xls]B____69"/>
      <sheetName val="[Spt-BH.xls][Spt-BH.xls]B____62"/>
      <sheetName val="[Spt-BH.xls][Spt-BH.xls]B____63"/>
      <sheetName val="[Spt-BH.xls][Spt-BH.xls]B____70"/>
      <sheetName val="[Spt-BH.xls][Spt-BH.xls]B____71"/>
      <sheetName val="[Spt-BH.xls][Spt-BH.xls]B____72"/>
      <sheetName val="[Spt-BH.xls][Spt-BH.xls]B____73"/>
      <sheetName val="[Spt-BH.xls][Spt-BH.xls]_Spt_21"/>
      <sheetName val="[Spt-BH.xls]B____x005f_x0004________4"/>
      <sheetName val="[Spt-BH.xls]B___x005f_x0000__x005f_x0004__4"/>
      <sheetName val="[Spt-BH.xls][Spt-BH.xls]B____74"/>
      <sheetName val="[Spt-BH.xls][Spt-BH.xls]B____75"/>
      <sheetName val="[Spt-BH.xls][Spt-BH.xls]B____82"/>
      <sheetName val="[Spt-BH.xls][Spt-BH.xls]B____83"/>
      <sheetName val="[Spt-BH.xls][Spt-BH.xls]B____84"/>
      <sheetName val="[Spt-BH.xls][Spt-BH.xls]B____85"/>
      <sheetName val="[Spt-BH.xls][Spt-BH.xls]B____76"/>
      <sheetName val="[Spt-BH.xls][Spt-BH.xls]B____77"/>
      <sheetName val="[Spt-BH.xls][Spt-BH.xls]B____78"/>
      <sheetName val="[Spt-BH.xls][Spt-BH.xls]_Spt_23"/>
      <sheetName val="[Spt-BH.xls][Spt-BH.xls]B____79"/>
      <sheetName val="[Spt-BH.xls][Spt-BH.xls]_Spt_22"/>
      <sheetName val="[Spt-BH.xls][Spt-BH.xls]B____86"/>
      <sheetName val="[Spt-BH.xls]B____x005f_x0004________5"/>
      <sheetName val="[Spt-BH.xls]B___x005f_x0000__x005f_x0004__5"/>
      <sheetName val="[Spt-BH.xls][Spt-BH.xls]B____87"/>
      <sheetName val="[Spt-BH.xls][Spt-BH.xls]B____80"/>
      <sheetName val="[Spt-BH.xls][Spt-BH.xls]B____81"/>
      <sheetName val="[Spt-BH.xls][Spt-BH.xls]B____94"/>
      <sheetName val="[Spt-BH.xls][Spt-BH.xls]B____95"/>
      <sheetName val="[Spt-BH.xls][Spt-BH.xls]B____96"/>
      <sheetName val="[Spt-BH.xls][Spt-BH.xls]B____97"/>
      <sheetName val="[Spt-BH.xls][Spt-BH.xls]B____88"/>
      <sheetName val="[Spt-BH.xls][Spt-BH.xls]B____89"/>
      <sheetName val="[Spt-BH.xls][Spt-BH.xls]B____90"/>
      <sheetName val="[Spt-BH.xls][Spt-BH.xls]_Spt_25"/>
      <sheetName val="[Spt-BH.xls][Spt-BH.xls]B____91"/>
      <sheetName val="[Spt-BH.xls][Spt-BH.xls]_Spt_24"/>
      <sheetName val="[Spt-BH.xls][Spt-BH.xls]B____98"/>
      <sheetName val="[Spt-BH.xls]B____x005f_x0004________6"/>
      <sheetName val="[Spt-BH.xls]B___x005f_x0000__x005f_x0004__6"/>
      <sheetName val="[Spt-BH.xls][Spt-BH.xls]B____99"/>
      <sheetName val="[Spt-BH.xls][Spt-BH.xls]B____92"/>
      <sheetName val="[Spt-BH.xls][Spt-BH.xls]B____93"/>
      <sheetName val="[Spt-BH.xls][Spt-BH.xls]_Spt_26"/>
      <sheetName val="[Spt-BH.xls][Spt-BH.xls]B___106"/>
      <sheetName val="[Spt-BH.xls][Spt-BH.xls]B___107"/>
      <sheetName val="[Spt-BH.xls][Spt-BH.xls]B___108"/>
      <sheetName val="[Spt-BH.xls][Spt-BH.xls]_Spt_28"/>
      <sheetName val="[Spt-BH.xls][Spt-BH.xls]B___109"/>
      <sheetName val="[Spt-BH.xls][Spt-BH.xls]B___100"/>
      <sheetName val="[Spt-BH.xls][Spt-BH.xls]B___101"/>
      <sheetName val="[Spt-BH.xls][Spt-BH.xls]B___102"/>
      <sheetName val="[Spt-BH.xls][Spt-BH.xls]_Spt_27"/>
      <sheetName val="[Spt-BH.xls][Spt-BH.xls]B___103"/>
      <sheetName val="[Spt-BH.xls][Spt-BH.xls]B___110"/>
      <sheetName val="[Spt-BH.xls]B____x005f_x0004________7"/>
      <sheetName val="[Spt-BH.xls]B___x005f_x0000__x005f_x0004__7"/>
      <sheetName val="[Spt-BH.xls][Spt-BH.xls]B___111"/>
      <sheetName val="[Spt-BH.xls][Spt-BH.xls]B___104"/>
      <sheetName val="[Spt-BH.xls][Spt-BH.xls]B___105"/>
      <sheetName val="[Spt-BH.xls][Spt-BH.xls]_Spt_29"/>
      <sheetName val="[Spt-BH.xls][Spt-BH.xls]B___112"/>
      <sheetName val="[Spt-BH.xls][Spt-BH.xls]B___113"/>
      <sheetName val="[Spt-BH.xls][Spt-BH.xls]B___114"/>
      <sheetName val="[Spt-BH.xls][Spt-BH.xls]B___115"/>
      <sheetName val="[Spt-BH.xls]B____x005f_x0004________8"/>
      <sheetName val="[Spt-BH.xls]B___x005f_x0000__x005f_x0004__8"/>
      <sheetName val="[Spt-BH.xls][Spt-BH.xls]B___116"/>
      <sheetName val="[Spt-BH.xls][Spt-BH.xls]B___117"/>
      <sheetName val="Intro"/>
      <sheetName val="C1C2"/>
      <sheetName val="LIFE &amp; REP PROVN"/>
      <sheetName val="O&amp;M CREW"/>
      <sheetName val="[Spt-BH.xls]B@["/>
      <sheetName val="[Spt-BH.xls][Spt-BH.xls]B@["/>
      <sheetName val="SàQa_x0005_@"/>
      <sheetName val="FT-05-02Is-"/>
      <sheetName val="[Spt-BH.xls][Spt-BH.xls]B___118"/>
      <sheetName val="[Spt-BH.xls][Spt-BH.xls]_Spt_30"/>
      <sheetName val="[Spt-BH.xls][Spt-BH.xls]B___119"/>
      <sheetName val="[Spt-BH.xls][Spt-BH.xls]B___120"/>
      <sheetName val="[Spt-BH.xls]B____x005f_x0004_______11"/>
      <sheetName val="[Spt-BH.xls]B___x005f_x0000__x005f_x0004_11"/>
      <sheetName val="[Spt-BH.xls][Spt-BH.xls]B___121"/>
      <sheetName val="[Spt-BH.xls]B____x005f_x0004________9"/>
      <sheetName val="[Spt-BH.xls]B___x005f_x0000__x005f_x0004__9"/>
      <sheetName val="[Spt-BH.xls]B____x005f_x0004_______10"/>
      <sheetName val="[Spt-BH.xls]B___x005f_x0000__x005f_x0004_10"/>
      <sheetName val="[Spt-BH.xls][Spt-BH.xls]B___134"/>
      <sheetName val="[Spt-BH.xls][Spt-BH.xls]B___135"/>
      <sheetName val="[Spt-BH.xls][Spt-BH.xls]B___136"/>
      <sheetName val="[Spt-BH.xls][Spt-BH.xls]_Spt_33"/>
      <sheetName val="[Spt-BH.xls][Spt-BH.xls]B___137"/>
      <sheetName val="[Spt-BH.xls][Spt-BH.xls]B___122"/>
      <sheetName val="[Spt-BH.xls][Spt-BH.xls]B___123"/>
      <sheetName val="[Spt-BH.xls][Spt-BH.xls]B___124"/>
      <sheetName val="[Spt-BH.xls][Spt-BH.xls]_Spt_32"/>
      <sheetName val="[Spt-BH.xls][Spt-BH.xls]B___125"/>
      <sheetName val="[Spt-BH.xls][Spt-BH.xls]B___138"/>
      <sheetName val="[Spt-BH.xls]B____x005f_x0004_______12"/>
      <sheetName val="[Spt-BH.xls]B___x005f_x0000__x005f_x0004_12"/>
      <sheetName val="[Spt-BH.xls][Spt-BH.xls]B___139"/>
      <sheetName val="[Spt-BH.xls][Spt-BH.xls]B___126"/>
      <sheetName val="[Spt-BH.xls][Spt-BH.xls]B___127"/>
      <sheetName val="[Spt-BH.xls][Spt-BH.xls]B___140"/>
      <sheetName val="[Spt-BH.xls][Spt-BH.xls]B___141"/>
      <sheetName val="[Spt-BH.xls][Spt-BH.xls]B___142"/>
      <sheetName val="[Spt-BH.xls][Spt-BH.xls]_Spt_37"/>
      <sheetName val="[Spt-BH.xls][Spt-BH.xls]B___143"/>
      <sheetName val="[Spt-BH.xls][Spt-BH.xls]B___144"/>
      <sheetName val="[Spt-BH.xls]B____x005f_x0004_______14"/>
      <sheetName val="[Spt-BH.xls]B___x005f_x0000__x005f_x0004_14"/>
      <sheetName val="[Spt-BH.xls][Spt-BH.xls]B___145"/>
      <sheetName val="[Spt-BH.xls][Spt-BH.xls]B___128"/>
      <sheetName val="[Spt-BH.xls][Spt-BH.xls]B___129"/>
      <sheetName val="[Spt-BH.xls][Spt-BH.xls]B___130"/>
      <sheetName val="[Spt-BH.xls][Spt-BH.xls]B___131"/>
      <sheetName val="[Spt-BH.xls][Spt-BH.xls]_Spt_31"/>
      <sheetName val="[Spt-BH.xls][Spt-BH.xls]B___132"/>
      <sheetName val="[Spt-BH.xls][Spt-BH.xls]B___133"/>
      <sheetName val="[Spt-BH.xls]B____x005f_x0004_______13"/>
      <sheetName val="[Spt-BH.xls]B___x005f_x0000__x005f_x0004_13"/>
      <sheetName val="[Spt-BH.xls][Spt-BH.xls]B___152"/>
      <sheetName val="[Spt-BH.xls][Spt-BH.xls]B___153"/>
      <sheetName val="[Spt-BH.xls][Spt-BH.xls]B___154"/>
      <sheetName val="[Spt-BH.xls][Spt-BH.xls]B___155"/>
      <sheetName val="[Spt-BH.xls][Spt-BH.xls]B___156"/>
      <sheetName val="[Spt-BH.xls]B____x005f_x0004_______15"/>
      <sheetName val="[Spt-BH.xls]B___x005f_x0000__x005f_x0004_15"/>
      <sheetName val="[Spt-BH.xls][Spt-BH.xls]B___157"/>
      <sheetName val="[Spt-BH.xls][Spt-BH.xls]_Spt_34"/>
      <sheetName val="[Spt-BH.xls][Spt-BH.xls]B___146"/>
      <sheetName val="[Spt-BH.xls][Spt-BH.xls]B___147"/>
      <sheetName val="[Spt-BH.xls][Spt-BH.xls]B___148"/>
      <sheetName val="[Spt-BH.xls][Spt-BH.xls]B___149"/>
      <sheetName val="[Spt-BH.xls][Spt-BH.xls]B___150"/>
      <sheetName val="[Spt-BH.xls][Spt-BH.xls]B___151"/>
      <sheetName val="[Spt-BH.xls][Spt-BH.xls]_Spt_35"/>
      <sheetName val="[Spt-BH.xls][Spt-BH.xls]_Spt_36"/>
      <sheetName val="[Spt-BH.xls][Spt-BH.xls]B___158"/>
      <sheetName val="[Spt-BH.xls][Spt-BH.xls]B___159"/>
      <sheetName val="[Spt-BH.xls][Spt-BH.xls]B___160"/>
      <sheetName val="[Spt-BH.xls][Spt-BH.xls]B___161"/>
      <sheetName val="[Spt-BH.xls][Spt-BH.xls]_Spt_38"/>
      <sheetName val="[Spt-BH.xls]B____x005f_x0004_______16"/>
      <sheetName val="[Spt-BH.xls]B___x005f_x0000__x005f_x0004_16"/>
      <sheetName val="[Spt-BH.xls][Spt-BH.xls]B___162"/>
      <sheetName val="[Spt-BH.xls][Spt-BH.xls]B___163"/>
      <sheetName val="[Spt-BH.xls][Spt-BH.xls]B___184"/>
      <sheetName val="[Spt-BH.xls][Spt-BH.xls]B___185"/>
      <sheetName val="[Spt-BH.xls][Spt-BH.xls]B___186"/>
      <sheetName val="[Spt-BH.xls][Spt-BH.xls]_Spt_44"/>
      <sheetName val="[Spt-BH.xls][Spt-BH.xls]B___187"/>
      <sheetName val="[Spt-BH.xls][Spt-BH.xls]_Spt_43"/>
      <sheetName val="[Spt-BH.xls][Spt-BH.xls]B___188"/>
      <sheetName val="[Spt-BH.xls][Spt-BH.xls]B___189"/>
      <sheetName val="[Spt-BH.xls][Spt-BH.xls]B___178"/>
      <sheetName val="[Spt-BH.xls][Spt-BH.xls]B___179"/>
      <sheetName val="[Spt-BH.xls][Spt-BH.xls]B___180"/>
      <sheetName val="[Spt-BH.xls][Spt-BH.xls]B___181"/>
      <sheetName val="[Spt-BH.xls][Spt-BH.xls]_Spt_42"/>
      <sheetName val="[Spt-BH.xls]B____x005f_x0004_______18"/>
      <sheetName val="[Spt-BH.xls]B___x005f_x0000__x005f_x0004_18"/>
      <sheetName val="[Spt-BH.xls][Spt-BH.xls]B___182"/>
      <sheetName val="[Spt-BH.xls][Spt-BH.xls]B___183"/>
      <sheetName val="[Spt-BH.xls][Spt-BH.xls]B___164"/>
      <sheetName val="[Spt-BH.xls][Spt-BH.xls]B___165"/>
      <sheetName val="[Spt-BH.xls][Spt-BH.xls]B___166"/>
      <sheetName val="[Spt-BH.xls][Spt-BH.xls]B___167"/>
      <sheetName val="[Spt-BH.xls][Spt-BH.xls]B___168"/>
      <sheetName val="[Spt-BH.xls][Spt-BH.xls]B___169"/>
      <sheetName val="[Spt-BH.xls][Spt-BH.xls]_Spt_40"/>
      <sheetName val="[Spt-BH.xls][Spt-BH.xls]B___170"/>
      <sheetName val="[Spt-BH.xls][Spt-BH.xls]B___171"/>
      <sheetName val="[Spt-BH.xls][Spt-BH.xls]_Spt_39"/>
      <sheetName val="[Spt-BH.xls][Spt-BH.xls]B___172"/>
      <sheetName val="[Spt-BH.xls][Spt-BH.xls]B___173"/>
      <sheetName val="[Spt-BH.xls][Spt-BH.xls]B___174"/>
      <sheetName val="[Spt-BH.xls][Spt-BH.xls]B___175"/>
      <sheetName val="[Spt-BH.xls][Spt-BH.xls]_Spt_41"/>
      <sheetName val="[Spt-BH.xls]B____x005f_x0004_______17"/>
      <sheetName val="[Spt-BH.xls]B___x005f_x0000__x005f_x0004_17"/>
      <sheetName val="[Spt-BH.xls][Spt-BH.xls]B___176"/>
      <sheetName val="[Spt-BH.xls][Spt-BH.xls]B___177"/>
      <sheetName val="[Spt-BH.xls][Spt-BH.xls]B___190"/>
      <sheetName val="[Spt-BH.xls][Spt-BH.xls]B___191"/>
      <sheetName val="[Spt-BH.xls][Spt-BH.xls]B___192"/>
      <sheetName val="[Spt-BH.xls][Spt-BH.xls]_Spt_45"/>
      <sheetName val="[Spt-BH.xls][Spt-BH.xls]B___193"/>
      <sheetName val="[Spt-BH.xls][Spt-BH.xls]B___194"/>
      <sheetName val="[Spt-BH.xls]B____x005f_x0004_______19"/>
      <sheetName val="[Spt-BH.xls]B___x005f_x0000__x005f_x0004_19"/>
      <sheetName val="[Spt-BH.xls][Spt-BH.xls]B___195"/>
      <sheetName val="[Spt-BH.xls][Spt-BH.xls]B___196"/>
      <sheetName val="[Spt-BH.xls][Spt-BH.xls]B___197"/>
      <sheetName val="[Spt-BH.xls][Spt-BH.xls]B___198"/>
      <sheetName val="[Spt-BH.xls][Spt-BH.xls]B___199"/>
      <sheetName val="[Spt-BH.xls]B____x005f_x0004_______20"/>
      <sheetName val="[Spt-BH.xls]B___x005f_x0000__x005f_x0004_20"/>
      <sheetName val="[Spt-BH.xls][Spt-BH.xls]B___200"/>
      <sheetName val="[Spt-BH.xls][Spt-BH.xls]B___201"/>
      <sheetName val="[Spt-BH.xls][Spt-BH.xls]B___202"/>
      <sheetName val="[Spt-BH.xls][Spt-BH.xls]_Spt_46"/>
      <sheetName val="[Spt-BH.xls][Spt-BH.xls]B___203"/>
      <sheetName val="[Spt-BH.xls][Spt-BH.xls]B___204"/>
      <sheetName val="[Spt-BH.xls]B____x005f_x0004_______21"/>
      <sheetName val="[Spt-BH.xls]B___x005f_x0000__x005f_x0004_21"/>
      <sheetName val="[Spt-BH.xls][Spt-BH.xls]B___205"/>
      <sheetName val="[Spt-BH.xls][Spt-BH.xls]B___206"/>
      <sheetName val="[Spt-BH.xls][Spt-BH.xls]B___207"/>
      <sheetName val="[Spt-BH.xls][Spt-BH.xls]B___208"/>
      <sheetName val="[Spt-BH.xls][Spt-BH.xls]_Spt_48"/>
      <sheetName val="[Spt-BH.xls][Spt-BH.xls]B___209"/>
      <sheetName val="[Spt-BH.xls][Spt-BH.xls]_Spt_47"/>
      <sheetName val="[Spt-BH.xls][Spt-BH.xls]B___210"/>
      <sheetName val="[Spt-BH.xls][Spt-BH.xls]B___211"/>
      <sheetName val="[Spt-BH.xls][Spt-BH.xls]B___272"/>
      <sheetName val="[Spt-BH.xls][Spt-BH.xls]B___273"/>
      <sheetName val="[Spt-BH.xls][Spt-BH.xls]B___274"/>
      <sheetName val="[Spt-BH.xls][Spt-BH.xls]_Spt_64"/>
      <sheetName val="[Spt-BH.xls][Spt-BH.xls]B___275"/>
      <sheetName val="[Spt-BH.xls][Spt-BH.xls]B___242"/>
      <sheetName val="[Spt-BH.xls][Spt-BH.xls]B___243"/>
      <sheetName val="[Spt-BH.xls][Spt-BH.xls]B___244"/>
      <sheetName val="[Spt-BH.xls][Spt-BH.xls]_Spt_63"/>
      <sheetName val="[Spt-BH.xls][Spt-BH.xls]B___245"/>
      <sheetName val="[Spt-BH.xls][Spt-BH.xls]_Spt_56"/>
      <sheetName val="[Spt-BH.xls][Spt-BH.xls]B___276"/>
      <sheetName val="[Spt-BH.xls]B____x005f_x0004_______25"/>
      <sheetName val="[Spt-BH.xls]B___x005f_x0000__x005f_x0004_25"/>
      <sheetName val="[Spt-BH.xls][Spt-BH.xls]B___277"/>
      <sheetName val="[Spt-BH.xls][Spt-BH.xls]B___246"/>
      <sheetName val="[Spt-BH.xls][Spt-BH.xls]B___247"/>
      <sheetName val="[Spt-BH.xls][Spt-BH.xls]B___218"/>
      <sheetName val="[Spt-BH.xls][Spt-BH.xls]B___219"/>
      <sheetName val="[Spt-BH.xls][Spt-BH.xls]B___220"/>
      <sheetName val="[Spt-BH.xls][Spt-BH.xls]_Spt_51"/>
      <sheetName val="[Spt-BH.xls][Spt-BH.xls]B___221"/>
      <sheetName val="[Spt-BH.xls][Spt-BH.xls]B___212"/>
      <sheetName val="[Spt-BH.xls][Spt-BH.xls]B___213"/>
      <sheetName val="[Spt-BH.xls][Spt-BH.xls]B___214"/>
      <sheetName val="[Spt-BH.xls][Spt-BH.xls]_Spt_50"/>
      <sheetName val="[Spt-BH.xls][Spt-BH.xls]B___215"/>
      <sheetName val="[Spt-BH.xls][Spt-BH.xls]_Spt_49"/>
      <sheetName val="[Spt-BH.xls][Spt-BH.xls]B___222"/>
      <sheetName val="[Spt-BH.xls]B____x005f_x0004_______22"/>
      <sheetName val="[Spt-BH.xls]B___x005f_x0000__x005f_x0004_22"/>
      <sheetName val="[Spt-BH.xls][Spt-BH.xls]B___223"/>
      <sheetName val="[Spt-BH.xls][Spt-BH.xls]B___216"/>
      <sheetName val="[Spt-BH.xls][Spt-BH.xls]B___217"/>
      <sheetName val="[Spt-BH.xls][Spt-BH.xls]B___236"/>
      <sheetName val="[Spt-BH.xls][Spt-BH.xls]B___237"/>
      <sheetName val="[Spt-BH.xls][Spt-BH.xls]B___238"/>
      <sheetName val="[Spt-BH.xls][Spt-BH.xls]_Spt_55"/>
      <sheetName val="[Spt-BH.xls][Spt-BH.xls]B___239"/>
      <sheetName val="[Spt-BH.xls][Spt-BH.xls]_Spt_54"/>
      <sheetName val="[Spt-BH.xls][Spt-BH.xls]B___240"/>
      <sheetName val="[Spt-BH.xls][Spt-BH.xls]B___241"/>
      <sheetName val="[Spt-BH.xls][Spt-BH.xls]B___230"/>
      <sheetName val="[Spt-BH.xls][Spt-BH.xls]B___231"/>
      <sheetName val="[Spt-BH.xls][Spt-BH.xls]B___232"/>
      <sheetName val="[Spt-BH.xls][Spt-BH.xls]B___233"/>
      <sheetName val="[Spt-BH.xls][Spt-BH.xls]B___224"/>
      <sheetName val="[Spt-BH.xls][Spt-BH.xls]B___225"/>
      <sheetName val="[Spt-BH.xls][Spt-BH.xls]B___226"/>
      <sheetName val="[Spt-BH.xls][Spt-BH.xls]_Spt_53"/>
      <sheetName val="[Spt-BH.xls][Spt-BH.xls]B___227"/>
      <sheetName val="[Spt-BH.xls][Spt-BH.xls]_Spt_52"/>
      <sheetName val="[Spt-BH.xls][Spt-BH.xls]B___234"/>
      <sheetName val="[Spt-BH.xls]B____x005f_x0004_______23"/>
      <sheetName val="[Spt-BH.xls]B___x005f_x0000__x005f_x0004_23"/>
      <sheetName val="[Spt-BH.xls][Spt-BH.xls]B___235"/>
      <sheetName val="[Spt-BH.xls][Spt-BH.xls]B___228"/>
      <sheetName val="[Spt-BH.xls][Spt-BH.xls]B___229"/>
      <sheetName val="[Spt-BH.xls]B____x005f_x0004_______24"/>
      <sheetName val="[Spt-BH.xls]B___x005f_x0000__x005f_x0004_24"/>
      <sheetName val="[Spt-BH.xls][Spt-BH.xls]B___278"/>
      <sheetName val="[Spt-BH.xls][Spt-BH.xls]B___279"/>
      <sheetName val="[Spt-BH.xls][Spt-BH.xls]B___280"/>
      <sheetName val="[Spt-BH.xls][Spt-BH.xls]_Spt_65"/>
      <sheetName val="[Spt-BH.xls][Spt-BH.xls]B___281"/>
      <sheetName val="[Spt-BH.xls][Spt-BH.xls]B___282"/>
      <sheetName val="[Spt-BH.xls]B____x005f_x0004_______27"/>
      <sheetName val="[Spt-BH.xls]B___x005f_x0000__x005f_x0004_27"/>
      <sheetName val="[Spt-BH.xls][Spt-BH.xls]B___283"/>
      <sheetName val="[Spt-BH.xls][Spt-BH.xls]B___248"/>
      <sheetName val="[Spt-BH.xls][Spt-BH.xls]B___249"/>
      <sheetName val="[Spt-BH.xls][Spt-BH.xls]B___250"/>
      <sheetName val="[Spt-BH.xls][Spt-BH.xls]B___251"/>
      <sheetName val="[Spt-BH.xls][Spt-BH.xls]_Spt_57"/>
      <sheetName val="[Spt-BH.xls][Spt-BH.xls]B___252"/>
      <sheetName val="[Spt-BH.xls][Spt-BH.xls]B___253"/>
      <sheetName val="[Spt-BH.xls][Spt-BH.xls]_Spt_58"/>
      <sheetName val="[Spt-BH.xls][Spt-BH.xls]B___254"/>
      <sheetName val="[Spt-BH.xls][Spt-BH.xls]B___255"/>
      <sheetName val="[Spt-BH.xls][Spt-BH.xls]B___256"/>
      <sheetName val="[Spt-BH.xls][Spt-BH.xls]_Spt_59"/>
      <sheetName val="[Spt-BH.xls][Spt-BH.xls]B___257"/>
      <sheetName val="[Spt-BH.xls][Spt-BH.xls]B___258"/>
      <sheetName val="[Spt-BH.xls][Spt-BH.xls]B___259"/>
      <sheetName val="[Spt-BH.xls][Spt-BH.xls]B___266"/>
      <sheetName val="[Spt-BH.xls][Spt-BH.xls]B___267"/>
      <sheetName val="[Spt-BH.xls][Spt-BH.xls]B___268"/>
      <sheetName val="[Spt-BH.xls][Spt-BH.xls]_Spt_62"/>
      <sheetName val="[Spt-BH.xls][Spt-BH.xls]B___269"/>
      <sheetName val="[Spt-BH.xls][Spt-BH.xls]B___260"/>
      <sheetName val="[Spt-BH.xls][Spt-BH.xls]B___261"/>
      <sheetName val="[Spt-BH.xls][Spt-BH.xls]B___262"/>
      <sheetName val="[Spt-BH.xls][Spt-BH.xls]_Spt_61"/>
      <sheetName val="[Spt-BH.xls][Spt-BH.xls]B___263"/>
      <sheetName val="[Spt-BH.xls][Spt-BH.xls]_Spt_60"/>
      <sheetName val="[Spt-BH.xls][Spt-BH.xls]B___270"/>
      <sheetName val="[Spt-BH.xls]B____x005f_x0004_______26"/>
      <sheetName val="[Spt-BH.xls]B___x005f_x0000__x005f_x0004_26"/>
      <sheetName val="[Spt-BH.xls][Spt-BH.xls]B___271"/>
      <sheetName val="[Spt-BH.xls][Spt-BH.xls]B___264"/>
      <sheetName val="[Spt-BH.xls][Spt-BH.xls]B___265"/>
      <sheetName val="[Spt-BH.xls][Spt-BH.xls]B___284"/>
      <sheetName val="[Spt-BH.xls][Spt-BH.xls]B___285"/>
      <sheetName val="[Spt-BH.xls][Spt-BH.xls]B___286"/>
      <sheetName val="[Spt-BH.xls][Spt-BH.xls]_Spt_67"/>
      <sheetName val="[Spt-BH.xls][Spt-BH.xls]B___287"/>
      <sheetName val="[Spt-BH.xls][Spt-BH.xls]_Spt_66"/>
      <sheetName val="[Spt-BH.xls][Spt-BH.xls]B___288"/>
      <sheetName val="[Spt-BH.xls][Spt-BH.xls]B___289"/>
      <sheetName val="[Spt-BH.xls][Spt-BH.xls]B___290"/>
      <sheetName val="[Spt-BH.xls][Spt-BH.xls]B___291"/>
      <sheetName val="[Spt-BH.xls][Spt-BH.xls]B___292"/>
      <sheetName val="[Spt-BH.xls][Spt-BH.xls]_Spt_68"/>
      <sheetName val="[Spt-BH.xls][Spt-BH.xls]B___293"/>
      <sheetName val="[Spt-BH.xls][Spt-BH.xls]B___294"/>
      <sheetName val="[Spt-BH.xls]B____x005f_x0004_______28"/>
      <sheetName val="[Spt-BH.xls]B___x005f_x0000__x005f_x0004_28"/>
      <sheetName val="[Spt-BH.xls][Spt-BH.xls]B___295"/>
      <sheetName val="[Spt-BH.xls][Spt-BH.xls]_Spt_69"/>
      <sheetName val="[Spt-BH.xls][Spt-BH.xls]_Spt_70"/>
      <sheetName val="[Spt-BH.xls][Spt-BH.xls]B___302"/>
      <sheetName val="[Spt-BH.xls][Spt-BH.xls]B___303"/>
      <sheetName val="[Spt-BH.xls][Spt-BH.xls]B___304"/>
      <sheetName val="[Spt-BH.xls][Spt-BH.xls]_Spt_72"/>
      <sheetName val="[Spt-BH.xls][Spt-BH.xls]B___305"/>
      <sheetName val="[Spt-BH.xls][Spt-BH.xls]B___296"/>
      <sheetName val="[Spt-BH.xls][Spt-BH.xls]B___297"/>
      <sheetName val="[Spt-BH.xls][Spt-BH.xls]B___298"/>
      <sheetName val="[Spt-BH.xls][Spt-BH.xls]_Spt_71"/>
      <sheetName val="[Spt-BH.xls][Spt-BH.xls]B___299"/>
      <sheetName val="[Spt-BH.xls][Spt-BH.xls]B___306"/>
      <sheetName val="[Spt-BH.xls]B____x005f_x0004_______29"/>
      <sheetName val="[Spt-BH.xls]B___x005f_x0000__x005f_x0004_29"/>
      <sheetName val="[Spt-BH.xls][Spt-BH.xls]B___307"/>
      <sheetName val="[Spt-BH.xls][Spt-BH.xls]B___300"/>
      <sheetName val="[Spt-BH.xls][Spt-BH.xls]B___301"/>
      <sheetName val="[Spt-BH.xls][Spt-BH.xls]_Spt_74"/>
      <sheetName val="[Spt-BH.xls][Spt-BH.xls]B___320"/>
      <sheetName val="[Spt-BH.xls][Spt-BH.xls]B___321"/>
      <sheetName val="[Spt-BH.xls][Spt-BH.xls]B___322"/>
      <sheetName val="[Spt-BH.xls][Spt-BH.xls]_Spt_76"/>
      <sheetName val="[Spt-BH.xls][Spt-BH.xls]B___323"/>
      <sheetName val="[Spt-BH.xls][Spt-BH.xls]B___314"/>
      <sheetName val="[Spt-BH.xls][Spt-BH.xls]B___315"/>
      <sheetName val="[Spt-BH.xls][Spt-BH.xls]B___316"/>
      <sheetName val="[Spt-BH.xls][Spt-BH.xls]_Spt_75"/>
      <sheetName val="[Spt-BH.xls][Spt-BH.xls]B___317"/>
      <sheetName val="[Spt-BH.xls][Spt-BH.xls]B___324"/>
      <sheetName val="[Spt-BH.xls]B____x005f_x0004_______31"/>
      <sheetName val="[Spt-BH.xls]B___x005f_x0000__x005f_x0004_31"/>
      <sheetName val="[Spt-BH.xls][Spt-BH.xls]B___325"/>
      <sheetName val="[Spt-BH.xls][Spt-BH.xls]B___318"/>
      <sheetName val="[Spt-BH.xls][Spt-BH.xls]B___319"/>
      <sheetName val="[Spt-BH.xls][Spt-BH.xls]_Spt_73"/>
      <sheetName val="[Spt-BH.xls][Spt-BH.xls]B___308"/>
      <sheetName val="[Spt-BH.xls][Spt-BH.xls]B___309"/>
      <sheetName val="[Spt-BH.xls][Spt-BH.xls]B___310"/>
      <sheetName val="[Spt-BH.xls][Spt-BH.xls]B___311"/>
      <sheetName val="[Spt-BH.xls]B____x005f_x0004_______30"/>
      <sheetName val="[Spt-BH.xls]B___x005f_x0000__x005f_x0004_30"/>
      <sheetName val="[Spt-BH.xls][Spt-BH.xls]B___312"/>
      <sheetName val="[Spt-BH.xls][Spt-BH.xls]B___313"/>
      <sheetName val="[Spt-BH.xls][Spt-BH.xls]_Spt_77"/>
      <sheetName val="[Spt-BH.xls][Spt-BH.xls]B___332"/>
      <sheetName val="[Spt-BH.xls][Spt-BH.xls]B___333"/>
      <sheetName val="[Spt-BH.xls][Spt-BH.xls]B___334"/>
      <sheetName val="[Spt-BH.xls][Spt-BH.xls]_Spt_79"/>
      <sheetName val="[Spt-BH.xls][Spt-BH.xls]B___335"/>
      <sheetName val="[Spt-BH.xls][Spt-BH.xls]B___326"/>
      <sheetName val="[Spt-BH.xls][Spt-BH.xls]B___327"/>
      <sheetName val="[Spt-BH.xls][Spt-BH.xls]B___328"/>
      <sheetName val="[Spt-BH.xls][Spt-BH.xls]_Spt_78"/>
      <sheetName val="[Spt-BH.xls][Spt-BH.xls]B___329"/>
      <sheetName val="[Spt-BH.xls][Spt-BH.xls]B___336"/>
      <sheetName val="[Spt-BH.xls]B____x005f_x0004_______32"/>
      <sheetName val="[Spt-BH.xls]B___x005f_x0000__x005f_x0004_32"/>
      <sheetName val="[Spt-BH.xls][Spt-BH.xls]B___337"/>
      <sheetName val="[Spt-BH.xls][Spt-BH.xls]B___330"/>
      <sheetName val="[Spt-BH.xls][Spt-BH.xls]B___331"/>
      <sheetName val="[Spt-BH.xls][Spt-BH.xls]B___344"/>
      <sheetName val="[Spt-BH.xls][Spt-BH.xls]B___345"/>
      <sheetName val="[Spt-BH.xls][Spt-BH.xls]B___346"/>
      <sheetName val="[Spt-BH.xls][Spt-BH.xls]_Spt_82"/>
      <sheetName val="[Spt-BH.xls][Spt-BH.xls]B___347"/>
      <sheetName val="[Spt-BH.xls][Spt-BH.xls]_Spt_81"/>
      <sheetName val="[Spt-BH.xls][Spt-BH.xls]B___348"/>
      <sheetName val="[Spt-BH.xls][Spt-BH.xls]B___349"/>
      <sheetName val="[Spt-BH.xls][Spt-BH.xls]B___350"/>
      <sheetName val="[Spt-BH.xls][Spt-BH.xls]B___351"/>
      <sheetName val="[Spt-BH.xls][Spt-BH.xls]B___352"/>
      <sheetName val="[Spt-BH.xls][Spt-BH.xls]_Spt_85"/>
      <sheetName val="[Spt-BH.xls][Spt-BH.xls]B___353"/>
      <sheetName val="[Spt-BH.xls][Spt-BH.xls]B___354"/>
      <sheetName val="[Spt-BH.xls]B____x005f_x0004_______34"/>
      <sheetName val="[Spt-BH.xls]B___x005f_x0000__x005f_x0004_34"/>
      <sheetName val="[Spt-BH.xls][Spt-BH.xls]B___355"/>
      <sheetName val="[Spt-BH.xls][Spt-BH.xls]B___338"/>
      <sheetName val="[Spt-BH.xls][Spt-BH.xls]B___339"/>
      <sheetName val="[Spt-BH.xls][Spt-BH.xls]B___340"/>
      <sheetName val="[Spt-BH.xls][Spt-BH.xls]B___341"/>
      <sheetName val="[Spt-BH.xls][Spt-BH.xls]_Spt_80"/>
      <sheetName val="[Spt-BH.xls][Spt-BH.xls]B___342"/>
      <sheetName val="[Spt-BH.xls][Spt-BH.xls]B___343"/>
      <sheetName val="[Spt-BH.xls]B____x005f_x0004_______33"/>
      <sheetName val="[Spt-BH.xls]B___x005f_x0000__x005f_x0004_33"/>
      <sheetName val="[Spt-BH.xls][Spt-BH.xls]B___368"/>
      <sheetName val="[Spt-BH.xls][Spt-BH.xls]B___369"/>
      <sheetName val="[Spt-BH.xls][Spt-BH.xls]B___370"/>
      <sheetName val="[Spt-BH.xls][Spt-BH.xls]_Spt_87"/>
      <sheetName val="[Spt-BH.xls][Spt-BH.xls]B___371"/>
      <sheetName val="[Spt-BH.xls][Spt-BH.xls]B___372"/>
      <sheetName val="[Spt-BH.xls][Spt-BH.xls]B___373"/>
      <sheetName val="[Spt-BH.xls][Spt-BH.xls]_Spt_83"/>
      <sheetName val="[Spt-BH.xls][Spt-BH.xls]B___356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_Spt_84"/>
      <sheetName val="[Spt-BH.xls][Spt-BH.xls]B___362"/>
      <sheetName val="[Spt-BH.xls][Spt-BH.xls]B___363"/>
      <sheetName val="[Spt-BH.xls][Spt-BH.xls]B___364"/>
      <sheetName val="[Spt-BH.xls][Spt-BH.xls]B___365"/>
      <sheetName val="[Spt-BH.xls][Spt-BH.xls]B___366"/>
      <sheetName val="[Spt-BH.xls][Spt-BH.xls]B___367"/>
      <sheetName val="[Spt-BH.xls][Spt-BH.xls]_Spt_86"/>
      <sheetName val="[Spt-BH.xls][Spt-BH.xls]_Spt_88"/>
      <sheetName val="[Spt-BH.xls][Spt-BH.xls]B___374"/>
      <sheetName val="[Spt-BH.xls][Spt-BH.xls]B___375"/>
      <sheetName val="[Spt-BH.xls][Spt-BH.xls]B___376"/>
      <sheetName val="[Spt-BH.xls][Spt-BH.xls]_Spt_89"/>
      <sheetName val="[Spt-BH.xls][Spt-BH.xls]B___377"/>
      <sheetName val="[Spt-BH.xls][Spt-BH.xls]B___378"/>
      <sheetName val="[Spt-BH.xls][Spt-BH.xls]B___379"/>
      <sheetName val="[Spt-BH.xls][Spt-BH.xls]_Spt_90"/>
      <sheetName val="[Spt-BH.xls][Spt-BH.xls]B___380"/>
      <sheetName val="[Spt-BH.xls][Spt-BH.xls]B___381"/>
      <sheetName val="[Spt-BH.xls][Spt-BH.xls]B___382"/>
      <sheetName val="[Spt-BH.xls][Spt-BH.xls]_Spt_91"/>
      <sheetName val="[Spt-BH.xls][Spt-BH.xls]B___383"/>
      <sheetName val="[Spt-BH.xls][Spt-BH.xls]B___384"/>
      <sheetName val="[Spt-BH.xls][Spt-BH.xls]B___385"/>
      <sheetName val="[Spt-BH.xls][Spt-BH.xls]B___386"/>
      <sheetName val="[Spt-BH.xls][Spt-BH.xls]B___387"/>
      <sheetName val="[Spt-BH.xls][Spt-BH.xls]B___388"/>
      <sheetName val="[Spt-BH.xls][Spt-BH.xls]_Spt_95"/>
      <sheetName val="[Spt-BH.xls][Spt-BH.xls]B___389"/>
      <sheetName val="[Spt-BH.xls][Spt-BH.xls]_Spt_92"/>
      <sheetName val="[Spt-BH.xls][Spt-BH.xls]B___390"/>
      <sheetName val="[Spt-BH.xls][Spt-BH.xls]B___391"/>
      <sheetName val="[Spt-BH.xls][Spt-BH.xls]B___404"/>
      <sheetName val="[Spt-BH.xls][Spt-BH.xls]B___405"/>
      <sheetName val="[Spt-BH.xls][Spt-BH.xls]B___406"/>
      <sheetName val="[Spt-BH.xls][Spt-BH.xls]_Spt_96"/>
      <sheetName val="[Spt-BH.xls][Spt-BH.xls]B___407"/>
      <sheetName val="[Spt-BH.xls][Spt-BH.xls]B___408"/>
      <sheetName val="[Spt-BH.xls]B____x005f_x0004_______35"/>
      <sheetName val="[Spt-BH.xls]B___x005f_x0000__x005f_x0004_35"/>
      <sheetName val="[Spt-BH.xls][Spt-BH.xls]B___409"/>
      <sheetName val="[Spt-BH.xls][Spt-BH.xls]_Spt_93"/>
      <sheetName val="[Spt-BH.xls][Spt-BH.xls]B___392"/>
      <sheetName val="[Spt-BH.xls][Spt-BH.xls]B___393"/>
      <sheetName val="[Spt-BH.xls][Spt-BH.xls]B___394"/>
      <sheetName val="[Spt-BH.xls][Spt-BH.xls]B___395"/>
      <sheetName val="[Spt-BH.xls][Spt-BH.xls]B___396"/>
      <sheetName val="[Spt-BH.xls][Spt-BH.xls]B___397"/>
      <sheetName val="[Spt-BH.xls][Spt-BH.xls]_Spt_94"/>
      <sheetName val="[Spt-BH.xls][Spt-BH.xls]B___398"/>
      <sheetName val="[Spt-BH.xls][Spt-BH.xls]B___399"/>
      <sheetName val="[Spt-BH.xls][Spt-BH.xls]B___400"/>
      <sheetName val="[Spt-BH.xls][Spt-BH.xls]B___401"/>
      <sheetName val="[Spt-BH.xls][Spt-BH.xls]B___402"/>
      <sheetName val="[Spt-BH.xls][Spt-BH.xls]B___403"/>
      <sheetName val="[Spt-BH.xls][Spt-BH.xls]_Spt_97"/>
      <sheetName val="[Spt-BH.xls][Spt-BH.xls]_Spt_98"/>
      <sheetName val="[Spt-BH.xls][Spt-BH.xls]B___422"/>
      <sheetName val="[Spt-BH.xls][Spt-BH.xls]B___423"/>
      <sheetName val="[Spt-BH.xls][Spt-BH.xls]B___424"/>
      <sheetName val="[Spt-BH.xls][Spt-BH.xls]_Sp_104"/>
      <sheetName val="[Spt-BH.xls][Spt-BH.xls]B___425"/>
      <sheetName val="[Spt-BH.xls][Spt-BH.xls]B___416"/>
      <sheetName val="[Spt-BH.xls][Spt-BH.xls]B___417"/>
      <sheetName val="[Spt-BH.xls][Spt-BH.xls]B___418"/>
      <sheetName val="[Spt-BH.xls][Spt-BH.xls]_Sp_100"/>
      <sheetName val="[Spt-BH.xls][Spt-BH.xls]B___419"/>
      <sheetName val="[Spt-BH.xls][Spt-BH.xls]_Spt_99"/>
      <sheetName val="[Spt-BH.xls][Spt-BH.xls]B___426"/>
      <sheetName val="[Spt-BH.xls]B____x005f_x0004_______36"/>
      <sheetName val="[Spt-BH.xls]B___x005f_x0000__x005f_x0004_36"/>
      <sheetName val="[Spt-BH.xls][Spt-BH.xls]B___427"/>
      <sheetName val="[Spt-BH.xls][Spt-BH.xls]B___420"/>
      <sheetName val="[Spt-BH.xls][Spt-BH.xls]B___421"/>
      <sheetName val="[Spt-BH.xls][Spt-BH.xls]B___410"/>
      <sheetName val="[Spt-BH.xls][Spt-BH.xls]B___411"/>
      <sheetName val="[Spt-BH.xls][Spt-BH.xls]B___412"/>
      <sheetName val="[Spt-BH.xls][Spt-BH.xls]B___413"/>
      <sheetName val="[Spt-BH.xls][Spt-BH.xls]B___414"/>
      <sheetName val="[Spt-BH.xls][Spt-BH.xls]B___415"/>
      <sheetName val="[Spt-BH.xls][Spt-BH.xls]B___446"/>
      <sheetName val="[Spt-BH.xls][Spt-BH.xls]B___447"/>
      <sheetName val="[Spt-BH.xls][Spt-BH.xls]B___448"/>
      <sheetName val="[Spt-BH.xls][Spt-BH.xls]_Sp_106"/>
      <sheetName val="[Spt-BH.xls][Spt-BH.xls]B___449"/>
      <sheetName val="[Spt-BH.xls][Spt-BH.xls]B___428"/>
      <sheetName val="[Spt-BH.xls][Spt-BH.xls]B___429"/>
      <sheetName val="[Spt-BH.xls][Spt-BH.xls]B___430"/>
      <sheetName val="[Spt-BH.xls][Spt-BH.xls]B___431"/>
      <sheetName val="[Spt-BH.xls][Spt-BH.xls]_Sp_101"/>
      <sheetName val="[Spt-BH.xls][Spt-BH.xls]B___450"/>
      <sheetName val="[Spt-BH.xls]B____x005f_x0004_______38"/>
      <sheetName val="[Spt-BH.xls]B___x005f_x0000__x005f_x0004_38"/>
      <sheetName val="[Spt-BH.xls][Spt-BH.xls]B___451"/>
      <sheetName val="[Spt-BH.xls][Spt-BH.xls]B___432"/>
      <sheetName val="[Spt-BH.xls][Spt-BH.xls]B___433"/>
      <sheetName val="[Spt-BH.xls]B____x005f_x0004_______37"/>
      <sheetName val="[Spt-BH.xls]B___x005f_x0000__x005f_x0004_37"/>
      <sheetName val="[Spt-BH.xls][Spt-BH.xls]_Sp_102"/>
      <sheetName val="[Spt-BH.xls][Spt-BH.xls]B___434"/>
      <sheetName val="[Spt-BH.xls][Spt-BH.xls]B___435"/>
      <sheetName val="[Spt-BH.xls][Spt-BH.xls]B___436"/>
      <sheetName val="[Spt-BH.xls][Spt-BH.xls]B___437"/>
      <sheetName val="[Spt-BH.xls][Spt-BH.xls]B___438"/>
      <sheetName val="[Spt-BH.xls][Spt-BH.xls]B___439"/>
      <sheetName val="[Spt-BH.xls][Spt-BH.xls]_Sp_103"/>
      <sheetName val="[Spt-BH.xls][Spt-BH.xls]B___440"/>
      <sheetName val="[Spt-BH.xls][Spt-BH.xls]B___441"/>
      <sheetName val="[Spt-BH.xls][Spt-BH.xls]B___442"/>
      <sheetName val="[Spt-BH.xls][Spt-BH.xls]B___443"/>
      <sheetName val="[Spt-BH.xls][Spt-BH.xls]B___444"/>
      <sheetName val="[Spt-BH.xls][Spt-BH.xls]B___445"/>
      <sheetName val="[Spt-BH.xls][Spt-BH.xls]_Sp_105"/>
      <sheetName val="[Spt-BH.xls][Spt-BH.xls]B___476"/>
      <sheetName val="[Spt-BH.xls][Spt-BH.xls]B___477"/>
      <sheetName val="[Spt-BH.xls][Spt-BH.xls]B___478"/>
      <sheetName val="[Spt-BH.xls][Spt-BH.xls]_Sp_112"/>
      <sheetName val="[Spt-BH.xls][Spt-BH.xls]B___479"/>
      <sheetName val="[Spt-BH.xls][Spt-BH.xls]B___470"/>
      <sheetName val="[Spt-BH.xls][Spt-BH.xls]B___471"/>
      <sheetName val="[Spt-BH.xls][Spt-BH.xls]B___472"/>
      <sheetName val="[Spt-BH.xls][Spt-BH.xls]_Sp_111"/>
      <sheetName val="[Spt-BH.xls][Spt-BH.xls]B___473"/>
      <sheetName val="[Spt-BH.xls][Spt-BH.xls]_Sp_110"/>
      <sheetName val="[Spt-BH.xls][Spt-BH.xls]B___474"/>
      <sheetName val="[Spt-BH.xls][Spt-BH.xls]B___475"/>
      <sheetName val="[Spt-BH.xls][Spt-BH.xls]B___480"/>
      <sheetName val="[Spt-BH.xls]B____x005f_x0004_______40"/>
      <sheetName val="[Spt-BH.xls]B___x005f_x0000__x005f_x0004_40"/>
      <sheetName val="[Spt-BH.xls][Spt-BH.xls]B___481"/>
      <sheetName val="[Spt-BH.xls][Spt-BH.xls]B___458"/>
      <sheetName val="[Spt-BH.xls][Spt-BH.xls]B___459"/>
      <sheetName val="[Spt-BH.xls][Spt-BH.xls]B___460"/>
      <sheetName val="[Spt-BH.xls][Spt-BH.xls]_Sp_109"/>
      <sheetName val="[Spt-BH.xls][Spt-BH.xls]B___461"/>
      <sheetName val="[Spt-BH.xls][Spt-BH.xls]_Sp_108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07"/>
      <sheetName val="[Spt-BH.xls][Spt-BH.xls]B___452"/>
      <sheetName val="[Spt-BH.xls][Spt-BH.xls]B___453"/>
      <sheetName val="[Spt-BH.xls][Spt-BH.xls]B___454"/>
      <sheetName val="[Spt-BH.xls][Spt-BH.xls]B___455"/>
      <sheetName val="[Spt-BH.xls][Spt-BH.xls]B___456"/>
      <sheetName val="[Spt-BH.xls][Spt-BH.xls]B___457"/>
      <sheetName val="[Spt-BH.xls][Spt-BH.xls]B___462"/>
      <sheetName val="[Spt-BH.xls]B____x005f_x0004_______39"/>
      <sheetName val="[Spt-BH.xls]B___x005f_x0000__x005f_x0004_39"/>
      <sheetName val="[Spt-BH.xls][Spt-BH.xls]B___463"/>
      <sheetName val="[Spt-BH.xls][Spt-BH.xls]B___468"/>
      <sheetName val="[Spt-BH.xls][Spt-BH.xls]B___469"/>
      <sheetName val="[Spt-BH.xls][Spt-BH.xls]_Sp_113"/>
      <sheetName val="[Spt-BH.xls][Spt-BH.xls]B___488"/>
      <sheetName val="[Spt-BH.xls][Spt-BH.xls]B___489"/>
      <sheetName val="[Spt-BH.xls][Spt-BH.xls]B___490"/>
      <sheetName val="[Spt-BH.xls][Spt-BH.xls]_Sp_115"/>
      <sheetName val="[Spt-BH.xls][Spt-BH.xls]B___491"/>
      <sheetName val="[Spt-BH.xls][Spt-BH.xls]B___482"/>
      <sheetName val="[Spt-BH.xls][Spt-BH.xls]B___483"/>
      <sheetName val="[Spt-BH.xls][Spt-BH.xls]B___484"/>
      <sheetName val="[Spt-BH.xls][Spt-BH.xls]_Sp_114"/>
      <sheetName val="[Spt-BH.xls][Spt-BH.xls]B___485"/>
      <sheetName val="[Spt-BH.xls][Spt-BH.xls]B___492"/>
      <sheetName val="[Spt-BH.xls]B____x005f_x0004_______41"/>
      <sheetName val="[Spt-BH.xls]B___x005f_x0000__x005f_x0004_41"/>
      <sheetName val="[Spt-BH.xls][Spt-BH.xls]B___493"/>
      <sheetName val="[Spt-BH.xls][Spt-BH.xls]B___486"/>
      <sheetName val="[Spt-BH.xls][Spt-BH.xls]B___487"/>
      <sheetName val="[Spt-BH.xls][Spt-BH.xls]B___498"/>
      <sheetName val="[Spt-BH.xls][Spt-BH.xls]B___499"/>
      <sheetName val="[Spt-BH.xls][Spt-BH.xls]B___500"/>
      <sheetName val="[Spt-BH.xls][Spt-BH.xls]B___501"/>
      <sheetName val="[Spt-BH.xls][Spt-BH.xls]B___494"/>
      <sheetName val="[Spt-BH.xls][Spt-BH.xls]B___495"/>
      <sheetName val="[Spt-BH.xls][Spt-BH.xls]B___496"/>
      <sheetName val="[Spt-BH.xls][Spt-BH.xls]_Sp_117"/>
      <sheetName val="[Spt-BH.xls][Spt-BH.xls]B___497"/>
      <sheetName val="[Spt-BH.xls][Spt-BH.xls]_Sp_116"/>
      <sheetName val="[Spt-BH.xls]B____x005f_x0004_______43"/>
      <sheetName val="[Spt-BH.xls]B___x005f_x0000__x005f_x0004_43"/>
      <sheetName val="[Spt-BH.xls]B____x005f_x0004_______42"/>
      <sheetName val="[Spt-BH.xls]B___x005f_x0000__x005f_x0004_42"/>
      <sheetName val="[Spt-BH.xls][Spt-BH.xls]_Sp_118"/>
      <sheetName val="[Spt-BH.xls][Spt-BH.xls]_Sp_120"/>
      <sheetName val="[Spt-BH.xls][Spt-BH.xls]_Sp_119"/>
      <sheetName val="[Spt-BH.xls][Spt-BH.xls]B___506"/>
      <sheetName val="[Spt-BH.xls][Spt-BH.xls]B___507"/>
      <sheetName val="[Spt-BH.xls][Spt-BH.xls]B___508"/>
      <sheetName val="[Spt-BH.xls][Spt-BH.xls]_Sp_123"/>
      <sheetName val="[Spt-BH.xls][Spt-BH.xls]B___509"/>
      <sheetName val="[Spt-BH.xls][Spt-BH.xls]B___502"/>
      <sheetName val="[Spt-BH.xls][Spt-BH.xls]_Sp_122"/>
      <sheetName val="[Spt-BH.xls][Spt-BH.xls]B___503"/>
      <sheetName val="[Spt-BH.xls][Spt-BH.xls]_Sp_121"/>
      <sheetName val="[Spt-BH.xls][Spt-BH.xls]B___510"/>
      <sheetName val="[Spt-BH.xls][Spt-BH.xls]B___511"/>
      <sheetName val="[Spt-BH.xls][Spt-BH.xls]B___504"/>
      <sheetName val="[Spt-BH.xls][Spt-BH.xls]B___505"/>
      <sheetName val="[Spt-BH.xls][Spt-BH.xls]_Sp_124"/>
      <sheetName val="[Spt-BH.xls][Spt-BH.xls]B___512"/>
      <sheetName val="[Spt-BH.xls][Spt-BH.xls]B___513"/>
      <sheetName val="[Spt-BH.xls][Spt-BH.xls]B___514"/>
      <sheetName val="[Spt-BH.xls][Spt-BH.xls]B___515"/>
      <sheetName val="[Spt-BH.xls][Spt-BH.xls]B___516"/>
      <sheetName val="[Spt-BH.xls][Spt-BH.xls]B___517"/>
      <sheetName val="[Spt-BH.xls][Spt-BH.xls]_Sp_125"/>
      <sheetName val="[Spt-BH.xls][Spt-BH.xls]B___518"/>
      <sheetName val="[Spt-BH.xls][Spt-BH.xls]B___519"/>
      <sheetName val="[Spt-BH.xls][Spt-BH.xls]B___520"/>
      <sheetName val="[Spt-BH.xls][Spt-BH.xls]B___521"/>
      <sheetName val="[Spt-BH.xls][Spt-BH.xls]B___522"/>
      <sheetName val="[Spt-BH.xls][Spt-BH.xls]B___523"/>
      <sheetName val="[Spt-BH.xls][Spt-BH.xls]_Sp_126"/>
      <sheetName val="[Spt-BH.xls][Spt-BH.xls]B___524"/>
      <sheetName val="[Spt-BH.xls][Spt-BH.xls]B___525"/>
      <sheetName val="[Spt-BH.xls][Spt-BH.xls]B___526"/>
      <sheetName val="[Spt-BH.xls][Spt-BH.xls]B___527"/>
      <sheetName val="[Spt-BH.xls][Spt-BH.xls]B___528"/>
      <sheetName val="[Spt-BH.xls][Spt-BH.xls]B___529"/>
      <sheetName val="[Spt-BH.xls][Spt-BH.xls]B___642"/>
      <sheetName val="[Spt-BH.xls][Spt-BH.xls]B___643"/>
      <sheetName val="[Spt-BH.xls][Spt-BH.xls]B___644"/>
      <sheetName val="[Spt-BH.xls][Spt-BH.xls]_Sp_148"/>
      <sheetName val="[Spt-BH.xls][Spt-BH.xls]B___645"/>
      <sheetName val="[Spt-BH.xls][Spt-BH.xls]B___636"/>
      <sheetName val="[Spt-BH.xls][Spt-BH.xls]B___637"/>
      <sheetName val="[Spt-BH.xls][Spt-BH.xls]B___638"/>
      <sheetName val="[Spt-BH.xls][Spt-BH.xls]_Sp_147"/>
      <sheetName val="[Spt-BH.xls][Spt-BH.xls]B___639"/>
      <sheetName val="[Spt-BH.xls][Spt-BH.xls]_Sp_146"/>
      <sheetName val="[Spt-BH.xls][Spt-BH.xls]B___530"/>
      <sheetName val="[Spt-BH.xls][Spt-BH.xls]B___531"/>
      <sheetName val="[Spt-BH.xls][Spt-BH.xls]B___640"/>
      <sheetName val="[Spt-BH.xls]B____x005f_x0004_______47"/>
      <sheetName val="[Spt-BH.xls]B___x005f_x0000__x005f_x0004_47"/>
      <sheetName val="[Spt-BH.xls][Spt-BH.xls]B___641"/>
      <sheetName val="[Spt-BH.xls]B____x005f_x0004_______45"/>
      <sheetName val="[Spt-BH.xls]B___x005f_x0000__x005f_x0004_45"/>
      <sheetName val="[Spt-BH.xls]B____x005f_x0004_______44"/>
      <sheetName val="[Spt-BH.xls]B___x005f_x0000__x005f_x0004_44"/>
      <sheetName val="[Spt-BH.xls]B____x005f_x0004_______46"/>
      <sheetName val="[Spt-BH.xls]B___x005f_x0000__x005f_x0004_46"/>
      <sheetName val="[Spt-BH.xls][Spt-BH.xls]B___558"/>
      <sheetName val="[Spt-BH.xls][Spt-BH.xls]B___559"/>
      <sheetName val="[Spt-BH.xls][Spt-BH.xls]B___560"/>
      <sheetName val="[Spt-BH.xls][Spt-BH.xls]_Sp_133"/>
      <sheetName val="[Spt-BH.xls][Spt-BH.xls]B___561"/>
      <sheetName val="[Spt-BH.xls][Spt-BH.xls]_Sp_132"/>
      <sheetName val="[Spt-BH.xls][Spt-BH.xls]B___562"/>
      <sheetName val="[Spt-BH.xls][Spt-BH.xls]B___563"/>
      <sheetName val="[Spt-BH.xls][Spt-BH.xls]_Sp_128"/>
      <sheetName val="[Spt-BH.xls][Spt-BH.xls]B___536"/>
      <sheetName val="[Spt-BH.xls][Spt-BH.xls]B___537"/>
      <sheetName val="[Spt-BH.xls][Spt-BH.xls]B___538"/>
      <sheetName val="[Spt-BH.xls][Spt-BH.xls]_Sp_130"/>
      <sheetName val="[Spt-BH.xls][Spt-BH.xls]B___539"/>
      <sheetName val="[Spt-BH.xls][Spt-BH.xls]B___540"/>
      <sheetName val="[Spt-BH.xls][Spt-BH.xls]B___541"/>
      <sheetName val="[Spt-BH.xls][Spt-BH.xls]B___548"/>
      <sheetName val="[Spt-BH.xls][Spt-BH.xls]B___549"/>
      <sheetName val="[Spt-BH.xls][Spt-BH.xls]B___550"/>
      <sheetName val="[Spt-BH.xls][Spt-BH.xls]_Sp_131"/>
      <sheetName val="[Spt-BH.xls][Spt-BH.xls]B___551"/>
      <sheetName val="[Spt-BH.xls][Spt-BH.xls]B___552"/>
      <sheetName val="[Spt-BH.xls][Spt-BH.xls]B___553"/>
      <sheetName val="[Spt-BH.xls][Spt-BH.xls]B___532"/>
      <sheetName val="[Spt-BH.xls][Spt-BH.xls]B___533"/>
      <sheetName val="[Spt-BH.xls][Spt-BH.xls]_Sp_127"/>
      <sheetName val="[Spt-BH.xls][Spt-BH.xls]B___534"/>
      <sheetName val="[Spt-BH.xls][Spt-BH.xls]B___535"/>
      <sheetName val="[Spt-BH.xls][Spt-BH.xls]B___554"/>
      <sheetName val="[Spt-BH.xls][Spt-BH.xls]B___555"/>
      <sheetName val="[Spt-BH.xls][Spt-BH.xls]B___556"/>
      <sheetName val="[Spt-BH.xls][Spt-BH.xls]B___557"/>
      <sheetName val="[Spt-BH.xls][Spt-BH.xls]_Sp_129"/>
      <sheetName val="[Spt-BH.xls][Spt-BH.xls]B___542"/>
      <sheetName val="[Spt-BH.xls][Spt-BH.xls]B___543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64"/>
      <sheetName val="[Spt-BH.xls][Spt-BH.xls]B___565"/>
      <sheetName val="[Spt-BH.xls][Spt-BH.xls]B___566"/>
      <sheetName val="[Spt-BH.xls][Spt-BH.xls]_Sp_136"/>
      <sheetName val="[Spt-BH.xls][Spt-BH.xls]B___567"/>
      <sheetName val="[Spt-BH.xls][Spt-BH.xls]_Sp_134"/>
      <sheetName val="[Spt-BH.xls][Spt-BH.xls]B___568"/>
      <sheetName val="[Spt-BH.xls][Spt-BH.xls]B___569"/>
      <sheetName val="[Spt-BH.xls][Spt-BH.xls]B___576"/>
      <sheetName val="[Spt-BH.xls][Spt-BH.xls]B___577"/>
      <sheetName val="[Spt-BH.xls][Spt-BH.xls]B___578"/>
      <sheetName val="[Spt-BH.xls][Spt-BH.xls]_Sp_137"/>
      <sheetName val="[Spt-BH.xls][Spt-BH.xls]B___579"/>
      <sheetName val="[Spt-BH.xls][Spt-BH.xls]B___580"/>
      <sheetName val="[Spt-BH.xls][Spt-BH.xls]B___581"/>
      <sheetName val="[Spt-BH.xls][Spt-BH.xls]_Sp_135"/>
      <sheetName val="[Spt-BH.xls][Spt-BH.xls]B___570"/>
      <sheetName val="[Spt-BH.xls][Spt-BH.xls]B___571"/>
      <sheetName val="[Spt-BH.xls][Spt-BH.xls]B___572"/>
      <sheetName val="[Spt-BH.xls][Spt-BH.xls]B___573"/>
      <sheetName val="[Spt-BH.xls][Spt-BH.xls]B___574"/>
      <sheetName val="[Spt-BH.xls][Spt-BH.xls]B___575"/>
      <sheetName val="[Spt-BH.xls][Spt-BH.xls]B___582"/>
      <sheetName val="[Spt-BH.xls][Spt-BH.xls]B___583"/>
      <sheetName val="[Spt-BH.xls][Spt-BH.xls]B___584"/>
      <sheetName val="[Spt-BH.xls][Spt-BH.xls]_Sp_141"/>
      <sheetName val="[Spt-BH.xls][Spt-BH.xls]B___585"/>
      <sheetName val="[Spt-BH.xls][Spt-BH.xls]B___586"/>
      <sheetName val="[Spt-BH.xls][Spt-BH.xls]B___587"/>
      <sheetName val="[Spt-BH.xls][Spt-BH.xls]B___606"/>
      <sheetName val="[Spt-BH.xls][Spt-BH.xls]B___607"/>
      <sheetName val="[Spt-BH.xls][Spt-BH.xls]B___608"/>
      <sheetName val="[Spt-BH.xls][Spt-BH.xls]B___609"/>
      <sheetName val="[Spt-BH.xls][Spt-BH.xls]B___610"/>
      <sheetName val="[Spt-BH.xls][Spt-BH.xls]B___611"/>
      <sheetName val="[Spt-BH.xls]B____x005f_x0004_______50"/>
      <sheetName val="[Spt-BH.xls]B___x005f_x0000__x005f_x0004_50"/>
      <sheetName val="[Spt-BH.xls][Spt-BH.xls]_Sp_138"/>
      <sheetName val="[Spt-BH.xls][Spt-BH.xls]B___588"/>
      <sheetName val="[Spt-BH.xls][Spt-BH.xls]B___589"/>
      <sheetName val="[Spt-BH.xls][Spt-BH.xls]B___590"/>
      <sheetName val="[Spt-BH.xls][Spt-BH.xls]B___591"/>
      <sheetName val="[Spt-BH.xls][Spt-BH.xls]B___592"/>
      <sheetName val="[Spt-BH.xls][Spt-BH.xls]B___593"/>
      <sheetName val="[Spt-BH.xls][Spt-BH.xls]_Sp_139"/>
      <sheetName val="[Spt-BH.xls][Spt-BH.xls]B___594"/>
      <sheetName val="[Spt-BH.xls][Spt-BH.xls]B___595"/>
      <sheetName val="[Spt-BH.xls][Spt-BH.xls]B___596"/>
      <sheetName val="[Spt-BH.xls][Spt-BH.xls]B___597"/>
      <sheetName val="[Spt-BH.xls][Spt-BH.xls]B___598"/>
      <sheetName val="[Spt-BH.xls][Spt-BH.xls]B___599"/>
      <sheetName val="[Spt-BH.xls]B____x005f_x0004_______48"/>
      <sheetName val="[Spt-BH.xls]B___x005f_x0000__x005f_x0004_48"/>
      <sheetName val="[Spt-BH.xls][Spt-BH.xls]_Sp_140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B____x005f_x0004_______49"/>
      <sheetName val="[Spt-BH.xls]B___x005f_x0000__x005f_x0004_49"/>
      <sheetName val="[Spt-BH.xls][Spt-BH.xls]B___612"/>
      <sheetName val="[Spt-BH.xls][Spt-BH.xls]B___613"/>
      <sheetName val="[Spt-BH.xls][Spt-BH.xls]B___614"/>
      <sheetName val="[Spt-BH.xls][Spt-BH.xls]B___615"/>
      <sheetName val="[Spt-BH.xls][Spt-BH.xls]_Sp_142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20"/>
      <sheetName val="[Spt-BH.xls][Spt-BH.xls]B___621"/>
      <sheetName val="[Spt-BH.xls][Spt-BH.xls]_Sp_143"/>
      <sheetName val="[Spt-BH.xls][Spt-BH.xls]B___622"/>
      <sheetName val="[Spt-BH.xls][Spt-BH.xls]B___623"/>
      <sheetName val="[Spt-BH.xls][Spt-BH.xls]B___624"/>
      <sheetName val="[Spt-BH.xls][Spt-BH.xls]B___625"/>
      <sheetName val="[Spt-BH.xls][Spt-BH.xls]B___626"/>
      <sheetName val="[Spt-BH.xls][Spt-BH.xls]B___627"/>
      <sheetName val="[Spt-BH.xls][Spt-BH.xls]_Sp_144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32"/>
      <sheetName val="[Spt-BH.xls][Spt-BH.xls]B___633"/>
      <sheetName val="[Spt-BH.xls][Spt-BH.xls]_Sp_145"/>
      <sheetName val="[Spt-BH.xls][Spt-BH.xls]B___634"/>
      <sheetName val="[Spt-BH.xls][Spt-BH.xls]B___635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8"/>
      <sheetName val="[Spt-BH.xls][Spt-BH.xls]B___659"/>
      <sheetName val="[Spt-BH.xls][Spt-BH.xls]B___660"/>
      <sheetName val="[Spt-BH.xls][Spt-BH.xls]_Sp_151"/>
      <sheetName val="[Spt-BH.xls][Spt-BH.xls]B___661"/>
      <sheetName val="[Spt-BH.xls][Spt-BH.xls]B___652"/>
      <sheetName val="[Spt-BH.xls][Spt-BH.xls]B___653"/>
      <sheetName val="[Spt-BH.xls][Spt-BH.xls]B___654"/>
      <sheetName val="[Spt-BH.xls][Spt-BH.xls]_Sp_150"/>
      <sheetName val="[Spt-BH.xls][Spt-BH.xls]B___655"/>
      <sheetName val="[Spt-BH.xls][Spt-BH.xls]_Sp_149"/>
      <sheetName val="[Spt-BH.xls][Spt-BH.xls]B___662"/>
      <sheetName val="[Spt-BH.xls]B____x005f_x0004_______51"/>
      <sheetName val="[Spt-BH.xls]B___x005f_x0000__x005f_x0004_51"/>
      <sheetName val="[Spt-BH.xls][Spt-BH.xls]B___663"/>
      <sheetName val="[Spt-BH.xls][Spt-BH.xls]B___656"/>
      <sheetName val="[Spt-BH.xls][Spt-BH.xls]B___657"/>
      <sheetName val="B@__x005f_x005f_x005F"/>
      <sheetName val="B@[_x005f_x0000__x005f_x0004_@_"/>
      <sheetName val="B@___x005f_x0004_@_"/>
      <sheetName val="B@__x005f_x005F_x00"/>
      <sheetName val="B@___x005f_x005F_x0"/>
      <sheetName val="B@__x005f_x0000__x0"/>
      <sheetName val="ttl"/>
      <sheetName val="[Spt-BH.xls][Spt-BH.xls]B___670"/>
      <sheetName val="[Spt-BH.xls][Spt-BH.xls]B___671"/>
      <sheetName val="[Spt-BH.xls][Spt-BH.xls]B___672"/>
      <sheetName val="[Spt-BH.xls][Spt-BH.xls]_Sp_154"/>
      <sheetName val="[Spt-BH.xls][Spt-BH.xls]B___673"/>
      <sheetName val="[Spt-BH.xls][Spt-BH.xls]B___664"/>
      <sheetName val="[Spt-BH.xls][Spt-BH.xls]B___665"/>
      <sheetName val="[Spt-BH.xls][Spt-BH.xls]B___666"/>
      <sheetName val="[Spt-BH.xls][Spt-BH.xls]_Sp_153"/>
      <sheetName val="[Spt-BH.xls][Spt-BH.xls]B___667"/>
      <sheetName val="[Spt-BH.xls][Spt-BH.xls]_Sp_152"/>
      <sheetName val="[Spt-BH.xls][Spt-BH.xls]B___674"/>
      <sheetName val="[Spt-BH.xls]B____x005f_x0004_______52"/>
      <sheetName val="[Spt-BH.xls]B___x005f_x0000__x005f_x0004_52"/>
      <sheetName val="[Spt-BH.xls][Spt-BH.xls]B___675"/>
      <sheetName val="[Spt-BH.xls][Spt-BH.xls]B___668"/>
      <sheetName val="[Spt-BH.xls][Spt-BH.xls]B___669"/>
      <sheetName val="[Spt-BH.xls][Spt-BH.xls]B___680"/>
      <sheetName val="[Spt-BH.xls][Spt-BH.xls]B___681"/>
      <sheetName val="[Spt-BH.xls][Spt-BH.xls]B___682"/>
      <sheetName val="[Spt-BH.xls][Spt-BH.xls]B___683"/>
      <sheetName val="[Spt-BH.xls][Spt-BH.xls]_Sp_155"/>
      <sheetName val="[Spt-BH.xls]B____x005f_x0004_______53"/>
      <sheetName val="[Spt-BH.xls]B___x005f_x0000__x005f_x0004_53"/>
      <sheetName val="[Spt-BH.xls][Spt-BH.xls]B___684"/>
      <sheetName val="[Spt-BH.xls][Spt-BH.xls]B___68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706"/>
      <sheetName val="[Spt-BH.xls][Spt-BH.xls]B___707"/>
      <sheetName val="[Spt-BH.xls][Spt-BH.xls]B___708"/>
      <sheetName val="[Spt-BH.xls][Spt-BH.xls]_Sp_162"/>
      <sheetName val="[Spt-BH.xls][Spt-BH.xls]B___709"/>
      <sheetName val="[Spt-BH.xls][Spt-BH.xls]_Sp_158"/>
      <sheetName val="[Spt-BH.xls][Spt-BH.xls]B___710"/>
      <sheetName val="[Spt-BH.xls][Spt-BH.xls]B___711"/>
      <sheetName val="[Spt-BH.xls][Spt-BH.xls]B___730"/>
      <sheetName val="[Spt-BH.xls][Spt-BH.xls]B___731"/>
      <sheetName val="[Spt-BH.xls][Spt-BH.xls]B___732"/>
      <sheetName val="[Spt-BH.xls][Spt-BH.xls]_Sp_164"/>
      <sheetName val="[Spt-BH.xls][Spt-BH.xls]B___733"/>
      <sheetName val="[Spt-BH.xls][Spt-BH.xls]B___734"/>
      <sheetName val="[Spt-BH.xls]B____x005f_x0004_______59"/>
      <sheetName val="[Spt-BH.xls]B___x005f_x0000__x005f_x0004_59"/>
      <sheetName val="[Spt-BH.xls][Spt-BH.xls]B___735"/>
      <sheetName val="[Spt-BH.xls][Spt-BH.xls]B___686"/>
      <sheetName val="[Spt-BH.xls]B____x005f_x0004_______55"/>
      <sheetName val="[Spt-BH.xls]B___x005f_x0000__x005f_x0004_55"/>
      <sheetName val="[Spt-BH.xls][Spt-BH.xls]B___687"/>
      <sheetName val="[Spt-BH.xls]B____x005f_x0004_______54"/>
      <sheetName val="[Spt-BH.xls]B___x005f_x0000__x005f_x0004_54"/>
      <sheetName val="[Spt-BH.xls][Spt-BH.xls]B___700"/>
      <sheetName val="[Spt-BH.xls][Spt-BH.xls]B___701"/>
      <sheetName val="[Spt-BH.xls][Spt-BH.xls]B___702"/>
      <sheetName val="[Spt-BH.xls][Spt-BH.xls]B___703"/>
      <sheetName val="[Spt-BH.xls][Spt-BH.xls]_Sp_157"/>
      <sheetName val="[Spt-BH.xls][Spt-BH.xls]B___704"/>
      <sheetName val="[Spt-BH.xls][Spt-BH.xls]B___705"/>
      <sheetName val="[Spt-BH.xls]B____x005f_x0004_______58"/>
      <sheetName val="[Spt-BH.xls]B___x005f_x0000__x005f_x0004_58"/>
      <sheetName val="[Spt-BH.xls][Spt-BH.xls]B___694"/>
      <sheetName val="[Spt-BH.xls][Spt-BH.xls]B___695"/>
      <sheetName val="[Spt-BH.xls][Spt-BH.xls]B___696"/>
      <sheetName val="[Spt-BH.xls][Spt-BH.xls]B___697"/>
      <sheetName val="[Spt-BH.xls][Spt-BH.xls]_Sp_156"/>
      <sheetName val="[Spt-BH.xls][Spt-BH.xls]B___698"/>
      <sheetName val="[Spt-BH.xls][Spt-BH.xls]B___699"/>
      <sheetName val="[Spt-BH.xls]B____x005f_x0004_______57"/>
      <sheetName val="[Spt-BH.xls]B___x005f_x0000__x005f_x0004_5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692"/>
      <sheetName val="[Spt-BH.xls][Spt-BH.xls]B___693"/>
      <sheetName val="[Spt-BH.xls]B____x005f_x0004_______56"/>
      <sheetName val="[Spt-BH.xls]B___x005f_x0000__x005f_x0004_56"/>
      <sheetName val="[Spt-BH.xls][Spt-BH.xls]B___742"/>
      <sheetName val="[Spt-BH.xls][Spt-BH.xls]B___743"/>
      <sheetName val="[Spt-BH.xls][Spt-BH.xls]B___744"/>
      <sheetName val="[Spt-BH.xls][Spt-BH.xls]_Sp_165"/>
      <sheetName val="[Spt-BH.xls][Spt-BH.xls]B___745"/>
      <sheetName val="[Spt-BH.xls][Spt-BH.xls]B___746"/>
      <sheetName val="[Spt-BH.xls]B____x005f_x0004_______63"/>
      <sheetName val="[Spt-BH.xls]B___x005f_x0000__x005f_x0004_63"/>
      <sheetName val="[Spt-BH.xls][Spt-BH.xls]B___747"/>
      <sheetName val="[Spt-BH.xls][Spt-BH.xls]B___718"/>
      <sheetName val="[Spt-BH.xls][Spt-BH.xls]B___719"/>
      <sheetName val="[Spt-BH.xls][Spt-BH.xls]B___720"/>
      <sheetName val="[Spt-BH.xls][Spt-BH.xls]B___721"/>
      <sheetName val="[Spt-BH.xls][Spt-BH.xls]_Sp_160"/>
      <sheetName val="[Spt-BH.xls][Spt-BH.xls]B___722"/>
      <sheetName val="[Spt-BH.xls][Spt-BH.xls]B___723"/>
      <sheetName val="[Spt-BH.xls]B____x005f_x0004_______61"/>
      <sheetName val="[Spt-BH.xls]B___x005f_x0000__x005f_x0004_61"/>
      <sheetName val="[Spt-BH.xls][Spt-BH.xls]B___712"/>
      <sheetName val="[Spt-BH.xls][Spt-BH.xls]B___713"/>
      <sheetName val="[Spt-BH.xls][Spt-BH.xls]B___714"/>
      <sheetName val="[Spt-BH.xls][Spt-BH.xls]B___715"/>
      <sheetName val="[Spt-BH.xls][Spt-BH.xls]_Sp_159"/>
      <sheetName val="[Spt-BH.xls][Spt-BH.xls]B___716"/>
      <sheetName val="[Spt-BH.xls][Spt-BH.xls]B___717"/>
      <sheetName val="[Spt-BH.xls]B____x005f_x0004_______60"/>
      <sheetName val="[Spt-BH.xls]B___x005f_x0000__x005f_x0004_60"/>
      <sheetName val="[Spt-BH.xls][Spt-BH.xls]_Sp_161"/>
      <sheetName val="[Spt-BH.xls][Spt-BH.xls]B___724"/>
      <sheetName val="[Spt-BH.xls][Spt-BH.xls]B___725"/>
      <sheetName val="[Spt-BH.xls][Spt-BH.xls]B___726"/>
      <sheetName val="[Spt-BH.xls][Spt-BH.xls]B___727"/>
      <sheetName val="[Spt-BH.xls][Spt-BH.xls]B___728"/>
      <sheetName val="[Spt-BH.xls][Spt-BH.xls]B___729"/>
      <sheetName val="[Spt-BH.xls]B____x005f_x0004_______62"/>
      <sheetName val="[Spt-BH.xls]B___x005f_x0000__x005f_x0004_62"/>
      <sheetName val="[Spt-BH.xls][Spt-BH.xls]B___748"/>
      <sheetName val="[Spt-BH.xls][Spt-BH.xls]B___749"/>
      <sheetName val="[Spt-BH.xls][Spt-BH.xls]B___750"/>
      <sheetName val="[Spt-BH.xls][Spt-BH.xls]_Sp_168"/>
      <sheetName val="[Spt-BH.xls][Spt-BH.xls]B___751"/>
      <sheetName val="[Spt-BH.xls][Spt-BH.xls]B___752"/>
      <sheetName val="[Spt-BH.xls]B____x005f_x0004_______65"/>
      <sheetName val="[Spt-BH.xls]B___x005f_x0000__x005f_x0004_65"/>
      <sheetName val="[Spt-BH.xls][Spt-BH.xls]B___753"/>
      <sheetName val="[Spt-BH.xls][Spt-BH.xls]_Sp_163"/>
      <sheetName val="[Spt-BH.xls][Spt-BH.xls]B___736"/>
      <sheetName val="[Spt-BH.xls][Spt-BH.xls]B___737"/>
      <sheetName val="[Spt-BH.xls][Spt-BH.xls]B___738"/>
      <sheetName val="[Spt-BH.xls][Spt-BH.xls]B___739"/>
      <sheetName val="[Spt-BH.xls][Spt-BH.xls]B___740"/>
      <sheetName val="[Spt-BH.xls][Spt-BH.xls]B___741"/>
      <sheetName val="[Spt-BH.xls]B____x005f_x0004_______64"/>
      <sheetName val="[Spt-BH.xls]B___x005f_x0000__x005f_x0004_64"/>
      <sheetName val="[Spt-BH.xls][Spt-BH.xls]_Sp_166"/>
      <sheetName val="[Spt-BH.xls][Spt-BH.xls]B___766"/>
      <sheetName val="[Spt-BH.xls][Spt-BH.xls]B___767"/>
      <sheetName val="[Spt-BH.xls][Spt-BH.xls]B___768"/>
      <sheetName val="[Spt-BH.xls][Spt-BH.xls]_Sp_169"/>
      <sheetName val="[Spt-BH.xls][Spt-BH.xls]B___769"/>
      <sheetName val="[Spt-BH.xls][Spt-BH.xls]B___754"/>
      <sheetName val="[Spt-BH.xls][Spt-BH.xls]B___755"/>
      <sheetName val="[Spt-BH.xls][Spt-BH.xls]B___756"/>
      <sheetName val="[Spt-BH.xls][Spt-BH.xls]B___757"/>
      <sheetName val="[Spt-BH.xls][Spt-BH.xls]B___770"/>
      <sheetName val="[Spt-BH.xls]B____x005f_x0004_______66"/>
      <sheetName val="[Spt-BH.xls]B___x005f_x0000__x005f_x0004_66"/>
      <sheetName val="[Spt-BH.xls][Spt-BH.xls]B___771"/>
      <sheetName val="[Spt-BH.xls][Spt-BH.xls]B___758"/>
      <sheetName val="[Spt-BH.xls][Spt-BH.xls]B___759"/>
      <sheetName val="[Spt-BH.xls][Spt-BH.xls]B___772"/>
      <sheetName val="[Spt-BH.xls][Spt-BH.xls]B___773"/>
      <sheetName val="[Spt-BH.xls][Spt-BH.xls]B___774"/>
      <sheetName val="[Spt-BH.xls][Spt-BH.xls]_Sp_170"/>
      <sheetName val="[Spt-BH.xls][Spt-BH.xls]B___775"/>
      <sheetName val="[Spt-BH.xls][Spt-BH.xls]B___776"/>
      <sheetName val="[Spt-BH.xls]B____x005f_x0004_______67"/>
      <sheetName val="[Spt-BH.xls]B___x005f_x0000__x005f_x0004_67"/>
      <sheetName val="[Spt-BH.xls][Spt-BH.xls]B___777"/>
      <sheetName val="[Spt-BH.xls][Spt-BH.xls]_Sp_167"/>
      <sheetName val="[Spt-BH.xls][Spt-BH.xls]B___760"/>
      <sheetName val="[Spt-BH.xls][Spt-BH.xls]B___761"/>
      <sheetName val="[Spt-BH.xls][Spt-BH.xls]B___762"/>
      <sheetName val="[Spt-BH.xls][Spt-BH.xls]B___763"/>
      <sheetName val="[Spt-BH.xls][Spt-BH.xls]B___764"/>
      <sheetName val="[Spt-BH.xls][Spt-BH.xls]B___765"/>
      <sheetName val="[Spt-BH.xls][Spt-BH.xls]B___778"/>
      <sheetName val="[Spt-BH.xls][Spt-BH.xls]B___779"/>
      <sheetName val="[Spt-BH.xls][Spt-BH.xls]B___780"/>
      <sheetName val="[Spt-BH.xls][Spt-BH.xls]_Sp_173"/>
      <sheetName val="[Spt-BH.xls][Spt-BH.xls]B___781"/>
      <sheetName val="[Spt-BH.xls][Spt-BH.xls]B___782"/>
      <sheetName val="[Spt-BH.xls][Spt-BH.xls]B___783"/>
      <sheetName val="[Spt-BH.xls][Spt-BH.xls]B___796"/>
      <sheetName val="[Spt-BH.xls][Spt-BH.xls]B___797"/>
      <sheetName val="[Spt-BH.xls][Spt-BH.xls]B___798"/>
      <sheetName val="[Spt-BH.xls][Spt-BH.xls]_Sp_174"/>
      <sheetName val="[Spt-BH.xls][Spt-BH.xls]B___799"/>
      <sheetName val="[Spt-BH.xls][Spt-BH.xls]B___800"/>
      <sheetName val="[Spt-BH.xls]B____x005f_x0004_______68"/>
      <sheetName val="[Spt-BH.xls]B___x005f_x0000__x005f_x0004_68"/>
      <sheetName val="[Spt-BH.xls][Spt-BH.xls]B___801"/>
      <sheetName val="[Spt-BH.xls][Spt-BH.xls]_Sp_172"/>
      <sheetName val="[Spt-BH.xls][Spt-BH.xls]B___790"/>
      <sheetName val="[Spt-BH.xls][Spt-BH.xls]B___791"/>
      <sheetName val="[Spt-BH.xls][Spt-BH.xls]B___792"/>
      <sheetName val="[Spt-BH.xls][Spt-BH.xls]B___793"/>
      <sheetName val="[Spt-BH.xls]B____x005f_x0004_______69"/>
      <sheetName val="[Spt-BH.xls]B___x005f_x0000__x005f_x0004_69"/>
      <sheetName val="[Spt-BH.xls][Spt-BH.xls]B___794"/>
      <sheetName val="[Spt-BH.xls][Spt-BH.xls]B___795"/>
      <sheetName val="[Spt-BH.xls][Spt-BH.xls]_Sp_171"/>
      <sheetName val="[Spt-BH.xls][Spt-BH.xls]B___784"/>
      <sheetName val="[Spt-BH.xls][Spt-BH.xls]B___785"/>
      <sheetName val="[Spt-BH.xls][Spt-BH.xls]B___786"/>
      <sheetName val="[Spt-BH.xls][Spt-BH.xls]B___787"/>
      <sheetName val="[Spt-BH.xls][Spt-BH.xls]B___788"/>
      <sheetName val="[Spt-BH.xls][Spt-BH.xls]B___789"/>
      <sheetName val="[Spt-BH.xls][Spt-BH.xls]B___802"/>
      <sheetName val="[Spt-BH.xls][Spt-BH.xls]B___803"/>
      <sheetName val="[Spt-BH.xls][Spt-BH.xls]B___804"/>
      <sheetName val="[Spt-BH.xls][Spt-BH.xls]_Sp_175"/>
      <sheetName val="[Spt-BH.xls][Spt-BH.xls]B___805"/>
      <sheetName val="[Spt-BH.xls][Spt-BH.xls]B___806"/>
      <sheetName val="[Spt-BH.xls][Spt-BH.xls]B___807"/>
      <sheetName val="[Spt-BH.xls][Spt-BH.xls]B___808"/>
      <sheetName val="[Spt-BH.xls][Spt-BH.xls]B___809"/>
      <sheetName val="[Spt-BH.xls][Spt-BH.xls]B___810"/>
      <sheetName val="[Spt-BH.xls][Spt-BH.xls]_Sp_176"/>
      <sheetName val="[Spt-BH.xls][Spt-BH.xls]B___811"/>
      <sheetName val="[Spt-BH.xls][Spt-BH.xls]B___812"/>
      <sheetName val="[Spt-BH.xls][Spt-BH.xls]B___813"/>
      <sheetName val="[Spt-BH.xls][Spt-BH.xls]B___814"/>
      <sheetName val="[Spt-BH.xls][Spt-BH.xls]B___815"/>
      <sheetName val="[Spt-BH.xls][Spt-BH.xls]B___816"/>
      <sheetName val="[Spt-BH.xls][Spt-BH.xls]_Sp_177"/>
      <sheetName val="[Spt-BH.xls][Spt-BH.xls]B___817"/>
      <sheetName val="[Spt-BH.xls][Spt-BH.xls]B___818"/>
      <sheetName val="[Spt-BH.xls]B____x005f_x0004_______70"/>
      <sheetName val="[Spt-BH.xls]B___x005f_x0000__x005f_x0004_70"/>
      <sheetName val="[Spt-BH.xls][Spt-BH.xls]B___819"/>
      <sheetName val="[Spt-BH.xls][Spt-BH.xls]_Sp_178"/>
      <sheetName val="[Spt-BH.xls][Spt-BH.xls]B___820"/>
      <sheetName val="[Spt-BH.xls][Spt-BH.xls]B___821"/>
      <sheetName val="[Spt-BH.xls][Spt-BH.xls]B___822"/>
      <sheetName val="[Spt-BH.xls][Spt-BH.xls]_Sp_180"/>
      <sheetName val="[Spt-BH.xls][Spt-BH.xls]B___823"/>
      <sheetName val="[Spt-BH.xls][Spt-BH.xls]B___824"/>
      <sheetName val="[Spt-BH.xls][Spt-BH.xls]B___825"/>
      <sheetName val="[Spt-BH.xls][Spt-BH.xls]B___832"/>
      <sheetName val="[Spt-BH.xls][Spt-BH.xls]B___833"/>
      <sheetName val="[Spt-BH.xls][Spt-BH.xls]B___834"/>
      <sheetName val="[Spt-BH.xls][Spt-BH.xls]_Sp_182"/>
      <sheetName val="[Spt-BH.xls][Spt-BH.xls]B___835"/>
      <sheetName val="[Spt-BH.xls][Spt-BH.xls]B___836"/>
      <sheetName val="[Spt-BH.xls]B____x005f_x0004_______71"/>
      <sheetName val="[Spt-BH.xls]B___x005f_x0000__x005f_x0004_71"/>
      <sheetName val="[Spt-BH.xls][Spt-BH.xls]B___837"/>
      <sheetName val="[Spt-BH.xls][Spt-BH.xls]_Sp_179"/>
      <sheetName val="[Spt-BH.xls][Spt-BH.xls]B___826"/>
      <sheetName val="[Spt-BH.xls][Spt-BH.xls]B___827"/>
      <sheetName val="[Spt-BH.xls][Spt-BH.xls]B___828"/>
      <sheetName val="[Spt-BH.xls][Spt-BH.xls]B___829"/>
      <sheetName val="[Spt-BH.xls][Spt-BH.xls]B___830"/>
      <sheetName val="[Spt-BH.xls][Spt-BH.xls]B___831"/>
      <sheetName val="[Spt-BH.xls][Spt-BH.xls]B___844"/>
      <sheetName val="[Spt-BH.xls][Spt-BH.xls]B___845"/>
      <sheetName val="[Spt-BH.xls][Spt-BH.xls]B___846"/>
      <sheetName val="[Spt-BH.xls][Spt-BH.xls]_Sp_183"/>
      <sheetName val="[Spt-BH.xls][Spt-BH.xls]B___847"/>
      <sheetName val="[Spt-BH.xls][Spt-BH.xls]B___848"/>
      <sheetName val="[Spt-BH.xls][Spt-BH.xls]B___849"/>
      <sheetName val="[Spt-BH.xls][Spt-BH.xls]B___850"/>
      <sheetName val="[Spt-BH.xls][Spt-BH.xls]B___851"/>
      <sheetName val="[Spt-BH.xls][Spt-BH.xls]B___852"/>
      <sheetName val="[Spt-BH.xls][Spt-BH.xls]_Sp_184"/>
      <sheetName val="[Spt-BH.xls][Spt-BH.xls]B___853"/>
      <sheetName val="[Spt-BH.xls][Spt-BH.xls]B___854"/>
      <sheetName val="[Spt-BH.xls]B____x005f_x0004_______73"/>
      <sheetName val="[Spt-BH.xls]B___x005f_x0000__x005f_x0004_73"/>
      <sheetName val="[Spt-BH.xls][Spt-BH.xls]B___855"/>
      <sheetName val="[Spt-BH.xls][Spt-BH.xls]_Sp_181"/>
      <sheetName val="[Spt-BH.xls][Spt-BH.xls]B___838"/>
      <sheetName val="[Spt-BH.xls][Spt-BH.xls]B___839"/>
      <sheetName val="[Spt-BH.xls][Spt-BH.xls]B___840"/>
      <sheetName val="[Spt-BH.xls][Spt-BH.xls]B___841"/>
      <sheetName val="[Spt-BH.xls][Spt-BH.xls]B___842"/>
      <sheetName val="[Spt-BH.xls][Spt-BH.xls]B___843"/>
      <sheetName val="[Spt-BH.xls]B____x005f_x0004_______72"/>
      <sheetName val="[Spt-BH.xls]B___x005f_x0000__x005f_x0004_72"/>
      <sheetName val="[Spt-BH.xls][Spt-BH.xls]B___856"/>
      <sheetName val="[Spt-BH.xls][Spt-BH.xls]B___857"/>
      <sheetName val="[Spt-BH.xls][Spt-BH.xls]B___858"/>
      <sheetName val="[Spt-BH.xls][Spt-BH.xls]_Sp_185"/>
      <sheetName val="[Spt-BH.xls][Spt-BH.xls]B___859"/>
      <sheetName val="[Spt-BH.xls][Spt-BH.xls]B___860"/>
      <sheetName val="[Spt-BH.xls][Spt-BH.xls]B___861"/>
      <sheetName val="[Spt-BH.xls][Spt-BH.xls]_Sp_186"/>
      <sheetName val="[Spt-BH.xls][Spt-BH.xls]B___868"/>
      <sheetName val="[Spt-BH.xls][Spt-BH.xls]B___869"/>
      <sheetName val="[Spt-BH.xls][Spt-BH.xls]B___870"/>
      <sheetName val="[Spt-BH.xls][Spt-BH.xls]B___871"/>
      <sheetName val="[Spt-BH.xls][Spt-BH.xls]B___862"/>
      <sheetName val="[Spt-BH.xls][Spt-BH.xls]B___863"/>
      <sheetName val="[Spt-BH.xls][Spt-BH.xls]B___864"/>
      <sheetName val="[Spt-BH.xls][Spt-BH.xls]_Sp_187"/>
      <sheetName val="[Spt-BH.xls][Spt-BH.xls]B___865"/>
      <sheetName val="[Spt-BH.xls][Spt-BH.xls]B___866"/>
      <sheetName val="[Spt-BH.xls][Spt-BH.xls]B___867"/>
      <sheetName val="[Spt-BH.xls][Spt-BH.xls]B___872"/>
      <sheetName val="[Spt-BH.xls]B____x005f_x0004_______74"/>
      <sheetName val="[Spt-BH.xls]B___x005f_x0000__x005f_x0004_74"/>
      <sheetName val="[Spt-BH.xls][Spt-BH.xls]B___873"/>
      <sheetName val="[Spt-BH.xls][Spt-BH.xls]_Sp_188"/>
      <sheetName val="[Spt-BH.xls][Spt-BH.xls]_Sp_189"/>
      <sheetName val="[Spt-BH.xls][Spt-BH.xls]_Sp_190"/>
      <sheetName val="[Spt-BH.xls][Spt-BH.xls]B___874"/>
      <sheetName val="[Spt-BH.xls][Spt-BH.xls]B___875"/>
      <sheetName val="[Spt-BH.xls][Spt-BH.xls]B___876"/>
      <sheetName val="[Spt-BH.xls][Spt-BH.xls]_Sp_191"/>
      <sheetName val="[Spt-BH.xls][Spt-BH.xls]B___877"/>
      <sheetName val="[Spt-BH.xls][Spt-BH.xls]B___878"/>
      <sheetName val="[Spt-BH.xls][Spt-BH.xls]B___879"/>
      <sheetName val="[Spt-BH.xls][Spt-BH.xls]B___880"/>
      <sheetName val="[Spt-BH.xls][Spt-BH.xls]B___881"/>
      <sheetName val="[Spt-BH.xls][Spt-BH.xls]B___882"/>
      <sheetName val="[Spt-BH.xls][Spt-BH.xls]_Sp_192"/>
      <sheetName val="[Spt-BH.xls][Spt-BH.xls]B___883"/>
      <sheetName val="[Spt-BH.xls][Spt-BH.xls]B___884"/>
      <sheetName val="[Spt-BH.xls]B____x005f_x0004_______75"/>
      <sheetName val="[Spt-BH.xls]B___x005f_x0000__x005f_x0004_75"/>
      <sheetName val="[Spt-BH.xls][Spt-BH.xls]B___885"/>
      <sheetName val="[Spt-BH.xls][Spt-BH.xls]B___892"/>
      <sheetName val="[Spt-BH.xls][Spt-BH.xls]B___893"/>
      <sheetName val="[Spt-BH.xls][Spt-BH.xls]B___894"/>
      <sheetName val="[Spt-BH.xls][Spt-BH.xls]_Sp_195"/>
      <sheetName val="[Spt-BH.xls][Spt-BH.xls]B___895"/>
      <sheetName val="[Spt-BH.xls][Spt-BH.xls]B___886"/>
      <sheetName val="[Spt-BH.xls][Spt-BH.xls]B___887"/>
      <sheetName val="[Spt-BH.xls][Spt-BH.xls]B___888"/>
      <sheetName val="[Spt-BH.xls][Spt-BH.xls]_Sp_194"/>
      <sheetName val="[Spt-BH.xls][Spt-BH.xls]B___889"/>
      <sheetName val="[Spt-BH.xls][Spt-BH.xls]_Sp_193"/>
      <sheetName val="[Spt-BH.xls][Spt-BH.xls]B___896"/>
      <sheetName val="[Spt-BH.xls]B____x005f_x0004_______76"/>
      <sheetName val="[Spt-BH.xls]B___x005f_x0000__x005f_x0004_76"/>
      <sheetName val="[Spt-BH.xls][Spt-BH.xls]B___897"/>
      <sheetName val="[Spt-BH.xls][Spt-BH.xls]B___890"/>
      <sheetName val="[Spt-BH.xls][Spt-BH.xls]B___891"/>
      <sheetName val="[Spt-BH.xls][Spt-BH.xls]B___898"/>
      <sheetName val="[Spt-BH.xls][Spt-BH.xls]B___899"/>
      <sheetName val="[Spt-BH.xls][Spt-BH.xls]B___900"/>
      <sheetName val="[Spt-BH.xls][Spt-BH.xls]B___901"/>
      <sheetName val="[Spt-BH.xls][Spt-BH.xls]_Sp_196"/>
      <sheetName val="[Spt-BH.xls]B____x005f_x0004_______77"/>
      <sheetName val="[Spt-BH.xls]B___x005f_x0000__x005f_x0004_77"/>
      <sheetName val="[Spt-BH.xls][Spt-BH.xls]B___902"/>
      <sheetName val="[Spt-BH.xls][Spt-BH.xls]B___903"/>
      <sheetName val="[Spt-BH.xls][Spt-BH.xls]B___904"/>
      <sheetName val="[Spt-BH.xls][Spt-BH.xls]B___905"/>
      <sheetName val="[Spt-BH.xls][Spt-BH.xls]B___906"/>
      <sheetName val="[Spt-BH.xls][Spt-BH.xls]_Sp_198"/>
      <sheetName val="[Spt-BH.xls][Spt-BH.xls]B___907"/>
      <sheetName val="[Spt-BH.xls][Spt-BH.xls]_Sp_197"/>
      <sheetName val="[Spt-BH.xls][Spt-BH.xls]B___908"/>
      <sheetName val="[Spt-BH.xls][Spt-BH.xls]B___909"/>
      <sheetName val="ALL"/>
      <sheetName val="HDPE"/>
      <sheetName val="DI"/>
      <sheetName val="pvc"/>
      <sheetName val="Civil-works"/>
      <sheetName val="ANAL"/>
      <sheetName val="Steel-Circular"/>
      <sheetName val="Cost_of_O_&amp;_O"/>
      <sheetName val="Material_"/>
      <sheetName val="Labour_&amp;_Plant"/>
      <sheetName val="pr_cal"/>
      <sheetName val="TRF_details"/>
      <sheetName val="Materials_Cost"/>
      <sheetName val="钢筋"/>
      <sheetName val="Pipe_SupportÈ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4NEXRA"/>
      <sheetName val=" "/>
      <sheetName val="syndicate codes"/>
      <sheetName val="Steel Payment Doc"/>
      <sheetName val="Facilites Master"/>
      <sheetName val="EQP Master"/>
      <sheetName val="CGL"/>
      <sheetName val="DM tANK Allow"/>
      <sheetName val="_Spt-BH.xls__Spt-BH.xls_B@_"/>
      <sheetName val="_Spt-BH.xls__Spt-BH.xls_B@___x0004_@_"/>
      <sheetName val="_Spt-BH.xls__Spt-BH.xls__Spt-BH"/>
      <sheetName val="_Spt-BH.xls__Spt-BH.xls_B@__@__"/>
      <sheetName val="INPUTS"/>
      <sheetName val="inter"/>
      <sheetName val="1010"/>
      <sheetName val="1020"/>
      <sheetName val="1090"/>
      <sheetName val="Camp Power Cost"/>
      <sheetName val="2_2_띠장의_설계"/>
      <sheetName val="Camp_Power_Cost"/>
      <sheetName val="[Spt-BH.xls]B@[_x005f_x0000__x005f_x0004_@_"/>
      <sheetName val="[Spt-BH.xls][Spt-BH.xls]B@[?_x0"/>
      <sheetName val="(10) Other Costs5"/>
      <sheetName val="girder"/>
      <sheetName val="Rocker"/>
      <sheetName val="간접비내역-1"/>
      <sheetName val="95삼성급(본사)"/>
      <sheetName val="BQ List"/>
      <sheetName val="Schedule(4)"/>
      <sheetName val="rdamdata"/>
      <sheetName val="[Spt-BH.xls][Spt-BH.xls]B__1595"/>
      <sheetName val="[Spt-BH.xls][Spt-BH.xls]B__1596"/>
      <sheetName val="[Spt-BH.xls][Spt-BH.xls]B__1597"/>
      <sheetName val="[Spt-BH.xls][Spt-BH.xls]B__1598"/>
      <sheetName val="[Spt-BH.xls][Spt-BH.xls]B__1599"/>
      <sheetName val="2 BHK"/>
      <sheetName val="BALANCE-IOTL "/>
      <sheetName val="Rates"/>
      <sheetName val="Ra  stair"/>
      <sheetName val="매크로"/>
      <sheetName val="Labour Rate "/>
      <sheetName val="(M+L)"/>
      <sheetName val="1.01 (a)"/>
      <sheetName val="SàQa_x005f_x0005_@_x005f_x0000__x005f_x0000__x000"/>
      <sheetName val="見積書"/>
      <sheetName val="Basic Rate"/>
      <sheetName val="INFLUENCES ON GM"/>
      <sheetName val="BPL"/>
      <sheetName val="RCC-Rates"/>
      <sheetName val="beam-reinft-machine rm"/>
      <sheetName val="FT-05-02Is-5y"/>
      <sheetName val="Data sheet"/>
      <sheetName val="Calculation Sheet"/>
      <sheetName val="LIST-SUB-CON"/>
      <sheetName val="Ins &amp; Bonds"/>
      <sheetName val="Site facilities"/>
      <sheetName val="Clients Requirements"/>
      <sheetName val="Pay_Sep06"/>
      <sheetName val="MG"/>
      <sheetName val="B@__@___$_"/>
      <sheetName val="B@__x0000__x0004_@_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foot-slab reinft"/>
      <sheetName val="conc-foot-gradeslab"/>
      <sheetName val="_Spt-BH.xls__Spt-BH.xls_B@_@__$"/>
      <sheetName val="Abstract_for_Variation1"/>
      <sheetName val="LBD_VARIATION1"/>
      <sheetName val="Material_List_1"/>
      <sheetName val="Mat.Cost"/>
      <sheetName val="commercial"/>
      <sheetName val="Tender Appraisal"/>
      <sheetName val="Basic Rates"/>
      <sheetName val="activit-graph  "/>
      <sheetName val="para"/>
      <sheetName val="kppl pl"/>
      <sheetName val="LTG-STG"/>
      <sheetName val="SàQa_x005f_x0005_@_x005f_x0000_"/>
      <sheetName val="電気設備表"/>
      <sheetName val="LANGUAGE"/>
      <sheetName val="[Spt-BH.xls][Spt-BH.xls]_Sp_433"/>
      <sheetName val="[Spt-BH.xls]B____x005f_x0004______156"/>
      <sheetName val="[Spt-BH.xls]B___x005f_x0000__x000_156"/>
      <sheetName val="[Spt-BH.xls][Spt-BH.xls]_Sp_342"/>
      <sheetName val="[Spt-BH.xls][Spt-BH.xls]B__1282"/>
      <sheetName val="[Spt-BH.xls][Spt-BH.xls]B__1283"/>
      <sheetName val="[Spt-BH.xls][Spt-BH.xls]B__1284"/>
      <sheetName val="[Spt-BH.xls][Spt-BH.xls]_Sp_343"/>
      <sheetName val="[Spt-BH.xls][Spt-BH.xls]B__1285"/>
      <sheetName val="[Spt-BH.xls][Spt-BH.xls]B__1286"/>
      <sheetName val="[Spt-BH.xls][Spt-BH.xls]B__1217"/>
      <sheetName val="[Spt-BH.xls][Spt-BH.xls]B__1218"/>
      <sheetName val="[Spt-BH.xls][Spt-BH.xls]B__1219"/>
      <sheetName val="[Spt-BH.xls][Spt-BH.xls]_Sp_320"/>
      <sheetName val="[Spt-BH.xls][Spt-BH.xls]B__1220"/>
      <sheetName val="[Spt-BH.xls][Spt-BH.xls]B__1221"/>
      <sheetName val="[Spt-BH.xls][Spt-BH.xls]_Sp_319"/>
      <sheetName val="[Spt-BH.xls][Spt-BH.xls]B__1222"/>
      <sheetName val="[Spt-BH.xls][Spt-BH.xls]B__1223"/>
      <sheetName val="[Spt-BH.xls][Spt-BH.xls]B__1224"/>
      <sheetName val="[Spt-BH.xls][Spt-BH.xls]_Sp_322"/>
      <sheetName val="[Spt-BH.xls][Spt-BH.xls]B__1225"/>
      <sheetName val="[Spt-BH.xls][Spt-BH.xls]B__1226"/>
      <sheetName val="[Spt-BH.xls]B____x005f_x0004______118"/>
      <sheetName val="[Spt-BH.xls]B___x005f_x0000__x000_118"/>
      <sheetName val="[Spt-BH.xls][Spt-BH.xls]_Sp_307"/>
      <sheetName val="[Spt-BH.xls][Spt-BH.xls]B__1167"/>
      <sheetName val="[Spt-BH.xls][Spt-BH.xls]B__1168"/>
      <sheetName val="[Spt-BH.xls][Spt-BH.xls]B__1169"/>
      <sheetName val="[Spt-BH.xls][Spt-BH.xls]_Sp_308"/>
      <sheetName val="[Spt-BH.xls][Spt-BH.xls]B__1170"/>
      <sheetName val="[Spt-BH.xls][Spt-BH.xls]B__1171"/>
      <sheetName val="[Spt-BH.xls][Spt-BH.xls]B__1147"/>
      <sheetName val="[Spt-BH.xls][Spt-BH.xls]B__1148"/>
      <sheetName val="[Spt-BH.xls][Spt-BH.xls]B__1149"/>
      <sheetName val="[Spt-BH.xls][Spt-BH.xls]_Sp_303"/>
      <sheetName val="[Spt-BH.xls][Spt-BH.xls]B__1150"/>
      <sheetName val="[Spt-BH.xls][Spt-BH.xls]B__1151"/>
      <sheetName val="[Spt-BH.xls][Spt-BH.xls]_Sp_302"/>
      <sheetName val="[Spt-BH.xls][Spt-BH.xls]B__1152"/>
      <sheetName val="[Spt-BH.xls][Spt-BH.xls]B__1153"/>
      <sheetName val="[Spt-BH.xls][Spt-BH.xls]B__1154"/>
      <sheetName val="[Spt-BH.xls][Spt-BH.xls]_Sp_304"/>
      <sheetName val="[Spt-BH.xls][Spt-BH.xls]B__1155"/>
      <sheetName val="[Spt-BH.xls][Spt-BH.xls]B__1156"/>
      <sheetName val="[Spt-BH.xls]B____x005f_x0004______112"/>
      <sheetName val="[Spt-BH.xls]B___x005f_x0000__x000_112"/>
      <sheetName val="[Spt-BH.xls][Spt-BH.xls]_Sp_262"/>
      <sheetName val="[Spt-BH.xls][Spt-BH.xls]_Sp_203"/>
      <sheetName val="[Spt-BH.xls][Spt-BH.xls]_Sp_202"/>
      <sheetName val="maya"/>
      <sheetName val="C-data"/>
      <sheetName val="[Spt-BH.xls][Spt-BH.xls]_Sp_200"/>
      <sheetName val="[Spt-BH.xls][Spt-BH.xls]_Sp_199"/>
      <sheetName val="[Spt-BH.xls][Spt-BH.xls]_Sp_201"/>
      <sheetName val="[Spt-BH.xls][Spt-BH.xls]_Sp_205"/>
      <sheetName val="[Spt-BH.xls][Spt-BH.xls]_Sp_204"/>
      <sheetName val="[Spt-BH.xls][Spt-BH.xls]B___987"/>
      <sheetName val="[Spt-BH.xls][Spt-BH.xls]B___988"/>
      <sheetName val="[Spt-BH.xls][Spt-BH.xls]B___989"/>
      <sheetName val="[Spt-BH.xls][Spt-BH.xls]_Sp_263"/>
      <sheetName val="[Spt-BH.xls][Spt-BH.xls]B___990"/>
      <sheetName val="[Spt-BH.xls][Spt-BH.xls]B___991"/>
      <sheetName val="[Spt-BH.xls][Spt-BH.xls]_Sp_213"/>
      <sheetName val="[Spt-BH.xls]B____x005f_x0004_______78"/>
      <sheetName val="[Spt-BH.xls]B___x005f_x0000__x005f_x0004_78"/>
      <sheetName val="[Spt-BH.xls][Spt-BH.xls]_Sp_211"/>
      <sheetName val="[Spt-BH.xls][Spt-BH.xls]_Sp_206"/>
      <sheetName val="[Spt-BH.xls][Spt-BH.xls]_Sp_209"/>
      <sheetName val="[Spt-BH.xls][Spt-BH.xls]_Sp_210"/>
      <sheetName val="[Spt-BH.xls][Spt-BH.xls]_Sp_208"/>
      <sheetName val="[Spt-BH.xls][Spt-BH.xls]_Sp_207"/>
      <sheetName val="[Spt-BH.xls][Spt-BH.xls]_Sp_212"/>
      <sheetName val="[Spt-BH.xls][Spt-BH.xls]B___992"/>
      <sheetName val="[Spt-BH.xls][Spt-BH.xls]B___993"/>
      <sheetName val="[Spt-BH.xls][Spt-BH.xls]B___994"/>
      <sheetName val="[Spt-BH.xls][Spt-BH.xls]_Sp_270"/>
      <sheetName val="[Spt-BH.xls][Spt-BH.xls]B___995"/>
      <sheetName val="[Spt-BH.xls][Spt-BH.xls]B___996"/>
      <sheetName val="[Spt-BH.xls]B____x005f_x0004_______94"/>
      <sheetName val="[Spt-BH.xls]B___x005f_x0000__x005f_x0004_94"/>
      <sheetName val="[Spt-BH.xls][Spt-BH.xls]_Sp_230"/>
      <sheetName val="[Spt-BH.xls][Spt-BH.xls]_Sp_219"/>
      <sheetName val="[Spt-BH.xls][Spt-BH.xls]_Sp_214"/>
      <sheetName val="[Spt-BH.xls][Spt-BH.xls]_Sp_215"/>
      <sheetName val="[Spt-BH.xls][Spt-BH.xls]_Sp_216"/>
      <sheetName val="[Spt-BH.xls][Spt-BH.xls]_Sp_217"/>
      <sheetName val="[Spt-BH.xls][Spt-BH.xls]_Sp_218"/>
      <sheetName val="[Spt-BH.xls][Spt-BH.xls]_Sp_221"/>
      <sheetName val="[Spt-BH.xls][Spt-BH.xls]_Sp_220"/>
      <sheetName val="[Spt-BH.xls][Spt-BH.xls]_Sp_222"/>
      <sheetName val="[Spt-BH.xls]B____x005f_x0004_______79"/>
      <sheetName val="[Spt-BH.xls]B___x005f_x0000__x005f_x0004_79"/>
      <sheetName val="[Spt-BH.xls]B____x005f_x0004_______80"/>
      <sheetName val="[Spt-BH.xls]B___x005f_x0000__x005f_x0004_80"/>
      <sheetName val="[Spt-BH.xls][Spt-BH.xls]_Sp_228"/>
      <sheetName val="[Spt-BH.xls][Spt-BH.xls]_Sp_227"/>
      <sheetName val="[Spt-BH.xls]B____x005f_x0004_______82"/>
      <sheetName val="[Spt-BH.xls]B___x005f_x0000__x005f_x0004_82"/>
      <sheetName val="[Spt-BH.xls][Spt-BH.xls]_Sp_223"/>
      <sheetName val="[Spt-BH.xls][Spt-BH.xls]_Sp_225"/>
      <sheetName val="[Spt-BH.xls][Spt-BH.xls]_Sp_224"/>
      <sheetName val="[Spt-BH.xls][Spt-BH.xls]_Sp_226"/>
      <sheetName val="[Spt-BH.xls]B____x005f_x0004_______81"/>
      <sheetName val="[Spt-BH.xls]B___x005f_x0000__x005f_x0004_81"/>
      <sheetName val="[Spt-BH.xls][Spt-BH.xls]_Sp_229"/>
      <sheetName val="[Spt-BH.xls][Spt-BH.xls]_Sp_231"/>
      <sheetName val="[Spt-BH.xls][Spt-BH.xls]_Sp_234"/>
      <sheetName val="[Spt-BH.xls][Spt-BH.xls]_Sp_233"/>
      <sheetName val="[Spt-BH.xls][Spt-BH.xls]_Sp_232"/>
      <sheetName val="[Spt-BH.xls][Spt-BH.xls]_Sp_261"/>
      <sheetName val="[Spt-BH.xls][Spt-BH.xls]_Sp_235"/>
      <sheetName val="[Spt-BH.xls][Spt-BH.xls]_Sp_260"/>
      <sheetName val="[Spt-BH.xls][Spt-BH.xls]_Sp_238"/>
      <sheetName val="[Spt-BH.xls][Spt-BH.xls]B___927"/>
      <sheetName val="[Spt-BH.xls][Spt-BH.xls]B___928"/>
      <sheetName val="[Spt-BH.xls][Spt-BH.xls]B___929"/>
      <sheetName val="[Spt-BH.xls][Spt-BH.xls]_Sp_239"/>
      <sheetName val="[Spt-BH.xls][Spt-BH.xls]B___930"/>
      <sheetName val="[Spt-BH.xls][Spt-BH.xls]B___931"/>
      <sheetName val="[Spt-BH.xls]B____x005f_x0004_______84"/>
      <sheetName val="[Spt-BH.xls]B___x005f_x0000__x005f_x0004_84"/>
      <sheetName val="[Spt-BH.xls]B____x005f_x0004_______83"/>
      <sheetName val="[Spt-BH.xls]B___x005f_x0000__x005f_x0004_83"/>
      <sheetName val="[Spt-BH.xls][Spt-BH.xls]B___917"/>
      <sheetName val="[Spt-BH.xls][Spt-BH.xls]B___918"/>
      <sheetName val="[Spt-BH.xls][Spt-BH.xls]B___919"/>
      <sheetName val="[Spt-BH.xls][Spt-BH.xls]_Sp_236"/>
      <sheetName val="[Spt-BH.xls][Spt-BH.xls]B___920"/>
      <sheetName val="[Spt-BH.xls][Spt-BH.xls]B___921"/>
      <sheetName val="[Spt-BH.xls][Spt-BH.xls]B___912"/>
      <sheetName val="[Spt-BH.xls][Spt-BH.xls]B___913"/>
      <sheetName val="[Spt-BH.xls][Spt-BH.xls]B___914"/>
      <sheetName val="[Spt-BH.xls][Spt-BH.xls]B___915"/>
      <sheetName val="[Spt-BH.xls][Spt-BH.xls]B___916"/>
      <sheetName val="[Spt-BH.xls]B____x005f_x0004_______89"/>
      <sheetName val="[Spt-BH.xls]B___x005f_x0000__x005f_x0004_89"/>
      <sheetName val="[Spt-BH.xls]B____x005f_x0004_______85"/>
      <sheetName val="[Spt-BH.xls]B___x005f_x0000__x005f_x0004_85"/>
      <sheetName val="[Spt-BH.xls]B____x005f_x0004_______86"/>
      <sheetName val="[Spt-BH.xls]B___x005f_x0000__x005f_x0004_86"/>
      <sheetName val="[Spt-BH.xls]B____x005f_x0004_______87"/>
      <sheetName val="[Spt-BH.xls]B___x005f_x0000__x005f_x0004_87"/>
      <sheetName val="[Spt-BH.xls][Spt-BH.xls]B___910"/>
      <sheetName val="[Spt-BH.xls][Spt-BH.xls]B___911"/>
      <sheetName val="[Spt-BH.xls]B____x005f_x0004_______88"/>
      <sheetName val="[Spt-BH.xls]B___x005f_x0000__x005f_x0004_88"/>
      <sheetName val="[Spt-BH.xls][Spt-BH.xls]_Sp_237"/>
      <sheetName val="[Spt-BH.xls][Spt-BH.xls]B___922"/>
      <sheetName val="[Spt-BH.xls][Spt-BH.xls]B___923"/>
      <sheetName val="[Spt-BH.xls][Spt-BH.xls]B___924"/>
      <sheetName val="[Spt-BH.xls][Spt-BH.xls]B___925"/>
      <sheetName val="[Spt-BH.xls][Spt-BH.xls]B___926"/>
      <sheetName val="[Spt-BH.xls][Spt-BH.xls]_Sp_240"/>
      <sheetName val="[Spt-BH.xls][Spt-BH.xls]B___932"/>
      <sheetName val="[Spt-BH.xls][Spt-BH.xls]B___933"/>
      <sheetName val="[Spt-BH.xls][Spt-BH.xls]B___934"/>
      <sheetName val="[Spt-BH.xls][Spt-BH.xls]_Sp_259"/>
      <sheetName val="[Spt-BH.xls][Spt-BH.xls]B___935"/>
      <sheetName val="[Spt-BH.xls][Spt-BH.xls]B___936"/>
      <sheetName val="[Spt-BH.xls][Spt-BH.xls]B___937"/>
      <sheetName val="[Spt-BH.xls][Spt-BH.xls]B___938"/>
      <sheetName val="[Spt-BH.xls][Spt-BH.xls]B___939"/>
      <sheetName val="[Spt-BH.xls][Spt-BH.xls]_Sp_241"/>
      <sheetName val="[Spt-BH.xls][Spt-BH.xls]B___940"/>
      <sheetName val="[Spt-BH.xls][Spt-BH.xls]B___941"/>
      <sheetName val="[Spt-BH.xls][Spt-BH.xls]_Sp_247"/>
      <sheetName val="[Spt-BH.xls][Spt-BH.xls]_Sp_242"/>
      <sheetName val="[Spt-BH.xls][Spt-BH.xls]B___957"/>
      <sheetName val="[Spt-BH.xls][Spt-BH.xls]B___958"/>
      <sheetName val="[Spt-BH.xls][Spt-BH.xls]B___959"/>
      <sheetName val="[Spt-BH.xls][Spt-BH.xls]_Sp_248"/>
      <sheetName val="[Spt-BH.xls][Spt-BH.xls]B___960"/>
      <sheetName val="[Spt-BH.xls][Spt-BH.xls]B___961"/>
      <sheetName val="[Spt-BH.xls][Spt-BH.xls]_Sp_243"/>
      <sheetName val="[Spt-BH.xls][Spt-BH.xls]_Sp_244"/>
      <sheetName val="[Spt-BH.xls][Spt-BH.xls]B___942"/>
      <sheetName val="[Spt-BH.xls][Spt-BH.xls]B___943"/>
      <sheetName val="[Spt-BH.xls][Spt-BH.xls]B___944"/>
      <sheetName val="[Spt-BH.xls][Spt-BH.xls]B___945"/>
      <sheetName val="[Spt-BH.xls][Spt-BH.xls]B___946"/>
      <sheetName val="[Spt-BH.xls][Spt-BH.xls]_Sp_245"/>
      <sheetName val="[Spt-BH.xls][Spt-BH.xls]B___947"/>
      <sheetName val="[Spt-BH.xls][Spt-BH.xls]B___948"/>
      <sheetName val="[Spt-BH.xls][Spt-BH.xls]B___949"/>
      <sheetName val="[Spt-BH.xls][Spt-BH.xls]B___950"/>
      <sheetName val="[Spt-BH.xls][Spt-BH.xls]B___951"/>
      <sheetName val="[Spt-BH.xls][Spt-BH.xls]_Sp_246"/>
      <sheetName val="[Spt-BH.xls][Spt-BH.xls]B___952"/>
      <sheetName val="[Spt-BH.xls][Spt-BH.xls]B___953"/>
      <sheetName val="[Spt-BH.xls][Spt-BH.xls]B___954"/>
      <sheetName val="[Spt-BH.xls][Spt-BH.xls]B___955"/>
      <sheetName val="[Spt-BH.xls][Spt-BH.xls]B___956"/>
      <sheetName val="[Spt-BH.xls][Spt-BH.xls]_Sp_250"/>
      <sheetName val="[Spt-BH.xls][Spt-BH.xls]_Sp_249"/>
      <sheetName val="[Spt-BH.xls][Spt-BH.xls]B___962"/>
      <sheetName val="[Spt-BH.xls][Spt-BH.xls]B___963"/>
      <sheetName val="[Spt-BH.xls][Spt-BH.xls]B___964"/>
      <sheetName val="[Spt-BH.xls][Spt-BH.xls]_Sp_251"/>
      <sheetName val="[Spt-BH.xls][Spt-BH.xls]B___965"/>
      <sheetName val="[Spt-BH.xls][Spt-BH.xls]B___966"/>
      <sheetName val="[Spt-BH.xls]B____x005f_x0004_______90"/>
      <sheetName val="[Spt-BH.xls]B___x005f_x0000__x005f_x0004_90"/>
      <sheetName val="[Spt-BH.xls][Spt-BH.xls]B___967"/>
      <sheetName val="[Spt-BH.xls][Spt-BH.xls]B___968"/>
      <sheetName val="[Spt-BH.xls][Spt-BH.xls]B___969"/>
      <sheetName val="[Spt-BH.xls][Spt-BH.xls]_Sp_258"/>
      <sheetName val="[Spt-BH.xls][Spt-BH.xls]B___970"/>
      <sheetName val="[Spt-BH.xls][Spt-BH.xls]B___971"/>
      <sheetName val="[Spt-BH.xls][Spt-BH.xls]_Sp_252"/>
      <sheetName val="[Spt-BH.xls][Spt-BH.xls]_Sp_254"/>
      <sheetName val="[Spt-BH.xls][Spt-BH.xls]B___972"/>
      <sheetName val="[Spt-BH.xls][Spt-BH.xls]B___973"/>
      <sheetName val="[Spt-BH.xls][Spt-BH.xls]B___974"/>
      <sheetName val="[Spt-BH.xls][Spt-BH.xls]_Sp_255"/>
      <sheetName val="[Spt-BH.xls][Spt-BH.xls]B___975"/>
      <sheetName val="[Spt-BH.xls][Spt-BH.xls]B___976"/>
      <sheetName val="[Spt-BH.xls][Spt-BH.xls]B___977"/>
      <sheetName val="[Spt-BH.xls][Spt-BH.xls]B___978"/>
      <sheetName val="[Spt-BH.xls][Spt-BH.xls]B___979"/>
      <sheetName val="[Spt-BH.xls][Spt-BH.xls]B___980"/>
      <sheetName val="[Spt-BH.xls][Spt-BH.xls]B___981"/>
      <sheetName val="[Spt-BH.xls]B____x005f_x0004_______92"/>
      <sheetName val="[Spt-BH.xls]B___x005f_x0000__x005f_x0004_92"/>
      <sheetName val="[Spt-BH.xls][Spt-BH.xls]_Sp_253"/>
      <sheetName val="[Spt-BH.xls]B____x005f_x0004_______91"/>
      <sheetName val="[Spt-BH.xls]B___x005f_x0000__x005f_x0004_91"/>
      <sheetName val="[Spt-BH.xls][Spt-BH.xls]_Sp_256"/>
      <sheetName val="[Spt-BH.xls][Spt-BH.xls]_Sp_257"/>
      <sheetName val="[Spt-BH.xls][Spt-BH.xls]B___982"/>
      <sheetName val="[Spt-BH.xls][Spt-BH.xls]B___983"/>
      <sheetName val="[Spt-BH.xls][Spt-BH.xls]B___984"/>
      <sheetName val="[Spt-BH.xls][Spt-BH.xls]B___985"/>
      <sheetName val="[Spt-BH.xls][Spt-BH.xls]B___986"/>
      <sheetName val="[Spt-BH.xls]B____x005f_x0004_______93"/>
      <sheetName val="[Spt-BH.xls]B___x005f_x0000__x005f_x0004_93"/>
      <sheetName val="[Spt-BH.xls][Spt-BH.xls]_Sp_266"/>
      <sheetName val="[Spt-BH.xls][Spt-BH.xls]B__1012"/>
      <sheetName val="[Spt-BH.xls][Spt-BH.xls]B__1013"/>
      <sheetName val="[Spt-BH.xls][Spt-BH.xls]B__1014"/>
      <sheetName val="[Spt-BH.xls][Spt-BH.xls]B__1015"/>
      <sheetName val="[Spt-BH.xls][Spt-BH.xls]B__1016"/>
      <sheetName val="[Spt-BH.xls][Spt-BH.xls]_Sp_265"/>
      <sheetName val="[Spt-BH.xls][Spt-BH.xls]B__1007"/>
      <sheetName val="[Spt-BH.xls][Spt-BH.xls]B__1008"/>
      <sheetName val="[Spt-BH.xls][Spt-BH.xls]B__1009"/>
      <sheetName val="[Spt-BH.xls][Spt-BH.xls]B__1010"/>
      <sheetName val="[Spt-BH.xls][Spt-BH.xls]B__1011"/>
      <sheetName val="[Spt-BH.xls][Spt-BH.xls]B___997"/>
      <sheetName val="[Spt-BH.xls][Spt-BH.xls]B___998"/>
      <sheetName val="[Spt-BH.xls][Spt-BH.xls]B___999"/>
      <sheetName val="[Spt-BH.xls][Spt-BH.xls]_Sp_264"/>
      <sheetName val="[Spt-BH.xls][Spt-BH.xls]B__1000"/>
      <sheetName val="[Spt-BH.xls][Spt-BH.xls]B__1001"/>
      <sheetName val="[Spt-BH.xls][Spt-BH.xls]B__1002"/>
      <sheetName val="[Spt-BH.xls][Spt-BH.xls]B__1003"/>
      <sheetName val="[Spt-BH.xls][Spt-BH.xls]B__1004"/>
      <sheetName val="[Spt-BH.xls][Spt-BH.xls]B__1005"/>
      <sheetName val="[Spt-BH.xls][Spt-BH.xls]B__1006"/>
      <sheetName val="[Spt-BH.xls]B____x005f_x0004_______95"/>
      <sheetName val="[Spt-BH.xls]B___x005f_x0000__x005f_x0004_95"/>
      <sheetName val="[Spt-BH.xls][Spt-BH.xls]B__1032"/>
      <sheetName val="[Spt-BH.xls][Spt-BH.xls]B__1033"/>
      <sheetName val="[Spt-BH.xls][Spt-BH.xls]B__1034"/>
      <sheetName val="[Spt-BH.xls][Spt-BH.xls]_Sp_272"/>
      <sheetName val="[Spt-BH.xls][Spt-BH.xls]B__1035"/>
      <sheetName val="[Spt-BH.xls][Spt-BH.xls]B__1036"/>
      <sheetName val="[Spt-BH.xls][Spt-BH.xls]B__1042"/>
      <sheetName val="[Spt-BH.xls][Spt-BH.xls]B__1043"/>
      <sheetName val="[Spt-BH.xls][Spt-BH.xls]B__1044"/>
      <sheetName val="[Spt-BH.xls][Spt-BH.xls]_Sp_273"/>
      <sheetName val="[Spt-BH.xls][Spt-BH.xls]B__1045"/>
      <sheetName val="[Spt-BH.xls][Spt-BH.xls]B__1046"/>
      <sheetName val="[Spt-BH.xls]B____x005f_x0004_______97"/>
      <sheetName val="[Spt-BH.xls]B___x005f_x0000__x005f_x0004_97"/>
      <sheetName val="[Spt-BH.xls][Spt-BH.xls]_Sp_268"/>
      <sheetName val="[Spt-BH.xls][Spt-BH.xls]B__1022"/>
      <sheetName val="[Spt-BH.xls][Spt-BH.xls]B__1023"/>
      <sheetName val="[Spt-BH.xls][Spt-BH.xls]B__1024"/>
      <sheetName val="[Spt-BH.xls][Spt-BH.xls]B__1025"/>
      <sheetName val="[Spt-BH.xls][Spt-BH.xls]B__1026"/>
      <sheetName val="[Spt-BH.xls][Spt-BH.xls]_Sp_267"/>
      <sheetName val="[Spt-BH.xls][Spt-BH.xls]B__1017"/>
      <sheetName val="[Spt-BH.xls][Spt-BH.xls]B__1018"/>
      <sheetName val="[Spt-BH.xls][Spt-BH.xls]B__1019"/>
      <sheetName val="[Spt-BH.xls][Spt-BH.xls]B__1020"/>
      <sheetName val="[Spt-BH.xls][Spt-BH.xls]B__1021"/>
      <sheetName val="[Spt-BH.xls][Spt-BH.xls]_Sp_269"/>
      <sheetName val="[Spt-BH.xls][Spt-BH.xls]B__1027"/>
      <sheetName val="[Spt-BH.xls][Spt-BH.xls]B__1028"/>
      <sheetName val="[Spt-BH.xls][Spt-BH.xls]B__1029"/>
      <sheetName val="[Spt-BH.xls][Spt-BH.xls]B__1030"/>
      <sheetName val="[Spt-BH.xls][Spt-BH.xls]B__1031"/>
      <sheetName val="[Spt-BH.xls]B____x005f_x0004_______96"/>
      <sheetName val="[Spt-BH.xls]B___x005f_x0000__x005f_x0004_96"/>
      <sheetName val="[Spt-BH.xls][Spt-BH.xls]_Sp_271"/>
      <sheetName val="[Spt-BH.xls][Spt-BH.xls]B__1037"/>
      <sheetName val="[Spt-BH.xls][Spt-BH.xls]B__1038"/>
      <sheetName val="[Spt-BH.xls][Spt-BH.xls]B__1039"/>
      <sheetName val="[Spt-BH.xls][Spt-BH.xls]B__1040"/>
      <sheetName val="[Spt-BH.xls][Spt-BH.xls]B__1041"/>
      <sheetName val="[Spt-BH.xls][Spt-BH.xls]_Sp_274"/>
      <sheetName val="[Spt-BH.xls][Spt-BH.xls]B__1047"/>
      <sheetName val="[Spt-BH.xls][Spt-BH.xls]B__1048"/>
      <sheetName val="[Spt-BH.xls][Spt-BH.xls]B__1049"/>
      <sheetName val="[Spt-BH.xls][Spt-BH.xls]_Sp_275"/>
      <sheetName val="[Spt-BH.xls][Spt-BH.xls]B__1050"/>
      <sheetName val="[Spt-BH.xls][Spt-BH.xls]B__1051"/>
      <sheetName val="[Spt-BH.xls][Spt-BH.xls]B__1052"/>
      <sheetName val="[Spt-BH.xls][Spt-BH.xls]B__1053"/>
      <sheetName val="[Spt-BH.xls][Spt-BH.xls]B__1054"/>
      <sheetName val="[Spt-BH.xls][Spt-BH.xls]_Sp_276"/>
      <sheetName val="[Spt-BH.xls][Spt-BH.xls]B__1055"/>
      <sheetName val="[Spt-BH.xls][Spt-BH.xls]B__1056"/>
      <sheetName val="[Spt-BH.xls]B____x005f_x0004_______98"/>
      <sheetName val="[Spt-BH.xls]B___x005f_x0000__x005f_x0004_98"/>
      <sheetName val="[Spt-BH.xls][Spt-BH.xls]_Sp_277"/>
      <sheetName val="[Spt-BH.xls][Spt-BH.xls]_Sp_278"/>
      <sheetName val="[Spt-BH.xls][Spt-BH.xls]B__1057"/>
      <sheetName val="[Spt-BH.xls][Spt-BH.xls]B__1058"/>
      <sheetName val="[Spt-BH.xls][Spt-BH.xls]B__1059"/>
      <sheetName val="[Spt-BH.xls][Spt-BH.xls]_Sp_279"/>
      <sheetName val="[Spt-BH.xls][Spt-BH.xls]B__1060"/>
      <sheetName val="[Spt-BH.xls][Spt-BH.xls]B__1061"/>
      <sheetName val="[Spt-BH.xls][Spt-BH.xls]_Sp_280"/>
      <sheetName val="[Spt-BH.xls][Spt-BH.xls]_Sp_281"/>
      <sheetName val="[Spt-BH.xls][Spt-BH.xls]B__1062"/>
      <sheetName val="[Spt-BH.xls][Spt-BH.xls]B__1063"/>
      <sheetName val="[Spt-BH.xls][Spt-BH.xls]B__1064"/>
      <sheetName val="[Spt-BH.xls][Spt-BH.xls]_Sp_284"/>
      <sheetName val="[Spt-BH.xls][Spt-BH.xls]B__1065"/>
      <sheetName val="[Spt-BH.xls][Spt-BH.xls]B__1066"/>
      <sheetName val="[Spt-BH.xls][Spt-BH.xls]B__1077"/>
      <sheetName val="[Spt-BH.xls][Spt-BH.xls]B__1078"/>
      <sheetName val="[Spt-BH.xls][Spt-BH.xls]B__1079"/>
      <sheetName val="[Spt-BH.xls][Spt-BH.xls]_Sp_285"/>
      <sheetName val="[Spt-BH.xls][Spt-BH.xls]B__1080"/>
      <sheetName val="[Spt-BH.xls][Spt-BH.xls]B__1081"/>
      <sheetName val="[Spt-BH.xls]B____x005f_x0004_______99"/>
      <sheetName val="[Spt-BH.xls]B___x005f_x0000__x005f_x0004_99"/>
      <sheetName val="[Spt-BH.xls][Spt-BH.xls]_Sp_282"/>
      <sheetName val="[Spt-BH.xls][Spt-BH.xls]B__1067"/>
      <sheetName val="[Spt-BH.xls][Spt-BH.xls]B__1068"/>
      <sheetName val="[Spt-BH.xls][Spt-BH.xls]B__1069"/>
      <sheetName val="[Spt-BH.xls][Spt-BH.xls]B__1070"/>
      <sheetName val="[Spt-BH.xls][Spt-BH.xls]B__1071"/>
      <sheetName val="[Spt-BH.xls][Spt-BH.xls]_Sp_283"/>
      <sheetName val="[Spt-BH.xls][Spt-BH.xls]B__1072"/>
      <sheetName val="[Spt-BH.xls][Spt-BH.xls]B__1073"/>
      <sheetName val="[Spt-BH.xls][Spt-BH.xls]B__1074"/>
      <sheetName val="[Spt-BH.xls][Spt-BH.xls]B__1075"/>
      <sheetName val="[Spt-BH.xls][Spt-BH.xls]B__1076"/>
      <sheetName val="[Spt-BH.xls][Spt-BH.xls]B__1082"/>
      <sheetName val="[Spt-BH.xls][Spt-BH.xls]B__1083"/>
      <sheetName val="[Spt-BH.xls][Spt-BH.xls]B__1084"/>
      <sheetName val="[Spt-BH.xls][Spt-BH.xls]_Sp_287"/>
      <sheetName val="[Spt-BH.xls][Spt-BH.xls]B__1085"/>
      <sheetName val="[Spt-BH.xls][Spt-BH.xls]B__1086"/>
      <sheetName val="[Spt-BH.xls][Spt-BH.xls]_Sp_286"/>
      <sheetName val="[Spt-BH.xls][Spt-BH.xls]B__1087"/>
      <sheetName val="[Spt-BH.xls][Spt-BH.xls]B__1088"/>
      <sheetName val="[Spt-BH.xls][Spt-BH.xls]B__1089"/>
      <sheetName val="[Spt-BH.xls][Spt-BH.xls]_Sp_288"/>
      <sheetName val="[Spt-BH.xls][Spt-BH.xls]B__1090"/>
      <sheetName val="[Spt-BH.xls][Spt-BH.xls]B__1091"/>
      <sheetName val="[Spt-BH.xls]B____x005f_x0004______100"/>
      <sheetName val="[Spt-BH.xls]B___x005f_x0000__x000_100"/>
      <sheetName val="[Spt-BH.xls][Spt-BH.xls]B__1092"/>
      <sheetName val="[Spt-BH.xls][Spt-BH.xls]B__1093"/>
      <sheetName val="[Spt-BH.xls][Spt-BH.xls]B__1094"/>
      <sheetName val="[Spt-BH.xls][Spt-BH.xls]_Sp_296"/>
      <sheetName val="[Spt-BH.xls][Spt-BH.xls]B__1095"/>
      <sheetName val="[Spt-BH.xls][Spt-BH.xls]B__1096"/>
      <sheetName val="[Spt-BH.xls][Spt-BH.xls]B__1122"/>
      <sheetName val="[Spt-BH.xls][Spt-BH.xls]B__1123"/>
      <sheetName val="[Spt-BH.xls][Spt-BH.xls]B__1124"/>
      <sheetName val="[Spt-BH.xls][Spt-BH.xls]_Sp_297"/>
      <sheetName val="[Spt-BH.xls][Spt-BH.xls]B__1125"/>
      <sheetName val="[Spt-BH.xls][Spt-BH.xls]B__1126"/>
      <sheetName val="[Spt-BH.xls]B____x005f_x0004______103"/>
      <sheetName val="[Spt-BH.xls]B___x005f_x0000__x000_103"/>
      <sheetName val="[Spt-BH.xls]B____x005f_x0004______101"/>
      <sheetName val="[Spt-BH.xls]B___x005f_x0000__x000_101"/>
      <sheetName val="[Spt-BH.xls]B____x005f_x0004______102"/>
      <sheetName val="[Spt-BH.xls]B___x005f_x0000__x000_102"/>
      <sheetName val="[Spt-BH.xls][Spt-BH.xls]_Sp_290"/>
      <sheetName val="[Spt-BH.xls][Spt-BH.xls]B__1102"/>
      <sheetName val="[Spt-BH.xls][Spt-BH.xls]B__1103"/>
      <sheetName val="[Spt-BH.xls][Spt-BH.xls]B__1104"/>
      <sheetName val="[Spt-BH.xls][Spt-BH.xls]_Sp_291"/>
      <sheetName val="[Spt-BH.xls][Spt-BH.xls]B__1105"/>
      <sheetName val="[Spt-BH.xls][Spt-BH.xls]B__1106"/>
      <sheetName val="[Spt-BH.xls][Spt-BH.xls]B__1107"/>
      <sheetName val="[Spt-BH.xls][Spt-BH.xls]B__1108"/>
      <sheetName val="[Spt-BH.xls][Spt-BH.xls]B__1109"/>
      <sheetName val="[Spt-BH.xls][Spt-BH.xls]_Sp_292"/>
      <sheetName val="[Spt-BH.xls][Spt-BH.xls]B__1110"/>
      <sheetName val="[Spt-BH.xls][Spt-BH.xls]B__1111"/>
      <sheetName val="[Spt-BH.xls]B____x005f_x0004______105"/>
      <sheetName val="[Spt-BH.xls]B___x005f_x0000__x000_105"/>
      <sheetName val="[Spt-BH.xls][Spt-BH.xls]_Sp_289"/>
      <sheetName val="[Spt-BH.xls][Spt-BH.xls]B__1097"/>
      <sheetName val="[Spt-BH.xls][Spt-BH.xls]B__1098"/>
      <sheetName val="[Spt-BH.xls][Spt-BH.xls]B__1099"/>
      <sheetName val="[Spt-BH.xls][Spt-BH.xls]B__1100"/>
      <sheetName val="[Spt-BH.xls][Spt-BH.xls]B__1101"/>
      <sheetName val="[Spt-BH.xls]B____x005f_x0004______104"/>
      <sheetName val="[Spt-BH.xls]B___x005f_x0000__x000_104"/>
      <sheetName val="[Spt-BH.xls][Spt-BH.xls]_Sp_295"/>
      <sheetName val="[Spt-BH.xls][Spt-BH.xls]B__1117"/>
      <sheetName val="[Spt-BH.xls][Spt-BH.xls]B__1118"/>
      <sheetName val="[Spt-BH.xls][Spt-BH.xls]B__1119"/>
      <sheetName val="[Spt-BH.xls][Spt-BH.xls]B__1120"/>
      <sheetName val="[Spt-BH.xls][Spt-BH.xls]B__1121"/>
      <sheetName val="[Spt-BH.xls]B____x005f_x0004______107"/>
      <sheetName val="[Spt-BH.xls]B___x005f_x0000__x000_107"/>
      <sheetName val="[Spt-BH.xls][Spt-BH.xls]_Sp_293"/>
      <sheetName val="[Spt-BH.xls][Spt-BH.xls]_Sp_294"/>
      <sheetName val="[Spt-BH.xls][Spt-BH.xls]B__1112"/>
      <sheetName val="[Spt-BH.xls][Spt-BH.xls]B__1113"/>
      <sheetName val="[Spt-BH.xls][Spt-BH.xls]B__1114"/>
      <sheetName val="[Spt-BH.xls][Spt-BH.xls]B__1115"/>
      <sheetName val="[Spt-BH.xls][Spt-BH.xls]B__1116"/>
      <sheetName val="[Spt-BH.xls]B____x005f_x0004______106"/>
      <sheetName val="[Spt-BH.xls]B___x005f_x0000__x000_106"/>
      <sheetName val="[Spt-BH.xls][Spt-BH.xls]B__1137"/>
      <sheetName val="[Spt-BH.xls][Spt-BH.xls]B__1138"/>
      <sheetName val="[Spt-BH.xls][Spt-BH.xls]B__1139"/>
      <sheetName val="[Spt-BH.xls][Spt-BH.xls]B__1140"/>
      <sheetName val="[Spt-BH.xls][Spt-BH.xls]B__1141"/>
      <sheetName val="[Spt-BH.xls][Spt-BH.xls]_Sp_300"/>
      <sheetName val="[Spt-BH.xls]B____x005f_x0004______110"/>
      <sheetName val="[Spt-BH.xls]B___x005f_x0000__x000_110"/>
      <sheetName val="[Spt-BH.xls][Spt-BH.xls]B__1127"/>
      <sheetName val="[Spt-BH.xls][Spt-BH.xls]B__1128"/>
      <sheetName val="[Spt-BH.xls][Spt-BH.xls]B__1129"/>
      <sheetName val="[Spt-BH.xls][Spt-BH.xls]B__1130"/>
      <sheetName val="[Spt-BH.xls][Spt-BH.xls]B__1131"/>
      <sheetName val="[Spt-BH.xls][Spt-BH.xls]_Sp_298"/>
      <sheetName val="[Spt-BH.xls]B____x005f_x0004______108"/>
      <sheetName val="[Spt-BH.xls]B___x005f_x0000__x000_108"/>
      <sheetName val="[Spt-BH.xls][Spt-BH.xls]B__1132"/>
      <sheetName val="[Spt-BH.xls][Spt-BH.xls]B__1133"/>
      <sheetName val="[Spt-BH.xls][Spt-BH.xls]B__1134"/>
      <sheetName val="[Spt-BH.xls][Spt-BH.xls]B__1135"/>
      <sheetName val="[Spt-BH.xls][Spt-BH.xls]B__1136"/>
      <sheetName val="[Spt-BH.xls][Spt-BH.xls]_Sp_299"/>
      <sheetName val="[Spt-BH.xls]B____x005f_x0004______109"/>
      <sheetName val="[Spt-BH.xls]B___x005f_x0000__x000_109"/>
      <sheetName val="[Spt-BH.xls][Spt-BH.xls]B__1142"/>
      <sheetName val="[Spt-BH.xls][Spt-BH.xls]B__1143"/>
      <sheetName val="[Spt-BH.xls][Spt-BH.xls]B__1144"/>
      <sheetName val="[Spt-BH.xls][Spt-BH.xls]B__1145"/>
      <sheetName val="[Spt-BH.xls][Spt-BH.xls]B__1146"/>
      <sheetName val="[Spt-BH.xls][Spt-BH.xls]_Sp_301"/>
      <sheetName val="[Spt-BH.xls]B____x005f_x0004______111"/>
      <sheetName val="[Spt-BH.xls]B___x005f_x0000__x000_111"/>
      <sheetName val="[Spt-BH.xls][Spt-BH.xls]_Sp_305"/>
      <sheetName val="[Spt-BH.xls][Spt-BH.xls]B__1157"/>
      <sheetName val="[Spt-BH.xls][Spt-BH.xls]B__1158"/>
      <sheetName val="[Spt-BH.xls][Spt-BH.xls]B__1159"/>
      <sheetName val="[Spt-BH.xls][Spt-BH.xls]_Sp_306"/>
      <sheetName val="[Spt-BH.xls][Spt-BH.xls]B__1160"/>
      <sheetName val="[Spt-BH.xls][Spt-BH.xls]B__1161"/>
      <sheetName val="[Spt-BH.xls][Spt-BH.xls]B__1162"/>
      <sheetName val="[Spt-BH.xls][Spt-BH.xls]B__1163"/>
      <sheetName val="[Spt-BH.xls][Spt-BH.xls]B__1164"/>
      <sheetName val="[Spt-BH.xls][Spt-BH.xls]B__1165"/>
      <sheetName val="[Spt-BH.xls][Spt-BH.xls]B__1166"/>
      <sheetName val="[Spt-BH.xls]B____x005f_x0004______113"/>
      <sheetName val="[Spt-BH.xls]B___x005f_x0000__x000_113"/>
      <sheetName val="[Spt-BH.xls][Spt-BH.xls]_Sp_310"/>
      <sheetName val="[Spt-BH.xls][Spt-BH.xls]B__1182"/>
      <sheetName val="[Spt-BH.xls][Spt-BH.xls]B__1183"/>
      <sheetName val="[Spt-BH.xls][Spt-BH.xls]B__1184"/>
      <sheetName val="[Spt-BH.xls][Spt-BH.xls]_Sp_312"/>
      <sheetName val="[Spt-BH.xls][Spt-BH.xls]B__1185"/>
      <sheetName val="[Spt-BH.xls][Spt-BH.xls]B__1186"/>
      <sheetName val="[Spt-BH.xls][Spt-BH.xls]B__1177"/>
      <sheetName val="[Spt-BH.xls][Spt-BH.xls]B__1178"/>
      <sheetName val="[Spt-BH.xls][Spt-BH.xls]B__1179"/>
      <sheetName val="[Spt-BH.xls][Spt-BH.xls]B__1180"/>
      <sheetName val="[Spt-BH.xls][Spt-BH.xls]B__1181"/>
      <sheetName val="[Spt-BH.xls][Spt-BH.xls]_Sp_309"/>
      <sheetName val="[Spt-BH.xls]B____x005f_x0004______116"/>
      <sheetName val="[Spt-BH.xls]B___x005f_x0000__x000_116"/>
      <sheetName val="[Spt-BH.xls]B____x005f_x0004______114"/>
      <sheetName val="[Spt-BH.xls]B___x005f_x0000__x000_114"/>
      <sheetName val="[Spt-BH.xls][Spt-BH.xls]B__1172"/>
      <sheetName val="[Spt-BH.xls][Spt-BH.xls]B__1173"/>
      <sheetName val="[Spt-BH.xls][Spt-BH.xls]B__1174"/>
      <sheetName val="[Spt-BH.xls][Spt-BH.xls]B__1175"/>
      <sheetName val="[Spt-BH.xls][Spt-BH.xls]B__1176"/>
      <sheetName val="[Spt-BH.xls]B____x005f_x0004______115"/>
      <sheetName val="[Spt-BH.xls]B___x005f_x0000__x000_115"/>
      <sheetName val="[Spt-BH.xls][Spt-BH.xls]B__1192"/>
      <sheetName val="[Spt-BH.xls][Spt-BH.xls]B__1193"/>
      <sheetName val="[Spt-BH.xls][Spt-BH.xls]B__1194"/>
      <sheetName val="[Spt-BH.xls][Spt-BH.xls]_Sp_316"/>
      <sheetName val="[Spt-BH.xls][Spt-BH.xls]B__1195"/>
      <sheetName val="[Spt-BH.xls][Spt-BH.xls]B__1196"/>
      <sheetName val="[Spt-BH.xls][Spt-BH.xls]_Sp_311"/>
      <sheetName val="[Spt-BH.xls][Spt-BH.xls]B__1187"/>
      <sheetName val="[Spt-BH.xls][Spt-BH.xls]B__1188"/>
      <sheetName val="[Spt-BH.xls][Spt-BH.xls]B__1189"/>
      <sheetName val="[Spt-BH.xls][Spt-BH.xls]B__1190"/>
      <sheetName val="[Spt-BH.xls][Spt-BH.xls]B__1191"/>
      <sheetName val="[Spt-BH.xls][Spt-BH.xls]_Sp_315"/>
      <sheetName val="[Spt-BH.xls][Spt-BH.xls]B__1202"/>
      <sheetName val="[Spt-BH.xls][Spt-BH.xls]B__1203"/>
      <sheetName val="[Spt-BH.xls][Spt-BH.xls]B__1204"/>
      <sheetName val="[Spt-BH.xls][Spt-BH.xls]B__1205"/>
      <sheetName val="[Spt-BH.xls][Spt-BH.xls]B__1206"/>
      <sheetName val="[Spt-BH.xls][Spt-BH.xls]_Sp_313"/>
      <sheetName val="[Spt-BH.xls][Spt-BH.xls]B__1197"/>
      <sheetName val="[Spt-BH.xls][Spt-BH.xls]B__1198"/>
      <sheetName val="[Spt-BH.xls][Spt-BH.xls]B__1199"/>
      <sheetName val="[Spt-BH.xls][Spt-BH.xls]_Sp_314"/>
      <sheetName val="[Spt-BH.xls][Spt-BH.xls]B__1200"/>
      <sheetName val="[Spt-BH.xls][Spt-BH.xls]B__1201"/>
      <sheetName val="[Spt-BH.xls][Spt-BH.xls]B__1207"/>
      <sheetName val="[Spt-BH.xls][Spt-BH.xls]B__1208"/>
      <sheetName val="[Spt-BH.xls][Spt-BH.xls]B__1209"/>
      <sheetName val="[Spt-BH.xls][Spt-BH.xls]_Sp_317"/>
      <sheetName val="[Spt-BH.xls][Spt-BH.xls]B__1210"/>
      <sheetName val="[Spt-BH.xls][Spt-BH.xls]B__1211"/>
      <sheetName val="[Spt-BH.xls][Spt-BH.xls]B__1212"/>
      <sheetName val="[Spt-BH.xls][Spt-BH.xls]B__1213"/>
      <sheetName val="[Spt-BH.xls][Spt-BH.xls]B__1214"/>
      <sheetName val="[Spt-BH.xls][Spt-BH.xls]_Sp_318"/>
      <sheetName val="[Spt-BH.xls][Spt-BH.xls]B__1215"/>
      <sheetName val="[Spt-BH.xls][Spt-BH.xls]B__1216"/>
      <sheetName val="[Spt-BH.xls]B____x005f_x0004______117"/>
      <sheetName val="[Spt-BH.xls]B___x005f_x0000__x000_117"/>
      <sheetName val="[Spt-BH.xls][Spt-BH.xls]_Sp_321"/>
      <sheetName val="[Spt-BH.xls][Spt-BH.xls]B__1272"/>
      <sheetName val="[Spt-BH.xls][Spt-BH.xls]B__1273"/>
      <sheetName val="[Spt-BH.xls][Spt-BH.xls]B__1274"/>
      <sheetName val="[Spt-BH.xls][Spt-BH.xls]_Sp_341"/>
      <sheetName val="[Spt-BH.xls][Spt-BH.xls]B__1275"/>
      <sheetName val="[Spt-BH.xls][Spt-BH.xls]B__1276"/>
      <sheetName val="[Spt-BH.xls][Spt-BH.xls]_Sp_340"/>
      <sheetName val="[Spt-BH.xls][Spt-BH.xls]B__1277"/>
      <sheetName val="[Spt-BH.xls][Spt-BH.xls]B__1278"/>
      <sheetName val="[Spt-BH.xls][Spt-BH.xls]B__1279"/>
      <sheetName val="[Spt-BH.xls][Spt-BH.xls]B__1280"/>
      <sheetName val="[Spt-BH.xls][Spt-BH.xls]B__1281"/>
      <sheetName val="[Spt-BH.xls]B____x005f_x0004______124"/>
      <sheetName val="[Spt-BH.xls]B___x005f_x0000__x000_124"/>
      <sheetName val="[Spt-BH.xls][Spt-BH.xls]_Sp_336"/>
      <sheetName val="[Spt-BH.xls][Spt-BH.xls]B__1262"/>
      <sheetName val="[Spt-BH.xls][Spt-BH.xls]B__1263"/>
      <sheetName val="[Spt-BH.xls][Spt-BH.xls]B__1264"/>
      <sheetName val="[Spt-BH.xls][Spt-BH.xls]_Sp_337"/>
      <sheetName val="[Spt-BH.xls][Spt-BH.xls]B__1265"/>
      <sheetName val="[Spt-BH.xls][Spt-BH.xls]B__1266"/>
      <sheetName val="[Spt-BH.xls][Spt-BH.xls]B__1257"/>
      <sheetName val="[Spt-BH.xls][Spt-BH.xls]B__1258"/>
      <sheetName val="[Spt-BH.xls][Spt-BH.xls]B__1259"/>
      <sheetName val="[Spt-BH.xls][Spt-BH.xls]B__1260"/>
      <sheetName val="[Spt-BH.xls][Spt-BH.xls]B__1261"/>
      <sheetName val="[Spt-BH.xls][Spt-BH.xls]_Sp_335"/>
      <sheetName val="[Spt-BH.xls]B____x005f_x0004______123"/>
      <sheetName val="[Spt-BH.xls]B___x005f_x0000__x000_123"/>
      <sheetName val="[Spt-BH.xls][Spt-BH.xls]B__1227"/>
      <sheetName val="[Spt-BH.xls][Spt-BH.xls]B__1228"/>
      <sheetName val="[Spt-BH.xls][Spt-BH.xls]B__1229"/>
      <sheetName val="[Spt-BH.xls][Spt-BH.xls]B__1230"/>
      <sheetName val="[Spt-BH.xls][Spt-BH.xls]B__1231"/>
      <sheetName val="[Spt-BH.xls]B____x005f_x0004______120"/>
      <sheetName val="[Spt-BH.xls]B___x005f_x0000__x000_120"/>
      <sheetName val="[Spt-BH.xls]B____x005f_x0004______119"/>
      <sheetName val="[Spt-BH.xls]B___x005f_x0000__x000_119"/>
      <sheetName val="[Spt-BH.xls][Spt-BH.xls]B__1232"/>
      <sheetName val="[Spt-BH.xls][Spt-BH.xls]B__1233"/>
      <sheetName val="[Spt-BH.xls][Spt-BH.xls]B__1234"/>
      <sheetName val="[Spt-BH.xls][Spt-BH.xls]_Sp_323"/>
      <sheetName val="[Spt-BH.xls][Spt-BH.xls]B__1235"/>
      <sheetName val="[Spt-BH.xls][Spt-BH.xls]B__1236"/>
      <sheetName val="[Spt-BH.xls]B____x005f_x0004______121"/>
      <sheetName val="[Spt-BH.xls]B___x005f_x0000__x000_121"/>
      <sheetName val="[Spt-BH.xls][Spt-BH.xls]B__1237"/>
      <sheetName val="[Spt-BH.xls][Spt-BH.xls]B__1238"/>
      <sheetName val="[Spt-BH.xls][Spt-BH.xls]B__1239"/>
      <sheetName val="[Spt-BH.xls][Spt-BH.xls]_Sp_324"/>
      <sheetName val="[Spt-BH.xls][Spt-BH.xls]B__1240"/>
      <sheetName val="[Spt-BH.xls][Spt-BH.xls]B__1241"/>
      <sheetName val="[Spt-BH.xls][Spt-BH.xls]_Sp_325"/>
      <sheetName val="[Spt-BH.xls][Spt-BH.xls]B__1242"/>
      <sheetName val="[Spt-BH.xls][Spt-BH.xls]B__1243"/>
      <sheetName val="[Spt-BH.xls][Spt-BH.xls]B__1244"/>
      <sheetName val="[Spt-BH.xls][Spt-BH.xls]_Sp_326"/>
      <sheetName val="[Spt-BH.xls][Spt-BH.xls]B__1245"/>
      <sheetName val="[Spt-BH.xls][Spt-BH.xls]B__1246"/>
      <sheetName val="[Spt-BH.xls][Spt-BH.xls]_Sp_330"/>
      <sheetName val="[Spt-BH.xls][Spt-BH.xls]_Sp_329"/>
      <sheetName val="[Spt-BH.xls][Spt-BH.xls]_Sp_327"/>
      <sheetName val="[Spt-BH.xls][Spt-BH.xls]_Sp_328"/>
      <sheetName val="[Spt-BH.xls][Spt-BH.xls]B__1247"/>
      <sheetName val="[Spt-BH.xls][Spt-BH.xls]B__1248"/>
      <sheetName val="[Spt-BH.xls][Spt-BH.xls]B__1249"/>
      <sheetName val="[Spt-BH.xls][Spt-BH.xls]B__1250"/>
      <sheetName val="[Spt-BH.xls][Spt-BH.xls]B__1251"/>
      <sheetName val="[Spt-BH.xls][Spt-BH.xls]_Sp_333"/>
      <sheetName val="[Spt-BH.xls][Spt-BH.xls]_Sp_331"/>
      <sheetName val="[Spt-BH.xls][Spt-BH.xls]_Sp_332"/>
      <sheetName val="[Spt-BH.xls][Spt-BH.xls]B__1252"/>
      <sheetName val="[Spt-BH.xls][Spt-BH.xls]B__1253"/>
      <sheetName val="[Spt-BH.xls][Spt-BH.xls]B__1254"/>
      <sheetName val="[Spt-BH.xls][Spt-BH.xls]B__1255"/>
      <sheetName val="[Spt-BH.xls][Spt-BH.xls]B__1256"/>
      <sheetName val="[Spt-BH.xls][Spt-BH.xls]_Sp_334"/>
      <sheetName val="[Spt-BH.xls]B____x005f_x0004______122"/>
      <sheetName val="[Spt-BH.xls]B___x005f_x0000__x000_122"/>
      <sheetName val="[Spt-BH.xls][Spt-BH.xls]_Sp_338"/>
      <sheetName val="[Spt-BH.xls][Spt-BH.xls]B__1267"/>
      <sheetName val="[Spt-BH.xls][Spt-BH.xls]B__1268"/>
      <sheetName val="[Spt-BH.xls][Spt-BH.xls]B__1269"/>
      <sheetName val="[Spt-BH.xls][Spt-BH.xls]_Sp_339"/>
      <sheetName val="[Spt-BH.xls][Spt-BH.xls]B__1270"/>
      <sheetName val="[Spt-BH.xls][Spt-BH.xls]B__1271"/>
      <sheetName val="[Spt-BH.xls][Spt-BH.xls]_Sp_344"/>
      <sheetName val="[Spt-BH.xls][Spt-BH.xls]B__1287"/>
      <sheetName val="[Spt-BH.xls][Spt-BH.xls]B__1288"/>
      <sheetName val="[Spt-BH.xls][Spt-BH.xls]B__1289"/>
      <sheetName val="[Spt-BH.xls][Spt-BH.xls]_Sp_345"/>
      <sheetName val="[Spt-BH.xls][Spt-BH.xls]B__1290"/>
      <sheetName val="[Spt-BH.xls][Spt-BH.xls]B__1291"/>
      <sheetName val="[Spt-BH.xls][Spt-BH.xls]_Sp_348"/>
      <sheetName val="[Spt-BH.xls][Spt-BH.xls]B__1302"/>
      <sheetName val="[Spt-BH.xls][Spt-BH.xls]B__1303"/>
      <sheetName val="[Spt-BH.xls][Spt-BH.xls]B__1304"/>
      <sheetName val="[Spt-BH.xls][Spt-BH.xls]_Sp_349"/>
      <sheetName val="[Spt-BH.xls][Spt-BH.xls]B__1305"/>
      <sheetName val="[Spt-BH.xls][Spt-BH.xls]B__1306"/>
      <sheetName val="[Spt-BH.xls][Spt-BH.xls]_Sp_346"/>
      <sheetName val="[Spt-BH.xls][Spt-BH.xls]B__1292"/>
      <sheetName val="[Spt-BH.xls][Spt-BH.xls]B__1293"/>
      <sheetName val="[Spt-BH.xls][Spt-BH.xls]B__1294"/>
      <sheetName val="[Spt-BH.xls][Spt-BH.xls]B__1295"/>
      <sheetName val="[Spt-BH.xls][Spt-BH.xls]B__1296"/>
      <sheetName val="[Spt-BH.xls][Spt-BH.xls]_Sp_347"/>
      <sheetName val="[Spt-BH.xls][Spt-BH.xls]B__1297"/>
      <sheetName val="[Spt-BH.xls][Spt-BH.xls]B__1298"/>
      <sheetName val="[Spt-BH.xls][Spt-BH.xls]B__1299"/>
      <sheetName val="[Spt-BH.xls][Spt-BH.xls]B__1300"/>
      <sheetName val="[Spt-BH.xls][Spt-BH.xls]B__1301"/>
      <sheetName val="[Spt-BH.xls][Spt-BH.xls]B__1347"/>
      <sheetName val="[Spt-BH.xls][Spt-BH.xls]B__1348"/>
      <sheetName val="[Spt-BH.xls][Spt-BH.xls]B__1349"/>
      <sheetName val="[Spt-BH.xls][Spt-BH.xls]_Sp_365"/>
      <sheetName val="[Spt-BH.xls][Spt-BH.xls]B__1350"/>
      <sheetName val="[Spt-BH.xls][Spt-BH.xls]B__1351"/>
      <sheetName val="[Spt-BH.xls][Spt-BH.xls]_Sp_363"/>
      <sheetName val="[Spt-BH.xls][Spt-BH.xls]B__1357"/>
      <sheetName val="[Spt-BH.xls][Spt-BH.xls]B__1358"/>
      <sheetName val="[Spt-BH.xls][Spt-BH.xls]B__1359"/>
      <sheetName val="[Spt-BH.xls][Spt-BH.xls]_Sp_366"/>
      <sheetName val="[Spt-BH.xls][Spt-BH.xls]B__1360"/>
      <sheetName val="[Spt-BH.xls][Spt-BH.xls]B__1361"/>
      <sheetName val="[Spt-BH.xls]B____x005f_x0004______132"/>
      <sheetName val="[Spt-BH.xls]B___x005f_x0000__x000_132"/>
      <sheetName val="[Spt-BH.xls][Spt-BH.xls]_Sp_360"/>
      <sheetName val="[Spt-BH.xls][Spt-BH.xls]B__1337"/>
      <sheetName val="[Spt-BH.xls][Spt-BH.xls]B__1338"/>
      <sheetName val="[Spt-BH.xls][Spt-BH.xls]B__1339"/>
      <sheetName val="[Spt-BH.xls][Spt-BH.xls]_Sp_361"/>
      <sheetName val="[Spt-BH.xls][Spt-BH.xls]B__1340"/>
      <sheetName val="[Spt-BH.xls][Spt-BH.xls]B__1341"/>
      <sheetName val="[Spt-BH.xls]B____x005f_x0004______125"/>
      <sheetName val="[Spt-BH.xls]B___x005f_x0000__x000_125"/>
      <sheetName val="[Spt-BH.xls]B____x005f_x0004______127"/>
      <sheetName val="[Spt-BH.xls]B___x005f_x0000__x000_127"/>
      <sheetName val="[Spt-BH.xls]B____x005f_x0004______126"/>
      <sheetName val="[Spt-BH.xls]B___x005f_x0000__x000_126"/>
      <sheetName val="[Spt-BH.xls]B____x005f_x0004______128"/>
      <sheetName val="[Spt-BH.xls]B___x005f_x0000__x000_128"/>
      <sheetName val="[Spt-BH.xls][Spt-BH.xls]_Sp_350"/>
      <sheetName val="[Spt-BH.xls][Spt-BH.xls]_Sp_351"/>
      <sheetName val="[Spt-BH.xls][Spt-BH.xls]_Sp_352"/>
      <sheetName val="[Spt-BH.xls][Spt-BH.xls]B__1307"/>
      <sheetName val="[Spt-BH.xls][Spt-BH.xls]B__1308"/>
      <sheetName val="[Spt-BH.xls][Spt-BH.xls]B__1309"/>
      <sheetName val="[Spt-BH.xls][Spt-BH.xls]_Sp_354"/>
      <sheetName val="[Spt-BH.xls][Spt-BH.xls]B__1310"/>
      <sheetName val="[Spt-BH.xls][Spt-BH.xls]B__1311"/>
      <sheetName val="[Spt-BH.xls][Spt-BH.xls]B__1317"/>
      <sheetName val="[Spt-BH.xls][Spt-BH.xls]B__1318"/>
      <sheetName val="[Spt-BH.xls][Spt-BH.xls]B__1319"/>
      <sheetName val="[Spt-BH.xls][Spt-BH.xls]_Sp_355"/>
      <sheetName val="[Spt-BH.xls][Spt-BH.xls]B__1320"/>
      <sheetName val="[Spt-BH.xls][Spt-BH.xls]B__1321"/>
      <sheetName val="[Spt-BH.xls][Spt-BH.xls]_Sp_353"/>
      <sheetName val="[Spt-BH.xls][Spt-BH.xls]B__1312"/>
      <sheetName val="[Spt-BH.xls][Spt-BH.xls]B__1313"/>
      <sheetName val="[Spt-BH.xls][Spt-BH.xls]B__1314"/>
      <sheetName val="[Spt-BH.xls][Spt-BH.xls]B__1315"/>
      <sheetName val="[Spt-BH.xls][Spt-BH.xls]B__1316"/>
      <sheetName val="[Spt-BH.xls][Spt-BH.xls]_Sp_356"/>
      <sheetName val="[Spt-BH.xls][Spt-BH.xls]_Sp_357"/>
      <sheetName val="[Spt-BH.xls][Spt-BH.xls]B__1322"/>
      <sheetName val="[Spt-BH.xls][Spt-BH.xls]B__1323"/>
      <sheetName val="[Spt-BH.xls][Spt-BH.xls]B__1324"/>
      <sheetName val="[Spt-BH.xls][Spt-BH.xls]B__1325"/>
      <sheetName val="[Spt-BH.xls][Spt-BH.xls]B__1326"/>
      <sheetName val="[Spt-BH.xls][Spt-BH.xls]B__1342"/>
      <sheetName val="[Spt-BH.xls][Spt-BH.xls]B__1343"/>
      <sheetName val="[Spt-BH.xls][Spt-BH.xls]B__1344"/>
      <sheetName val="[Spt-BH.xls][Spt-BH.xls]_Sp_362"/>
      <sheetName val="[Spt-BH.xls][Spt-BH.xls]B__1345"/>
      <sheetName val="[Spt-BH.xls][Spt-BH.xls]B__1346"/>
      <sheetName val="[Spt-BH.xls]B____x005f_x0004______131"/>
      <sheetName val="[Spt-BH.xls]B___x005f_x0000__x000_131"/>
      <sheetName val="[Spt-BH.xls][Spt-BH.xls]_Sp_358"/>
      <sheetName val="[Spt-BH.xls][Spt-BH.xls]B__1327"/>
      <sheetName val="[Spt-BH.xls][Spt-BH.xls]B__1328"/>
      <sheetName val="[Spt-BH.xls][Spt-BH.xls]B__1329"/>
      <sheetName val="[Spt-BH.xls][Spt-BH.xls]B__1330"/>
      <sheetName val="[Spt-BH.xls][Spt-BH.xls]B__1331"/>
      <sheetName val="[Spt-BH.xls]B____x005f_x0004______129"/>
      <sheetName val="[Spt-BH.xls]B___x005f_x0000__x000_129"/>
      <sheetName val="[Spt-BH.xls][Spt-BH.xls]_Sp_359"/>
      <sheetName val="[Spt-BH.xls][Spt-BH.xls]B__1332"/>
      <sheetName val="[Spt-BH.xls][Spt-BH.xls]B__1333"/>
      <sheetName val="[Spt-BH.xls][Spt-BH.xls]B__1334"/>
      <sheetName val="[Spt-BH.xls][Spt-BH.xls]B__1335"/>
      <sheetName val="[Spt-BH.xls][Spt-BH.xls]B__1336"/>
      <sheetName val="[Spt-BH.xls]B____x005f_x0004______130"/>
      <sheetName val="[Spt-BH.xls]B___x005f_x0000__x000_130"/>
      <sheetName val="[Spt-BH.xls][Spt-BH.xls]_Sp_364"/>
      <sheetName val="[Spt-BH.xls][Spt-BH.xls]B__1352"/>
      <sheetName val="[Spt-BH.xls][Spt-BH.xls]B__1353"/>
      <sheetName val="[Spt-BH.xls][Spt-BH.xls]B__1354"/>
      <sheetName val="[Spt-BH.xls][Spt-BH.xls]B__1355"/>
      <sheetName val="[Spt-BH.xls][Spt-BH.xls]B__1356"/>
      <sheetName val="[Spt-BH.xls][Spt-BH.xls]B__1382"/>
      <sheetName val="[Spt-BH.xls][Spt-BH.xls]B__1383"/>
      <sheetName val="[Spt-BH.xls][Spt-BH.xls]B__1384"/>
      <sheetName val="[Spt-BH.xls][Spt-BH.xls]_Sp_378"/>
      <sheetName val="[Spt-BH.xls][Spt-BH.xls]B__1385"/>
      <sheetName val="[Spt-BH.xls][Spt-BH.xls]B__1386"/>
      <sheetName val="[Spt-BH.xls][Spt-BH.xls]_Sp_375"/>
      <sheetName val="[Spt-BH.xls][Spt-BH.xls]B__1387"/>
      <sheetName val="[Spt-BH.xls][Spt-BH.xls]B__1388"/>
      <sheetName val="[Spt-BH.xls][Spt-BH.xls]B__1389"/>
      <sheetName val="[Spt-BH.xls][Spt-BH.xls]_Sp_379"/>
      <sheetName val="[Spt-BH.xls][Spt-BH.xls]B__1390"/>
      <sheetName val="[Spt-BH.xls][Spt-BH.xls]B__1391"/>
      <sheetName val="[Spt-BH.xls]B____x005f_x0004______135"/>
      <sheetName val="[Spt-BH.xls]B___x005f_x0000__x000_135"/>
      <sheetName val="[Spt-BH.xls][Spt-BH.xls]_Sp_367"/>
      <sheetName val="[Spt-BH.xls][Spt-BH.xls]B__1362"/>
      <sheetName val="[Spt-BH.xls][Spt-BH.xls]B__1363"/>
      <sheetName val="[Spt-BH.xls][Spt-BH.xls]B__1364"/>
      <sheetName val="[Spt-BH.xls][Spt-BH.xls]_Sp_368"/>
      <sheetName val="[Spt-BH.xls][Spt-BH.xls]B__1365"/>
      <sheetName val="[Spt-BH.xls][Spt-BH.xls]B__1366"/>
      <sheetName val="[Spt-BH.xls][Spt-BH.xls]_Sp_369"/>
      <sheetName val="[Spt-BH.xls][Spt-BH.xls]_Sp_370"/>
      <sheetName val="[Spt-BH.xls][Spt-BH.xls]_Sp_371"/>
      <sheetName val="[Spt-BH.xls][Spt-BH.xls]B__1367"/>
      <sheetName val="[Spt-BH.xls][Spt-BH.xls]B__1368"/>
      <sheetName val="[Spt-BH.xls][Spt-BH.xls]B__1369"/>
      <sheetName val="[Spt-BH.xls][Spt-BH.xls]_Sp_372"/>
      <sheetName val="[Spt-BH.xls][Spt-BH.xls]B__1370"/>
      <sheetName val="[Spt-BH.xls][Spt-BH.xls]B__1371"/>
      <sheetName val="[Spt-BH.xls][Spt-BH.xls]B__1372"/>
      <sheetName val="[Spt-BH.xls][Spt-BH.xls]B__1373"/>
      <sheetName val="[Spt-BH.xls][Spt-BH.xls]B__1374"/>
      <sheetName val="[Spt-BH.xls][Spt-BH.xls]_Sp_373"/>
      <sheetName val="[Spt-BH.xls][Spt-BH.xls]B__1375"/>
      <sheetName val="[Spt-BH.xls][Spt-BH.xls]B__1376"/>
      <sheetName val="[Spt-BH.xls]B____x005f_x0004______133"/>
      <sheetName val="[Spt-BH.xls]B___x005f_x0000__x000_133"/>
      <sheetName val="[Spt-BH.xls][Spt-BH.xls]B__1377"/>
      <sheetName val="[Spt-BH.xls][Spt-BH.xls]B__1378"/>
      <sheetName val="[Spt-BH.xls][Spt-BH.xls]B__1379"/>
      <sheetName val="[Spt-BH.xls][Spt-BH.xls]B__1380"/>
      <sheetName val="[Spt-BH.xls][Spt-BH.xls]B__1381"/>
      <sheetName val="[Spt-BH.xls][Spt-BH.xls]_Sp_374"/>
      <sheetName val="[Spt-BH.xls]B____x005f_x0004______134"/>
      <sheetName val="[Spt-BH.xls]B___x005f_x0000__x000_134"/>
      <sheetName val="[Spt-BH.xls][Spt-BH.xls]_Sp_376"/>
      <sheetName val="[Spt-BH.xls][Spt-BH.xls]_Sp_377"/>
      <sheetName val="[Spt-BH.xls][Spt-BH.xls]B__1392"/>
      <sheetName val="[Spt-BH.xls][Spt-BH.xls]B__1393"/>
      <sheetName val="[Spt-BH.xls][Spt-BH.xls]B__1394"/>
      <sheetName val="[Spt-BH.xls][Spt-BH.xls]_Sp_380"/>
      <sheetName val="[Spt-BH.xls][Spt-BH.xls]B__1395"/>
      <sheetName val="[Spt-BH.xls][Spt-BH.xls]B__1396"/>
      <sheetName val="[Spt-BH.xls]B____x005f_x0004______136"/>
      <sheetName val="[Spt-BH.xls]B___x005f_x0000__x000_136"/>
      <sheetName val="[Spt-BH.xls][Spt-BH.xls]B__1402"/>
      <sheetName val="[Spt-BH.xls][Spt-BH.xls]B__1403"/>
      <sheetName val="[Spt-BH.xls][Spt-BH.xls]B__1404"/>
      <sheetName val="[Spt-BH.xls][Spt-BH.xls]_Sp_383"/>
      <sheetName val="[Spt-BH.xls][Spt-BH.xls]B__1405"/>
      <sheetName val="[Spt-BH.xls][Spt-BH.xls]B__1406"/>
      <sheetName val="[Spt-BH.xls][Spt-BH.xls]_Sp_382"/>
      <sheetName val="[Spt-BH.xls][Spt-BH.xls]B__1407"/>
      <sheetName val="[Spt-BH.xls][Spt-BH.xls]B__1408"/>
      <sheetName val="[Spt-BH.xls][Spt-BH.xls]B__1409"/>
      <sheetName val="[Spt-BH.xls][Spt-BH.xls]_Sp_402"/>
      <sheetName val="[Spt-BH.xls][Spt-BH.xls]B__1410"/>
      <sheetName val="[Spt-BH.xls][Spt-BH.xls]B__1411"/>
      <sheetName val="[Spt-BH.xls]B____x005f_x0004______138"/>
      <sheetName val="[Spt-BH.xls]B___x005f_x0000__x000_138"/>
      <sheetName val="[Spt-BH.xls][Spt-BH.xls]B__1397"/>
      <sheetName val="[Spt-BH.xls][Spt-BH.xls]B__1398"/>
      <sheetName val="[Spt-BH.xls][Spt-BH.xls]B__1399"/>
      <sheetName val="[Spt-BH.xls][Spt-BH.xls]B__1400"/>
      <sheetName val="[Spt-BH.xls][Spt-BH.xls]B__1401"/>
      <sheetName val="[Spt-BH.xls][Spt-BH.xls]_Sp_381"/>
      <sheetName val="[Spt-BH.xls]B____x005f_x0004______137"/>
      <sheetName val="[Spt-BH.xls]B___x005f_x0000__x000_137"/>
      <sheetName val="[Spt-BH.xls][Spt-BH.xls]B__1412"/>
      <sheetName val="[Spt-BH.xls][Spt-BH.xls]B__1413"/>
      <sheetName val="[Spt-BH.xls][Spt-BH.xls]B__1414"/>
      <sheetName val="[Spt-BH.xls][Spt-BH.xls]_Sp_385"/>
      <sheetName val="[Spt-BH.xls][Spt-BH.xls]B__1415"/>
      <sheetName val="[Spt-BH.xls][Spt-BH.xls]B__1416"/>
      <sheetName val="[Spt-BH.xls][Spt-BH.xls]_Sp_384"/>
      <sheetName val="[Spt-BH.xls][Spt-BH.xls]B__1417"/>
      <sheetName val="[Spt-BH.xls][Spt-BH.xls]B__1418"/>
      <sheetName val="[Spt-BH.xls][Spt-BH.xls]B__1419"/>
      <sheetName val="[Spt-BH.xls][Spt-BH.xls]B__1420"/>
      <sheetName val="[Spt-BH.xls][Spt-BH.xls]B__1421"/>
      <sheetName val="[Spt-BH.xls][Spt-BH.xls]_Sp_386"/>
      <sheetName val="[Spt-BH.xls][Spt-BH.xls]_Sp_388"/>
      <sheetName val="[Spt-BH.xls]B____x005f_x0004______139"/>
      <sheetName val="[Spt-BH.xls]B___x005f_x0000__x000_139"/>
      <sheetName val="[Spt-BH.xls][Spt-BH.xls]B__1422"/>
      <sheetName val="[Spt-BH.xls][Spt-BH.xls]B__1423"/>
      <sheetName val="[Spt-BH.xls][Spt-BH.xls]B__1424"/>
      <sheetName val="[Spt-BH.xls][Spt-BH.xls]B__1425"/>
      <sheetName val="[Spt-BH.xls][Spt-BH.xls]B__1426"/>
      <sheetName val="[Spt-BH.xls][Spt-BH.xls]_Sp_387"/>
      <sheetName val="[Spt-BH.xls][Spt-BH.xls]B__1427"/>
      <sheetName val="[Spt-BH.xls][Spt-BH.xls]B__1428"/>
      <sheetName val="[Spt-BH.xls][Spt-BH.xls]B__1429"/>
      <sheetName val="[Spt-BH.xls][Spt-BH.xls]_Sp_389"/>
      <sheetName val="[Spt-BH.xls][Spt-BH.xls]B__1430"/>
      <sheetName val="[Spt-BH.xls][Spt-BH.xls]B__1431"/>
      <sheetName val="[Spt-BH.xls]B____x005f_x0004______140"/>
      <sheetName val="[Spt-BH.xls]B___x005f_x0000__x000_140"/>
      <sheetName val="[Spt-BH.xls][Spt-BH.xls]B__1432"/>
      <sheetName val="[Spt-BH.xls][Spt-BH.xls]B__1433"/>
      <sheetName val="[Spt-BH.xls][Spt-BH.xls]B__1434"/>
      <sheetName val="[Spt-BH.xls][Spt-BH.xls]_Sp_390"/>
      <sheetName val="[Spt-BH.xls][Spt-BH.xls]B__1435"/>
      <sheetName val="[Spt-BH.xls][Spt-BH.xls]B__1436"/>
      <sheetName val="[Spt-BH.xls]B____x005f_x0004______141"/>
      <sheetName val="[Spt-BH.xls]B___x005f_x0000__x000_141"/>
      <sheetName val="[Spt-BH.xls][Spt-BH.xls]_Sp_391"/>
      <sheetName val="[Spt-BH.xls][Spt-BH.xls]B__1437"/>
      <sheetName val="[Spt-BH.xls][Spt-BH.xls]B__1438"/>
      <sheetName val="[Spt-BH.xls][Spt-BH.xls]B__1439"/>
      <sheetName val="[Spt-BH.xls][Spt-BH.xls]_Sp_392"/>
      <sheetName val="[Spt-BH.xls][Spt-BH.xls]B__1440"/>
      <sheetName val="[Spt-BH.xls][Spt-BH.xls]B__1441"/>
      <sheetName val="[Spt-BH.xls][Spt-BH.xls]B__1442"/>
      <sheetName val="[Spt-BH.xls][Spt-BH.xls]B__1443"/>
      <sheetName val="[Spt-BH.xls][Spt-BH.xls]B__1444"/>
      <sheetName val="[Spt-BH.xls][Spt-BH.xls]_Sp_394"/>
      <sheetName val="[Spt-BH.xls][Spt-BH.xls]B__1445"/>
      <sheetName val="[Spt-BH.xls][Spt-BH.xls]B__1446"/>
      <sheetName val="[Spt-BH.xls][Spt-BH.xls]_Sp_393"/>
      <sheetName val="[Spt-BH.xls][Spt-BH.xls]B__1452"/>
      <sheetName val="[Spt-BH.xls][Spt-BH.xls]B__1453"/>
      <sheetName val="[Spt-BH.xls][Spt-BH.xls]B__1454"/>
      <sheetName val="[Spt-BH.xls][Spt-BH.xls]_Sp_395"/>
      <sheetName val="[Spt-BH.xls][Spt-BH.xls]B__1455"/>
      <sheetName val="[Spt-BH.xls][Spt-BH.xls]B__1456"/>
      <sheetName val="[Spt-BH.xls]B____x005f_x0004______142"/>
      <sheetName val="[Spt-BH.xls]B___x005f_x0000__x000_142"/>
      <sheetName val="[Spt-BH.xls][Spt-BH.xls]B__1447"/>
      <sheetName val="[Spt-BH.xls][Spt-BH.xls]B__1448"/>
      <sheetName val="[Spt-BH.xls][Spt-BH.xls]B__1449"/>
      <sheetName val="[Spt-BH.xls][Spt-BH.xls]B__1450"/>
      <sheetName val="[Spt-BH.xls][Spt-BH.xls]B__1451"/>
      <sheetName val="[Spt-BH.xls][Spt-BH.xls]B__1457"/>
      <sheetName val="[Spt-BH.xls][Spt-BH.xls]B__1458"/>
      <sheetName val="[Spt-BH.xls][Spt-BH.xls]B__1459"/>
      <sheetName val="[Spt-BH.xls][Spt-BH.xls]_Sp_401"/>
      <sheetName val="[Spt-BH.xls][Spt-BH.xls]B__1460"/>
      <sheetName val="[Spt-BH.xls][Spt-BH.xls]B__1461"/>
      <sheetName val="[Spt-BH.xls][Spt-BH.xls]_Sp_397"/>
      <sheetName val="[Spt-BH.xls][Spt-BH.xls]B__1467"/>
      <sheetName val="[Spt-BH.xls][Spt-BH.xls]B__1468"/>
      <sheetName val="[Spt-BH.xls][Spt-BH.xls]B__1469"/>
      <sheetName val="[Spt-BH.xls][Spt-BH.xls]_Sp_398"/>
      <sheetName val="[Spt-BH.xls][Spt-BH.xls]B__1470"/>
      <sheetName val="[Spt-BH.xls][Spt-BH.xls]B__1471"/>
      <sheetName val="[Spt-BH.xls][Spt-BH.xls]B__1472"/>
      <sheetName val="[Spt-BH.xls][Spt-BH.xls]B__1473"/>
      <sheetName val="[Spt-BH.xls][Spt-BH.xls]B__1474"/>
      <sheetName val="[Spt-BH.xls][Spt-BH.xls]B__1475"/>
      <sheetName val="[Spt-BH.xls][Spt-BH.xls]B__1476"/>
      <sheetName val="[Spt-BH.xls]B____x005f_x0004______144"/>
      <sheetName val="[Spt-BH.xls]B___x005f_x0000__x000_144"/>
      <sheetName val="[Spt-BH.xls][Spt-BH.xls]B__1462"/>
      <sheetName val="[Spt-BH.xls][Spt-BH.xls]B__1463"/>
      <sheetName val="[Spt-BH.xls][Spt-BH.xls]B__1464"/>
      <sheetName val="[Spt-BH.xls][Spt-BH.xls]B__1465"/>
      <sheetName val="[Spt-BH.xls][Spt-BH.xls]B__1466"/>
      <sheetName val="[Spt-BH.xls][Spt-BH.xls]_Sp_396"/>
      <sheetName val="[Spt-BH.xls]B____x005f_x0004______143"/>
      <sheetName val="[Spt-BH.xls]B___x005f_x0000__x000_143"/>
      <sheetName val="[Spt-BH.xls][Spt-BH.xls]_Sp_399"/>
      <sheetName val="[Spt-BH.xls][Spt-BH.xls]_Sp_400"/>
      <sheetName val="[Spt-BH.xls][Spt-BH.xls]_Sp_408"/>
      <sheetName val="[Spt-BH.xls][Spt-BH.xls]B__1504"/>
      <sheetName val="[Spt-BH.xls][Spt-BH.xls]B__1505"/>
      <sheetName val="[Spt-BH.xls][Spt-BH.xls]B__1506"/>
      <sheetName val="[Spt-BH.xls][Spt-BH.xls]_Sp_409"/>
      <sheetName val="[Spt-BH.xls][Spt-BH.xls]B__1507"/>
      <sheetName val="[Spt-BH.xls][Spt-BH.xls]B__1508"/>
      <sheetName val="[Spt-BH.xls][Spt-BH.xls]B__1510"/>
      <sheetName val="[Spt-BH.xls][Spt-BH.xls]B__1511"/>
      <sheetName val="[Spt-BH.xls][Spt-BH.xls]B__1512"/>
      <sheetName val="[Spt-BH.xls][Spt-BH.xls]_Sp_410"/>
      <sheetName val="[Spt-BH.xls][Spt-BH.xls]B__1513"/>
      <sheetName val="[Spt-BH.xls][Spt-BH.xls]B__1514"/>
      <sheetName val="[Spt-BH.xls]B____x005f_x0004______147"/>
      <sheetName val="[Spt-BH.xls]B___x005f_x0000__x000_147"/>
      <sheetName val="[Spt-BH.xls][Spt-BH.xls]B__1477"/>
      <sheetName val="[Spt-BH.xls][Spt-BH.xls]B__1478"/>
      <sheetName val="[Spt-BH.xls][Spt-BH.xls]B__1479"/>
      <sheetName val="[Spt-BH.xls][Spt-BH.xls]B__1480"/>
      <sheetName val="[Spt-BH.xls][Spt-BH.xls]B__1481"/>
      <sheetName val="OVERHEADS"/>
      <sheetName val="HOSPI-01"/>
      <sheetName val="PCS DATA"/>
      <sheetName val="2_2_띠장의_설계1"/>
      <sheetName val="LT_Motor_catalog1"/>
      <sheetName val="Cable_cat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IO_List"/>
      <sheetName val="B@_@__$_x0"/>
      <sheetName val="Break_Up_(bc)"/>
      <sheetName val="Break_Up_(bc1)"/>
      <sheetName val="Break_Up_(bc2)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t"/>
      <sheetName val="Sales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[Spt-BH.xls][Spt-BH_xls]B_____2"/>
      <sheetName val="[Spt-BH.xls][Spt-BH_xls]B_____3"/>
      <sheetName val="GR.slab-reinft"/>
      <sheetName val="dummy2"/>
      <sheetName val="SCHEDULE"/>
      <sheetName val="B@___x0004_@__x0000"/>
      <sheetName val="Notes"/>
      <sheetName val="p_m"/>
      <sheetName val="CPIPE"/>
      <sheetName val="Price Working -Mar'06"/>
      <sheetName val="[Spt-BH.xls][Spt-BH.xls]B__1482"/>
      <sheetName val="ENCL9"/>
      <sheetName val="Parameter"/>
      <sheetName val="CashFlow"/>
      <sheetName val="A01-A02-L&amp;T"/>
      <sheetName val="Prelims Breakup"/>
      <sheetName val="Staff planning"/>
      <sheetName val="1 yr maintainance"/>
      <sheetName val="[Spt-BH.xls]B____x005f_x0004______145"/>
      <sheetName val="[Spt-BH.xls]B___x005f_x0000__x000_145"/>
      <sheetName val="[Spt-BH.xls][Spt-BH.xls]B__1509"/>
      <sheetName val="[Spt-BH.xls][Spt-BH.xls]B__1483"/>
      <sheetName val="[Spt-BH.xls][Spt-BH.xls]B__1484"/>
      <sheetName val="[Spt-BH.xls][Spt-BH.xls]B__1485"/>
      <sheetName val="[Spt-BH.xls][Spt-BH.xls]_Sp_403"/>
      <sheetName val="[Spt-BH.xls][Spt-BH.xls]B__1486"/>
      <sheetName val="[Spt-BH.xls][Spt-BH.xls]B__1487"/>
      <sheetName val="[Spt-BH.xls][Spt-BH.xls]B__1488"/>
      <sheetName val="[Spt-BH.xls][Spt-BH.xls]B__1489"/>
      <sheetName val="[Spt-BH.xls][Spt-BH.xls]B__1490"/>
      <sheetName val="[Spt-BH.xls][Spt-BH.xls]B__1491"/>
      <sheetName val="[Spt-BH.xls][Spt-BH.xls]_Sp_405"/>
      <sheetName val="[Spt-BH.xls][Spt-BH.xls]B__1492"/>
      <sheetName val="[Spt-BH.xls][Spt-BH.xls]B__1493"/>
      <sheetName val="[Spt-BH.xls][Spt-BH.xls]B__1499"/>
      <sheetName val="[Spt-BH.xls][Spt-BH.xls]B__1500"/>
      <sheetName val="[Spt-BH.xls][Spt-BH.xls]B__1501"/>
      <sheetName val="[Spt-BH.xls][Spt-BH.xls]_Sp_406"/>
      <sheetName val="[Spt-BH.xls][Spt-BH.xls]B__1502"/>
      <sheetName val="[Spt-BH.xls][Spt-BH.xls]B__1503"/>
      <sheetName val="[Spt-BH.xls]B____x005f_x0004______146"/>
      <sheetName val="[Spt-BH.xls]B___x005f_x0000__x000_146"/>
      <sheetName val="[Spt-BH.xls][Spt-BH.xls]_Sp_404"/>
      <sheetName val="[Spt-BH.xls][Spt-BH.xls]B__1494"/>
      <sheetName val="[Spt-BH.xls][Spt-BH.xls]B__1495"/>
      <sheetName val="[Spt-BH.xls][Spt-BH.xls]B__1496"/>
      <sheetName val="[Spt-BH.xls][Spt-BH.xls]B__1497"/>
      <sheetName val="[Spt-BH.xls][Spt-BH.xls]B__1498"/>
      <sheetName val="[Spt-BH.xls][Spt-BH.xls]_Sp_407"/>
      <sheetName val="[Spt-BH.xls][Spt-BH.xls]B__1515"/>
      <sheetName val="[Spt-BH.xls][Spt-BH.xls]B__1516"/>
      <sheetName val="[Spt-BH.xls][Spt-BH.xls]B__1517"/>
      <sheetName val="[Spt-BH.xls][Spt-BH.xls]_Sp_412"/>
      <sheetName val="[Spt-BH.xls][Spt-BH.xls]B__1518"/>
      <sheetName val="[Spt-BH.xls][Spt-BH.xls]B__1519"/>
      <sheetName val="[Spt-BH.xls][Spt-BH.xls]_Sp_411"/>
      <sheetName val="[Spt-BH.xls][Spt-BH.xls]B__1520"/>
      <sheetName val="[Spt-BH.xls][Spt-BH.xls]B__1521"/>
      <sheetName val="[Spt-BH.xls][Spt-BH.xls]B__1522"/>
      <sheetName val="[Spt-BH.xls][Spt-BH.xls]_Sp_413"/>
      <sheetName val="[Spt-BH.xls][Spt-BH.xls]B__1523"/>
      <sheetName val="[Spt-BH.xls][Spt-BH.xls]B__1524"/>
      <sheetName val="[Spt-BH.xls]B____x005f_x0004______148"/>
      <sheetName val="[Spt-BH.xls]B___x005f_x0000__x000_148"/>
      <sheetName val="[Spt-BH.xls][Spt-BH.xls]_Sp_415"/>
      <sheetName val="[Spt-BH.xls][Spt-BH.xls]_Sp_414"/>
      <sheetName val="[Spt-BH.xls][Spt-BH.xls]_Sp_420"/>
      <sheetName val="[Spt-BH.xls][Spt-BH.xls]B__1545"/>
      <sheetName val="[Spt-BH.xls][Spt-BH.xls]B__1546"/>
      <sheetName val="[Spt-BH.xls][Spt-BH.xls]B__1547"/>
      <sheetName val="[Spt-BH.xls][Spt-BH.xls]_Sp_423"/>
      <sheetName val="[Spt-BH.xls][Spt-BH.xls]B__1548"/>
      <sheetName val="[Spt-BH.xls][Spt-BH.xls]B__1549"/>
      <sheetName val="[Spt-BH.xls][Spt-BH.xls]_Sp_417"/>
      <sheetName val="[Spt-BH.xls][Spt-BH.xls]B__1535"/>
      <sheetName val="[Spt-BH.xls][Spt-BH.xls]B__1536"/>
      <sheetName val="[Spt-BH.xls][Spt-BH.xls]B__1537"/>
      <sheetName val="[Spt-BH.xls][Spt-BH.xls]_Sp_419"/>
      <sheetName val="[Spt-BH.xls][Spt-BH.xls]B__1538"/>
      <sheetName val="[Spt-BH.xls][Spt-BH.xls]B__1539"/>
      <sheetName val="[Spt-BH.xls][Spt-BH.xls]B__1525"/>
      <sheetName val="[Spt-BH.xls][Spt-BH.xls]B__1526"/>
      <sheetName val="[Spt-BH.xls][Spt-BH.xls]B__1527"/>
      <sheetName val="[Spt-BH.xls][Spt-BH.xls]B__1528"/>
      <sheetName val="[Spt-BH.xls][Spt-BH.xls]B__1529"/>
      <sheetName val="[Spt-BH.xls][Spt-BH.xls]_Sp_416"/>
      <sheetName val="[Spt-BH.xls][Spt-BH.xls]B__1530"/>
      <sheetName val="[Spt-BH.xls][Spt-BH.xls]B__1531"/>
      <sheetName val="[Spt-BH.xls][Spt-BH.xls]B__1532"/>
      <sheetName val="[Spt-BH.xls][Spt-BH.xls]B__1533"/>
      <sheetName val="[Spt-BH.xls][Spt-BH.xls]B__1534"/>
      <sheetName val="[Spt-BH.xls]B____x005f_x0004______149"/>
      <sheetName val="[Spt-BH.xls]B___x005f_x0000__x000_149"/>
      <sheetName val="[Spt-BH.xls][Spt-BH.xls]_Sp_418"/>
      <sheetName val="[Spt-BH.xls][Spt-BH.xls]B__1540"/>
      <sheetName val="[Spt-BH.xls][Spt-BH.xls]B__1541"/>
      <sheetName val="[Spt-BH.xls][Spt-BH.xls]B__1542"/>
      <sheetName val="[Spt-BH.xls][Spt-BH.xls]B__1543"/>
      <sheetName val="[Spt-BH.xls][Spt-BH.xls]B__1544"/>
      <sheetName val="[Spt-BH.xls][Spt-BH.xls]B__1550"/>
      <sheetName val="[Spt-BH.xls][Spt-BH.xls]B__1551"/>
      <sheetName val="[Spt-BH.xls][Spt-BH.xls]B__1552"/>
      <sheetName val="[Spt-BH.xls][Spt-BH.xls]_Sp_422"/>
      <sheetName val="[Spt-BH.xls][Spt-BH.xls]B__1553"/>
      <sheetName val="[Spt-BH.xls][Spt-BH.xls]B__1554"/>
      <sheetName val="[Spt-BH.xls]B____x005f_x0004______150"/>
      <sheetName val="[Spt-BH.xls]B___x005f_x0000__x000_150"/>
      <sheetName val="[Spt-BH.xls][Spt-BH.xls]_Sp_421"/>
      <sheetName val="[Spt-BH.xls][Spt-BH.xls]_Sp_425"/>
      <sheetName val="[Spt-BH.xls][Spt-BH.xls]_Sp_424"/>
      <sheetName val="[Spt-BH.xls]B____x005f_x0004______151"/>
      <sheetName val="[Spt-BH.xls]B___x005f_x0000__x000_151"/>
      <sheetName val="[Spt-BH.xls][Spt-BH.xls]_Sp_427"/>
      <sheetName val="[Spt-BH.xls][Spt-BH.xls]_Sp_426"/>
      <sheetName val="[Spt-BH.xls][Spt-BH.xls]B__1565"/>
      <sheetName val="[Spt-BH.xls][Spt-BH.xls]B__1566"/>
      <sheetName val="[Spt-BH.xls][Spt-BH.xls]B__1567"/>
      <sheetName val="[Spt-BH.xls][Spt-BH.xls]B__1568"/>
      <sheetName val="[Spt-BH.xls][Spt-BH.xls]B__1569"/>
      <sheetName val="[Spt-BH.xls][Spt-BH.xls]B__1570"/>
      <sheetName val="[Spt-BH.xls][Spt-BH.xls]B__1571"/>
      <sheetName val="[Spt-BH.xls][Spt-BH.xls]B__1572"/>
      <sheetName val="[Spt-BH.xls][Spt-BH.xls]B__1573"/>
      <sheetName val="[Spt-BH.xls][Spt-BH.xls]B__1574"/>
      <sheetName val="[Spt-BH.xls]B____x005f_x0004______153"/>
      <sheetName val="[Spt-BH.xls]B___x005f_x0000__x000_153"/>
      <sheetName val="[Spt-BH.xls][Spt-BH.xls]B__1555"/>
      <sheetName val="[Spt-BH.xls][Spt-BH.xls]B__1556"/>
      <sheetName val="[Spt-BH.xls][Spt-BH.xls]B__1557"/>
      <sheetName val="[Spt-BH.xls][Spt-BH.xls]B__1558"/>
      <sheetName val="[Spt-BH.xls][Spt-BH.xls]B__1559"/>
      <sheetName val="[Spt-BH.xls][Spt-BH.xls]B__1560"/>
      <sheetName val="[Spt-BH.xls][Spt-BH.xls]B__1561"/>
      <sheetName val="[Spt-BH.xls][Spt-BH.xls]B__1562"/>
      <sheetName val="[Spt-BH.xls][Spt-BH.xls]B__1563"/>
      <sheetName val="[Spt-BH.xls][Spt-BH.xls]B__1564"/>
      <sheetName val="[Spt-BH.xls]B____x005f_x0004______152"/>
      <sheetName val="[Spt-BH.xls]B___x005f_x0000__x000_152"/>
      <sheetName val="[Spt-BH.xls][Spt-BH.xls]B__1575"/>
      <sheetName val="[Spt-BH.xls][Spt-BH.xls]B__1576"/>
      <sheetName val="[Spt-BH.xls][Spt-BH.xls]B__1577"/>
      <sheetName val="[Spt-BH.xls][Spt-BH.xls]B__1578"/>
      <sheetName val="[Spt-BH.xls][Spt-BH.xls]B__1579"/>
      <sheetName val="[Spt-BH.xls][Spt-BH.xls]_Sp_428"/>
      <sheetName val="[Spt-BH.xls][Spt-BH.xls]B__1585"/>
      <sheetName val="[Spt-BH.xls][Spt-BH.xls]B__1586"/>
      <sheetName val="[Spt-BH.xls][Spt-BH.xls]B__1587"/>
      <sheetName val="[Spt-BH.xls][Spt-BH.xls]_Sp_431"/>
      <sheetName val="[Spt-BH.xls][Spt-BH.xls]B__1588"/>
      <sheetName val="[Spt-BH.xls][Spt-BH.xls]B__1589"/>
      <sheetName val="[Spt-BH.xls][Spt-BH.xls]_Sp_430"/>
      <sheetName val="[Spt-BH.xls][Spt-BH.xls]B__1590"/>
      <sheetName val="[Spt-BH.xls][Spt-BH.xls]B__1591"/>
      <sheetName val="[Spt-BH.xls][Spt-BH.xls]B__1592"/>
      <sheetName val="[Spt-BH.xls][Spt-BH.xls]_Sp_432"/>
      <sheetName val="[Spt-BH.xls][Spt-BH.xls]B__1593"/>
      <sheetName val="[Spt-BH.xls][Spt-BH.xls]B__1594"/>
      <sheetName val="[Spt-BH.xls]B____x005f_x0004______155"/>
      <sheetName val="[Spt-BH.xls]B___x005f_x0000__x000_155"/>
      <sheetName val="[Spt-BH.xls][Spt-BH.xls]B__1580"/>
      <sheetName val="[Spt-BH.xls][Spt-BH.xls]B__1581"/>
      <sheetName val="[Spt-BH.xls][Spt-BH.xls]B__1582"/>
      <sheetName val="[Spt-BH.xls][Spt-BH.xls]B__1583"/>
      <sheetName val="[Spt-BH.xls][Spt-BH.xls]B__1584"/>
      <sheetName val="[Spt-BH.xls][Spt-BH.xls]_Sp_429"/>
      <sheetName val="[Spt-BH.xls]B____x005f_x0004______154"/>
      <sheetName val="[Spt-BH.xls]B___x005f_x0000__x000_154"/>
      <sheetName val="[Spt-BH.xls][Spt-BH.xls]B__1670"/>
      <sheetName val="[Spt-BH.xls][Spt-BH.xls]B__1671"/>
      <sheetName val="[Spt-BH.xls][Spt-BH.xls]B__1672"/>
      <sheetName val="[Spt-BH.xls][Spt-BH.xls]_Sp_454"/>
      <sheetName val="[Spt-BH.xls][Spt-BH.xls]B__1673"/>
      <sheetName val="[Spt-BH.xls][Spt-BH.xls]B__1674"/>
      <sheetName val="[Spt-BH.xls][Spt-BH.xls]_Sp_453"/>
      <sheetName val="[Spt-BH.xls][Spt-BH.xls]B__1675"/>
      <sheetName val="[Spt-BH.xls][Spt-BH.xls]B__1676"/>
      <sheetName val="[Spt-BH.xls][Spt-BH.xls]B__1677"/>
      <sheetName val="[Spt-BH.xls][Spt-BH.xls]_Sp_455"/>
      <sheetName val="[Spt-BH.xls][Spt-BH.xls]B__1678"/>
      <sheetName val="[Spt-BH.xls][Spt-BH.xls]B__1679"/>
      <sheetName val="[Spt-BH.xls]B____x005f_x0004______163"/>
      <sheetName val="[Spt-BH.xls]B___x005f_x0000__x000_163"/>
      <sheetName val="[Spt-BH.xls][Spt-BH.xls]_Sp_450"/>
      <sheetName val="[Spt-BH.xls][Spt-BH.xls]B__1660"/>
      <sheetName val="[Spt-BH.xls][Spt-BH.xls]B__1661"/>
      <sheetName val="[Spt-BH.xls][Spt-BH.xls]B__1662"/>
      <sheetName val="[Spt-BH.xls][Spt-BH.xls]_Sp_451"/>
      <sheetName val="[Spt-BH.xls][Spt-BH.xls]B__1663"/>
      <sheetName val="[Spt-BH.xls][Spt-BH.xls]B__1664"/>
      <sheetName val="B@[_x0000__x0004_@_x0000__x0000"/>
      <sheetName val="PG-DIA.SEA"/>
      <sheetName val="_Spt-BH.xls_B@_"/>
      <sheetName val="_Spt-BH.xls_B@___x0004_@_____$__"/>
      <sheetName val="_Spt-BH.xls_B@_@__$"/>
      <sheetName val="_Spt-BH.xls_B@__@_____$__"/>
      <sheetName val="DC"/>
      <sheetName val="Electrical"/>
      <sheetName val="IDC"/>
      <sheetName val="Road Works"/>
      <sheetName val="Footpath"/>
      <sheetName val="Recharge pit"/>
      <sheetName val="Boundary wall"/>
      <sheetName val="BW Repairing &amp; Repainting"/>
      <sheetName val="Water Works"/>
      <sheetName val="SS Tank"/>
      <sheetName val="Rectification-DI line"/>
      <sheetName val="Watering &amp; Compaction"/>
      <sheetName val="Water Supply &amp; Recycle Network"/>
      <sheetName val="Storm Water Drainage"/>
      <sheetName val="Dewatering"/>
      <sheetName val="Rectification-PSS-1"/>
      <sheetName val="Horticulture &amp; Landscaping"/>
      <sheetName val="ETC 1010"/>
      <sheetName val="ETC.1020"/>
      <sheetName val="ETC1090"/>
      <sheetName val="IPS Flooring"/>
      <sheetName val="Pump Grouting"/>
      <sheetName val="Down Take Pipe"/>
      <sheetName val="Pipe Grouting"/>
      <sheetName val="Plug Removing"/>
      <sheetName val="UGT Cleaning"/>
      <sheetName val="Leveling &amp; Dressing"/>
      <sheetName val="Road_Works"/>
      <sheetName val="Recharge_pit"/>
      <sheetName val="Boundary_wall"/>
      <sheetName val="BW_Repairing_&amp;_Repainting"/>
      <sheetName val="Water_Works"/>
      <sheetName val="SS_Tank"/>
      <sheetName val="Rectification-DI_line"/>
      <sheetName val="Watering_&amp;_Compaction"/>
      <sheetName val="Water_Supply_&amp;_Recycle_Network"/>
      <sheetName val="Storm_Water_Drainage"/>
      <sheetName val="Horticulture_&amp;_Landscaping"/>
      <sheetName val="ETC_1010"/>
      <sheetName val="ETC_1020"/>
      <sheetName val="IPS_Flooring"/>
      <sheetName val="Pump_Grouting"/>
      <sheetName val="Down_Take_Pipe"/>
      <sheetName val="Pipe_Grouting"/>
      <sheetName val="Plug_Removing"/>
      <sheetName val="UGT_Cleaning"/>
      <sheetName val="Leveling_&amp;_Dressing"/>
      <sheetName val="pr_cal1"/>
      <sheetName val="TRF_details1"/>
      <sheetName val="Material_1"/>
      <sheetName val="Labour_&amp;_Plant1"/>
      <sheetName val="Materials_Cost1"/>
      <sheetName val="Facilites_Master"/>
      <sheetName val="EQP_Master"/>
      <sheetName val="[Spt-BH_xls][Spt-BH_xls][Spt-BH"/>
      <sheetName val="[Spt-BH_xls][Spt-BH_xls]B@[?@??"/>
      <sheetName val="SP&amp;ST_제출가"/>
      <sheetName val="SPT_vs_PHI32"/>
      <sheetName val="glass_project_concrete32"/>
      <sheetName val="glass_project_reift32"/>
      <sheetName val="glass_project_indices32"/>
      <sheetName val="SBC-BH_1931"/>
      <sheetName val="Rate_Analysis31"/>
      <sheetName val="BH_12-11-10-1331"/>
      <sheetName val="BH_12-11-10-931"/>
      <sheetName val="BH_36-15-3731"/>
      <sheetName val="BH_16-35-25-1731"/>
      <sheetName val="BH_35-25-1731"/>
      <sheetName val="Sheet1_(2)31"/>
      <sheetName val="Summary_050631"/>
      <sheetName val="Summary_0607-_31_MAR31"/>
      <sheetName val="Civil_Boq30"/>
      <sheetName val="Pile_cap30"/>
      <sheetName val="PRECAST_lightconc-II30"/>
      <sheetName val="d-safe_DELUXE30"/>
      <sheetName val="Mix_Design30"/>
      <sheetName val="V_O_4_-_PCC_Qty30"/>
      <sheetName val="TBAL9697_-group_wise__sdpl30"/>
      <sheetName val="Abstract_Sheet30"/>
      <sheetName val="Legal_Risk_Analysis30"/>
      <sheetName val="RCC,Ret__Wall30"/>
      <sheetName val="Form_631"/>
      <sheetName val="PointNo_530"/>
      <sheetName val="E_&amp;_R30"/>
      <sheetName val="Break_up_Sheet30"/>
      <sheetName val="Fill_this_out_first___30"/>
      <sheetName val="REVISED4A_PROG_PERF-SITE_130"/>
      <sheetName val="final_abstract30"/>
      <sheetName val="BOQ_Direct_selling_cost30"/>
      <sheetName val="BOQ_(2)30"/>
      <sheetName val="Load_Details-220kV30"/>
      <sheetName val="SANJAY_PAL30"/>
      <sheetName val="P_A_SELVAM30"/>
      <sheetName val="ANSARI_30"/>
      <sheetName val="abdesh_pal30"/>
      <sheetName val="sujay_bagchi30"/>
      <sheetName val="S_K_SINHA_BASU30"/>
      <sheetName val="KRISHNA_PRASAD30"/>
      <sheetName val="BARATH_&amp;_CO30"/>
      <sheetName val="L_B_YADAV30"/>
      <sheetName val="DEEPAK_KUMAR30"/>
      <sheetName val="MUKLAL_YADAV30"/>
      <sheetName val="MADHU_SUDHAN30"/>
      <sheetName val="SAUD_ALAM_30"/>
      <sheetName val="RAMESH_BABU30"/>
      <sheetName val="SAILEN_SARKAR30"/>
      <sheetName val="SANJAY_JENA130"/>
      <sheetName val="upendra_saw_30"/>
      <sheetName val="ALLOK_KUMAR_30"/>
      <sheetName val="except_wiring30"/>
      <sheetName val="CABLE_DATA30"/>
      <sheetName val="beam-reinft-IIInd_floor30"/>
      <sheetName val="pr_cal3"/>
      <sheetName val="220_11__BS_29"/>
      <sheetName val="Cost_of_O_&amp;_O3"/>
      <sheetName val="Staff_Acco_30"/>
      <sheetName val="Pipe_Supports30"/>
      <sheetName val="M-Book_for_Conc30"/>
      <sheetName val="M-Book_for_FW30"/>
      <sheetName val="Rev_S1_Abstract30"/>
      <sheetName val="Quantity_Abstract30"/>
      <sheetName val="INPUT_SHEET30"/>
      <sheetName val="Project_Budget_Worksheet30"/>
      <sheetName val="TRF_details3"/>
      <sheetName val="BOQ_-II_ph_230"/>
      <sheetName val="Material_3"/>
      <sheetName val="Labour_&amp;_Plant3"/>
      <sheetName val="SSR_&amp;_NSSR_Market_final29"/>
      <sheetName val="India_F&amp;S_Template29"/>
      <sheetName val="precast_RC_element29"/>
      <sheetName val="Materials_Cost(PCC)29"/>
      <sheetName val="RA_RCC_F29"/>
      <sheetName val="Inputs_&amp;_Summary_Output4"/>
      <sheetName val="Broad_Refresher_Model4"/>
      <sheetName val="Materials_Cost3"/>
      <sheetName val="Havells__LT_(XLPE)2"/>
      <sheetName val="plinth_Beam_+_Stirrups_29"/>
      <sheetName val="GF_COLUMNS29"/>
      <sheetName val="G_F_ROOF_BEAM_29"/>
      <sheetName val="GF_SLAB_STEEL29"/>
      <sheetName val="GF_Lintel29"/>
      <sheetName val="GF_Stair29"/>
      <sheetName val="FF_COLUMNS29"/>
      <sheetName val="F_F__Steel_FINAL_(2)29"/>
      <sheetName val="FF_Lintel29"/>
      <sheetName val="FF_Stair29"/>
      <sheetName val="S_F__Steel_FINAL_29"/>
      <sheetName val="SF_Lintel29"/>
      <sheetName val="Material_List_3"/>
      <sheetName val="Fin_Sum2"/>
      <sheetName val="Works_-_Quote_Sheet2"/>
      <sheetName val="PL_Inst_RA_122"/>
      <sheetName val="PACK_(B)2"/>
      <sheetName val="Page_12"/>
      <sheetName val="Page_22"/>
      <sheetName val="Page_32"/>
      <sheetName val="Page_4_Installed2"/>
      <sheetName val="Page_4_Required2"/>
      <sheetName val="Page_5a2"/>
      <sheetName val="Page_5b2"/>
      <sheetName val="Page_5c2"/>
      <sheetName val="Page_5d2"/>
      <sheetName val="Page_5e2"/>
      <sheetName val="Page_5f2"/>
      <sheetName val="Page_5f_(2)2"/>
      <sheetName val="Page_6a2"/>
      <sheetName val="Page_6b2"/>
      <sheetName val="Page_7-12"/>
      <sheetName val="Page_7-2a1-I2"/>
      <sheetName val="Page_7-2a1-II2"/>
      <sheetName val="Page_7-2a1-III2"/>
      <sheetName val="Page_7-2a22"/>
      <sheetName val="Page_7-32"/>
      <sheetName val="Page_7-5a2"/>
      <sheetName val="Page_7-5b12"/>
      <sheetName val="Page_7-5b22"/>
      <sheetName val="Page_7-5c2"/>
      <sheetName val="Page_7-9a2"/>
      <sheetName val="Page_7-9b12"/>
      <sheetName val="Page_7-9b22"/>
      <sheetName val="Page_7-9c2"/>
      <sheetName val="Page_7-11a1-I2"/>
      <sheetName val="Page_7-11a1-II2"/>
      <sheetName val="Page_7-11a1-III2"/>
      <sheetName val="Page_7-11a22"/>
      <sheetName val="Page_7-152"/>
      <sheetName val="Page_7-16a2"/>
      <sheetName val="Page_7-16b2"/>
      <sheetName val="Page_82"/>
      <sheetName val="IO_List2"/>
      <sheetName val="Facilites_Master2"/>
      <sheetName val="EQP_Master2"/>
      <sheetName val="_AT-1-220_2"/>
      <sheetName val="_BC-2202"/>
      <sheetName val="DETAILED__BOQ2"/>
      <sheetName val="[Spt-BH_xls][Spt-BH_xls][Spt-B2"/>
      <sheetName val="[Spt-BH_xls][Spt-BH_xls]B@[?@?2"/>
      <sheetName val="DB_ET200(R__A)2"/>
      <sheetName val="SP&amp;ST_제출가2"/>
      <sheetName val="Assumption_Inputs2"/>
      <sheetName val="Break_Up_(bc)2"/>
      <sheetName val="Break_Up_(bc1)2"/>
      <sheetName val="Break_Up_(bc2)2"/>
      <sheetName val="_2"/>
      <sheetName val="syndicate_codes2"/>
      <sheetName val="Steel_Payment_Doc2"/>
      <sheetName val="Camp_Power_Cost2"/>
      <sheetName val="DM_tANK_Allow1"/>
      <sheetName val="[Spt-BH_xls]B@[_x005f_x0000__x005f_x0004_@1"/>
      <sheetName val="2_BHK1"/>
      <sheetName val="BALANCE-IOTL_1"/>
      <sheetName val="1_01_(a)1"/>
      <sheetName val="B@_@_"/>
      <sheetName val="[Spt-BH_xls][Spt-BH_xls]B@[?_x1"/>
      <sheetName val="ACAD_Finishes1"/>
      <sheetName val="Site_Details1"/>
      <sheetName val="Site_Area_Statement1"/>
      <sheetName val="SàQa@_x000"/>
      <sheetName val="Basic_Rate1"/>
      <sheetName val="INFLUENCES_ON_GM1"/>
      <sheetName val="Ins_&amp;_Bonds1"/>
      <sheetName val="Site_facilities1"/>
      <sheetName val="Clients_Requirements1"/>
      <sheetName val="MASTER_RATE_ANALYSIS1"/>
      <sheetName val="Road_Works2"/>
      <sheetName val="Recharge_pit2"/>
      <sheetName val="Boundary_wall2"/>
      <sheetName val="BW_Repairing_&amp;_Repainting2"/>
      <sheetName val="Water_Works2"/>
      <sheetName val="SS_Tank2"/>
      <sheetName val="Rectification-DI_line2"/>
      <sheetName val="Watering_&amp;_Compaction2"/>
      <sheetName val="Water_Supply_&amp;_Recycle_Network2"/>
      <sheetName val="Storm_Water_Drainage2"/>
      <sheetName val="Horticulture_&amp;_Landscaping2"/>
      <sheetName val="ETC_10102"/>
      <sheetName val="ETC_10202"/>
      <sheetName val="IPS_Flooring2"/>
      <sheetName val="Pump_Grouting2"/>
      <sheetName val="Down_Take_Pipe2"/>
      <sheetName val="Pipe_Grouting2"/>
      <sheetName val="Plug_Removing2"/>
      <sheetName val="UGT_Cleaning2"/>
      <sheetName val="Leveling_&amp;_Dressing2"/>
      <sheetName val="pr_cal2"/>
      <sheetName val="220_11__BS_28"/>
      <sheetName val="Cost_of_O_&amp;_O2"/>
      <sheetName val="TRF_details2"/>
      <sheetName val="Material_2"/>
      <sheetName val="Labour_&amp;_Plant2"/>
      <sheetName val="SSR_&amp;_NSSR_Market_final28"/>
      <sheetName val="India_F&amp;S_Template28"/>
      <sheetName val="precast_RC_element28"/>
      <sheetName val="Materials_Cost(PCC)28"/>
      <sheetName val="RA_RCC_F28"/>
      <sheetName val="Inputs_&amp;_Summary_Output3"/>
      <sheetName val="Broad_Refresher_Model3"/>
      <sheetName val="Materials_Cost2"/>
      <sheetName val="Havells__LT_(XLPE)1"/>
      <sheetName val="plinth_Beam_+_Stirrups_28"/>
      <sheetName val="GF_COLUMNS28"/>
      <sheetName val="G_F_ROOF_BEAM_28"/>
      <sheetName val="GF_SLAB_STEEL28"/>
      <sheetName val="GF_Lintel28"/>
      <sheetName val="GF_Stair28"/>
      <sheetName val="FF_COLUMNS28"/>
      <sheetName val="F_F__Steel_FINAL_(2)28"/>
      <sheetName val="FF_Lintel28"/>
      <sheetName val="FF_Stair28"/>
      <sheetName val="S_F__Steel_FINAL_28"/>
      <sheetName val="SF_Lintel28"/>
      <sheetName val="Material_List_2"/>
      <sheetName val="Fin_Sum1"/>
      <sheetName val="Works_-_Quote_Sheet1"/>
      <sheetName val="PL_Inst_RA_121"/>
      <sheetName val="PACK_(B)1"/>
      <sheetName val="Page_11"/>
      <sheetName val="Page_21"/>
      <sheetName val="Page_31"/>
      <sheetName val="Page_4_Installed1"/>
      <sheetName val="Page_4_Required1"/>
      <sheetName val="Page_5a1"/>
      <sheetName val="Page_5b1"/>
      <sheetName val="Page_5c1"/>
      <sheetName val="Page_5d1"/>
      <sheetName val="Page_5e1"/>
      <sheetName val="Page_5f1"/>
      <sheetName val="Page_5f_(2)1"/>
      <sheetName val="Page_6a1"/>
      <sheetName val="Page_6b1"/>
      <sheetName val="Page_7-11"/>
      <sheetName val="Page_7-2a1-I1"/>
      <sheetName val="Page_7-2a1-II1"/>
      <sheetName val="Page_7-2a1-III1"/>
      <sheetName val="Page_7-2a21"/>
      <sheetName val="Page_7-31"/>
      <sheetName val="Page_7-5a1"/>
      <sheetName val="Page_7-5b11"/>
      <sheetName val="Page_7-5b21"/>
      <sheetName val="Page_7-5c1"/>
      <sheetName val="Page_7-9a1"/>
      <sheetName val="Page_7-9b11"/>
      <sheetName val="Page_7-9b21"/>
      <sheetName val="Page_7-9c1"/>
      <sheetName val="Page_7-11a1-I1"/>
      <sheetName val="Page_7-11a1-II1"/>
      <sheetName val="Page_7-11a1-III1"/>
      <sheetName val="Page_7-11a21"/>
      <sheetName val="Page_7-151"/>
      <sheetName val="Page_7-16a1"/>
      <sheetName val="Page_7-16b1"/>
      <sheetName val="Page_81"/>
      <sheetName val="IO_List1"/>
      <sheetName val="Facilites_Master1"/>
      <sheetName val="EQP_Master1"/>
      <sheetName val="_AT-1-220_1"/>
      <sheetName val="_BC-2201"/>
      <sheetName val="DETAILED__BOQ1"/>
      <sheetName val="[Spt-BH_xls][Spt-BH_xls][Spt-B1"/>
      <sheetName val="[Spt-BH_xls][Spt-BH_xls]B@[?@?1"/>
      <sheetName val="DB_ET200(R__A)1"/>
      <sheetName val="SP&amp;ST_제출가1"/>
      <sheetName val="Assumption_Inputs1"/>
      <sheetName val="Break_Up_(bc)1"/>
      <sheetName val="Break_Up_(bc1)1"/>
      <sheetName val="Break_Up_(bc2)1"/>
      <sheetName val="_1"/>
      <sheetName val="syndicate_codes1"/>
      <sheetName val="Steel_Payment_Doc1"/>
      <sheetName val="Camp_Power_Cost1"/>
      <sheetName val="DM_tANK_Allow"/>
      <sheetName val="[Spt-BH_xls]B@[_x005f_x0000__x005f_x0004_@_"/>
      <sheetName val="1_01_(a)"/>
      <sheetName val="[Spt-BH_xls][Spt-BH_xls]B@[?_x0"/>
      <sheetName val="ACAD_Finishes"/>
      <sheetName val="Site_Details"/>
      <sheetName val="Site_Area_Statement"/>
      <sheetName val="MASTER_RATE_ANALYSIS"/>
      <sheetName val="Road_Works1"/>
      <sheetName val="Recharge_pit1"/>
      <sheetName val="Boundary_wall1"/>
      <sheetName val="BW_Repairing_&amp;_Repainting1"/>
      <sheetName val="Water_Works1"/>
      <sheetName val="SS_Tank1"/>
      <sheetName val="Rectification-DI_line1"/>
      <sheetName val="Watering_&amp;_Compaction1"/>
      <sheetName val="Water_Supply_&amp;_Recycle_Network1"/>
      <sheetName val="Storm_Water_Drainage1"/>
      <sheetName val="Horticulture_&amp;_Landscaping1"/>
      <sheetName val="ETC_10101"/>
      <sheetName val="ETC_10201"/>
      <sheetName val="IPS_Flooring1"/>
      <sheetName val="Pump_Grouting1"/>
      <sheetName val="Down_Take_Pipe1"/>
      <sheetName val="Pipe_Grouting1"/>
      <sheetName val="Plug_Removing1"/>
      <sheetName val="UGT_Cleaning1"/>
      <sheetName val="Leveling_&amp;_Dressing1"/>
      <sheetName val="SPT_vs_PHI33"/>
      <sheetName val="glass_project_concrete33"/>
      <sheetName val="glass_project_reift33"/>
      <sheetName val="glass_project_indices33"/>
      <sheetName val="SBC-BH_1932"/>
      <sheetName val="Rate_Analysis32"/>
      <sheetName val="BH_12-11-10-1332"/>
      <sheetName val="BH_12-11-10-932"/>
      <sheetName val="BH_36-15-3732"/>
      <sheetName val="BH_16-35-25-1732"/>
      <sheetName val="BH_35-25-1732"/>
      <sheetName val="Sheet1_(2)32"/>
      <sheetName val="Summary_050632"/>
      <sheetName val="Summary_0607-_31_MAR32"/>
      <sheetName val="Civil_Boq31"/>
      <sheetName val="Pile_cap31"/>
      <sheetName val="PRECAST_lightconc-II31"/>
      <sheetName val="d-safe_DELUXE31"/>
      <sheetName val="Mix_Design31"/>
      <sheetName val="V_O_4_-_PCC_Qty31"/>
      <sheetName val="TBAL9697_-group_wise__sdpl31"/>
      <sheetName val="Abstract_Sheet31"/>
      <sheetName val="Legal_Risk_Analysis31"/>
      <sheetName val="RCC,Ret__Wall31"/>
      <sheetName val="Form_632"/>
      <sheetName val="PointNo_531"/>
      <sheetName val="E_&amp;_R31"/>
      <sheetName val="Break_up_Sheet31"/>
      <sheetName val="Fill_this_out_first___31"/>
      <sheetName val="REVISED4A_PROG_PERF-SITE_131"/>
      <sheetName val="final_abstract31"/>
      <sheetName val="BOQ_Direct_selling_cost31"/>
      <sheetName val="BOQ_(2)31"/>
      <sheetName val="Load_Details-220kV31"/>
      <sheetName val="SANJAY_PAL31"/>
      <sheetName val="P_A_SELVAM31"/>
      <sheetName val="ANSARI_31"/>
      <sheetName val="abdesh_pal31"/>
      <sheetName val="sujay_bagchi31"/>
      <sheetName val="S_K_SINHA_BASU31"/>
      <sheetName val="KRISHNA_PRASAD31"/>
      <sheetName val="BARATH_&amp;_CO31"/>
      <sheetName val="L_B_YADAV31"/>
      <sheetName val="DEEPAK_KUMAR31"/>
      <sheetName val="MUKLAL_YADAV31"/>
      <sheetName val="MADHU_SUDHAN31"/>
      <sheetName val="SAUD_ALAM_31"/>
      <sheetName val="RAMESH_BABU31"/>
      <sheetName val="SAILEN_SARKAR31"/>
      <sheetName val="SANJAY_JENA131"/>
      <sheetName val="upendra_saw_31"/>
      <sheetName val="ALLOK_KUMAR_31"/>
      <sheetName val="except_wiring31"/>
      <sheetName val="CABLE_DATA31"/>
      <sheetName val="beam-reinft-IIInd_floor31"/>
      <sheetName val="pr_cal4"/>
      <sheetName val="220_11__BS_30"/>
      <sheetName val="Rein-Final_(Ph_1+Ph2)30"/>
      <sheetName val="class_&amp;_category30"/>
      <sheetName val="Cost_of_O_&amp;_O4"/>
      <sheetName val="Staff_Acco_31"/>
      <sheetName val="Pipe_Supports31"/>
      <sheetName val="M-Book_for_Conc31"/>
      <sheetName val="M-Book_for_FW31"/>
      <sheetName val="Rev_S1_Abstract31"/>
      <sheetName val="Quantity_Abstract31"/>
      <sheetName val="INPUT_SHEET31"/>
      <sheetName val="Project_Budget_Worksheet31"/>
      <sheetName val="TRF_details4"/>
      <sheetName val="d-safe_specs30"/>
      <sheetName val="BOQ_-II_ph_231"/>
      <sheetName val="Metso_-_Forth_&amp;_Slurry_11_02_40"/>
      <sheetName val="Fee_Rate_Summary30"/>
      <sheetName val="STAFFSCHED_30"/>
      <sheetName val="Material_4"/>
      <sheetName val="Labour_&amp;_Plant4"/>
      <sheetName val="Quote_Sheet30"/>
      <sheetName val="Site_wise_NADs30"/>
      <sheetName val="SSR_&amp;_NSSR_Market_final30"/>
      <sheetName val="India_F&amp;S_Template30"/>
      <sheetName val="precast_RC_element30"/>
      <sheetName val="Materials_Cost(PCC)30"/>
      <sheetName val="Stress_Calculation30"/>
      <sheetName val="RA_RCC_F30"/>
      <sheetName val="Inputs_&amp;_Summary_Output5"/>
      <sheetName val="Broad_Refresher_Model5"/>
      <sheetName val="Materials_Cost4"/>
      <sheetName val="Havells__LT_(XLPE)3"/>
      <sheetName val="plinth_Beam_+_Stirrups_30"/>
      <sheetName val="GF_COLUMNS30"/>
      <sheetName val="G_F_ROOF_BEAM_30"/>
      <sheetName val="GF_SLAB_STEEL30"/>
      <sheetName val="GF_Lintel30"/>
      <sheetName val="GF_Stair30"/>
      <sheetName val="FF_COLUMNS30"/>
      <sheetName val="F_F__Steel_FINAL_(2)30"/>
      <sheetName val="FF_Lintel30"/>
      <sheetName val="FF_Stair30"/>
      <sheetName val="S_F__Steel_FINAL_30"/>
      <sheetName val="SF_Lintel30"/>
      <sheetName val="Material_List_4"/>
      <sheetName val="Fin_Sum3"/>
      <sheetName val="Works_-_Quote_Sheet3"/>
      <sheetName val="PL_Inst_RA_123"/>
      <sheetName val="PACK_(B)3"/>
      <sheetName val="Page_13"/>
      <sheetName val="Page_23"/>
      <sheetName val="Page_33"/>
      <sheetName val="Page_4_Installed3"/>
      <sheetName val="Page_4_Required3"/>
      <sheetName val="Page_5a3"/>
      <sheetName val="Page_5b3"/>
      <sheetName val="Page_5c3"/>
      <sheetName val="Page_5d3"/>
      <sheetName val="Page_5e3"/>
      <sheetName val="Page_5f3"/>
      <sheetName val="Page_5f_(2)3"/>
      <sheetName val="Page_6a3"/>
      <sheetName val="Page_6b3"/>
      <sheetName val="Page_7-13"/>
      <sheetName val="Page_7-2a1-I3"/>
      <sheetName val="Page_7-2a1-II3"/>
      <sheetName val="Page_7-2a1-III3"/>
      <sheetName val="Page_7-2a23"/>
      <sheetName val="Page_7-33"/>
      <sheetName val="Page_7-5a3"/>
      <sheetName val="Page_7-5b13"/>
      <sheetName val="Page_7-5b23"/>
      <sheetName val="Page_7-5c3"/>
      <sheetName val="Page_7-9a3"/>
      <sheetName val="Page_7-9b13"/>
      <sheetName val="Page_7-9b23"/>
      <sheetName val="Page_7-9c3"/>
      <sheetName val="Page_7-11a1-I3"/>
      <sheetName val="Page_7-11a1-II3"/>
      <sheetName val="Page_7-11a1-III3"/>
      <sheetName val="Page_7-11a23"/>
      <sheetName val="Page_7-153"/>
      <sheetName val="Page_7-16a3"/>
      <sheetName val="Page_7-16b3"/>
      <sheetName val="Page_83"/>
      <sheetName val="IO_List3"/>
      <sheetName val="Facilites_Master3"/>
      <sheetName val="EQP_Master3"/>
      <sheetName val="_AT-1-220_3"/>
      <sheetName val="_BC-2203"/>
      <sheetName val="DETAILED__BOQ3"/>
      <sheetName val="[Spt-BH_xls][Spt-BH_xls][Spt-B3"/>
      <sheetName val="[Spt-BH_xls][Spt-BH_xls]B@[?@?3"/>
      <sheetName val="DB_ET200(R__A)3"/>
      <sheetName val="SP&amp;ST_제출가3"/>
      <sheetName val="Assumption_Inputs3"/>
      <sheetName val="Break_Up_(bc)3"/>
      <sheetName val="Break_Up_(bc1)3"/>
      <sheetName val="Break_Up_(bc2)3"/>
      <sheetName val="_3"/>
      <sheetName val="syndicate_codes3"/>
      <sheetName val="Steel_Payment_Doc3"/>
      <sheetName val="Camp_Power_Cost3"/>
      <sheetName val="DM_tANK_Allow2"/>
      <sheetName val="[Spt-BH_xls]B@[_x005f_x0000__x005f_x0004_@2"/>
      <sheetName val="2_BHK2"/>
      <sheetName val="BALANCE-IOTL_2"/>
      <sheetName val="1_01_(a)2"/>
      <sheetName val="[Spt-BH_xls][Spt-BH_xls]B@[?_x2"/>
      <sheetName val="ACAD_Finishes2"/>
      <sheetName val="Site_Details2"/>
      <sheetName val="Site_Area_Statement2"/>
      <sheetName val="Basic_Rate2"/>
      <sheetName val="INFLUENCES_ON_GM2"/>
      <sheetName val="Ins_&amp;_Bonds2"/>
      <sheetName val="Site_facilities2"/>
      <sheetName val="Clients_Requirements2"/>
      <sheetName val="MASTER_RATE_ANALYSIS2"/>
      <sheetName val="Road_Works3"/>
      <sheetName val="Recharge_pit3"/>
      <sheetName val="Boundary_wall3"/>
      <sheetName val="BW_Repairing_&amp;_Repainting3"/>
      <sheetName val="Water_Works3"/>
      <sheetName val="SS_Tank3"/>
      <sheetName val="Rectification-DI_line3"/>
      <sheetName val="Watering_&amp;_Compaction3"/>
      <sheetName val="Water_Supply_&amp;_Recycle_Network3"/>
      <sheetName val="Storm_Water_Drainage3"/>
      <sheetName val="Horticulture_&amp;_Landscaping3"/>
      <sheetName val="ETC_10103"/>
      <sheetName val="ETC_10203"/>
      <sheetName val="IPS_Flooring3"/>
      <sheetName val="Pump_Grouting3"/>
      <sheetName val="Down_Take_Pipe3"/>
      <sheetName val="Pipe_Grouting3"/>
      <sheetName val="Plug_Removing3"/>
      <sheetName val="UGT_Cleaning3"/>
      <sheetName val="Leveling_&amp;_Dressing3"/>
      <sheetName val="[Spt-BH.xls][Spt-BH.xls]B__1610"/>
      <sheetName val="[Spt-BH.xls][Spt-BH.xls]B__1611"/>
      <sheetName val="[Spt-BH.xls][Spt-BH.xls]B__1612"/>
      <sheetName val="[Spt-BH.xls][Spt-BH.xls]_Sp_438"/>
      <sheetName val="[Spt-BH.xls][Spt-BH.xls]B__1613"/>
      <sheetName val="[Spt-BH.xls][Spt-BH.xls]B__1614"/>
      <sheetName val="[Spt-BH.xls][Spt-BH.xls]_Sp_436"/>
      <sheetName val="[Spt-BH.xls][Spt-BH.xls]_Sp_434"/>
      <sheetName val="[Spt-BH.xls][Spt-BH.xls]B__1600"/>
      <sheetName val="[Spt-BH.xls][Spt-BH.xls]B__1601"/>
      <sheetName val="[Spt-BH.xls][Spt-BH.xls]B__1602"/>
      <sheetName val="[Spt-BH.xls][Spt-BH.xls]_Sp_435"/>
      <sheetName val="[Spt-BH.xls][Spt-BH.xls]B__1603"/>
      <sheetName val="[Spt-BH.xls][Spt-BH.xls]B__1604"/>
      <sheetName val="[Spt-BH.xls][Spt-BH.xls]B__1605"/>
      <sheetName val="[Spt-BH.xls][Spt-BH.xls]B__1606"/>
      <sheetName val="[Spt-BH.xls][Spt-BH.xls]B__1607"/>
      <sheetName val="[Spt-BH.xls][Spt-BH.xls]_Sp_437"/>
      <sheetName val="[Spt-BH.xls][Spt-BH.xls]B__1608"/>
      <sheetName val="[Spt-BH.xls][Spt-BH.xls]B__1609"/>
      <sheetName val="[Spt-BH.xls][Spt-BH.xls]B__1615"/>
      <sheetName val="[Spt-BH.xls][Spt-BH.xls]B__1616"/>
      <sheetName val="[Spt-BH.xls][Spt-BH.xls]B__1617"/>
      <sheetName val="[Spt-BH.xls][Spt-BH.xls]_Sp_439"/>
      <sheetName val="[Spt-BH.xls][Spt-BH.xls]B__1618"/>
      <sheetName val="[Spt-BH.xls][Spt-BH.xls]B__1619"/>
      <sheetName val="[Spt-BH.xls]B____x005f_x0004______157"/>
      <sheetName val="[Spt-BH.xls]B___x005f_x0000__x000_157"/>
      <sheetName val="[Spt-BH.xls][Spt-BH.xls]B__1620"/>
      <sheetName val="[Spt-BH.xls][Spt-BH.xls]B__1621"/>
      <sheetName val="[Spt-BH.xls][Spt-BH.xls]B__1622"/>
      <sheetName val="[Spt-BH.xls][Spt-BH.xls]B__1623"/>
      <sheetName val="[Spt-BH.xls][Spt-BH.xls]B__1624"/>
      <sheetName val="[Spt-BH.xls]B____x005f_x0004______158"/>
      <sheetName val="[Spt-BH.xls]B___x005f_x0000__x000_158"/>
      <sheetName val="[Spt-BH.xls][Spt-BH.xls]_Sp_441"/>
      <sheetName val="[Spt-BH.xls][Spt-BH.xls]_Sp_440"/>
      <sheetName val="[Spt-BH.xls][Spt-BH.xls]_Sp_448"/>
      <sheetName val="[Spt-BH.xls][Spt-BH.xls]B__1655"/>
      <sheetName val="[Spt-BH.xls][Spt-BH.xls]B__1656"/>
      <sheetName val="[Spt-BH.xls][Spt-BH.xls]B__1657"/>
      <sheetName val="[Spt-BH.xls][Spt-BH.xls]_Sp_449"/>
      <sheetName val="[Spt-BH.xls][Spt-BH.xls]B__1658"/>
      <sheetName val="[Spt-BH.xls][Spt-BH.xls]B__1659"/>
      <sheetName val="[Spt-BH.xls][Spt-BH.xls]B__1635"/>
      <sheetName val="[Spt-BH.xls][Spt-BH.xls]B__1636"/>
      <sheetName val="[Spt-BH.xls][Spt-BH.xls]B__1637"/>
      <sheetName val="[Spt-BH.xls][Spt-BH.xls]_Sp_446"/>
      <sheetName val="[Spt-BH.xls][Spt-BH.xls]B__1638"/>
      <sheetName val="[Spt-BH.xls][Spt-BH.xls]B__1639"/>
      <sheetName val="[Spt-BH.xls][Spt-BH.xls]_Sp_443"/>
      <sheetName val="[Spt-BH.xls][Spt-BH.xls]B__1625"/>
      <sheetName val="[Spt-BH.xls][Spt-BH.xls]B__1626"/>
      <sheetName val="[Spt-BH.xls][Spt-BH.xls]B__1627"/>
      <sheetName val="[Spt-BH.xls][Spt-BH.xls]B__1628"/>
      <sheetName val="[Spt-BH.xls][Spt-BH.xls]B__1629"/>
      <sheetName val="[Spt-BH.xls][Spt-BH.xls]B__1630"/>
      <sheetName val="[Spt-BH.xls][Spt-BH.xls]B__1631"/>
      <sheetName val="[Spt-BH.xls][Spt-BH.xls]B__1632"/>
      <sheetName val="[Spt-BH.xls][Spt-BH.xls]_Sp_442"/>
      <sheetName val="[Spt-BH.xls][Spt-BH.xls]B__1633"/>
      <sheetName val="[Spt-BH.xls][Spt-BH.xls]B__1634"/>
      <sheetName val="[Spt-BH.xls]B____x005f_x0004______159"/>
      <sheetName val="[Spt-BH.xls]B___x005f_x0000__x000_159"/>
      <sheetName val="[Spt-BH.xls][Spt-BH.xls]_Sp_444"/>
      <sheetName val="[Spt-BH.xls][Spt-BH.xls]_Sp_445"/>
      <sheetName val="[Spt-BH.xls][Spt-BH.xls]_Sp_447"/>
      <sheetName val="[Spt-BH.xls][Spt-BH.xls]B__1650"/>
      <sheetName val="[Spt-BH.xls][Spt-BH.xls]B__1651"/>
      <sheetName val="[Spt-BH.xls][Spt-BH.xls]B__1652"/>
      <sheetName val="[Spt-BH.xls][Spt-BH.xls]B__1653"/>
      <sheetName val="[Spt-BH.xls][Spt-BH.xls]B__1654"/>
      <sheetName val="[Spt-BH.xls]B____x005f_x0004______161"/>
      <sheetName val="[Spt-BH.xls]B___x005f_x0000__x000_161"/>
      <sheetName val="[Spt-BH.xls]B____x005f_x0004______160"/>
      <sheetName val="[Spt-BH.xls]B___x005f_x0000__x000_160"/>
      <sheetName val="[Spt-BH.xls][Spt-BH.xls]B__1640"/>
      <sheetName val="[Spt-BH.xls][Spt-BH.xls]B__1641"/>
      <sheetName val="[Spt-BH.xls][Spt-BH.xls]B__1642"/>
      <sheetName val="[Spt-BH.xls][Spt-BH.xls]B__1643"/>
      <sheetName val="[Spt-BH.xls][Spt-BH.xls]B__1644"/>
      <sheetName val="[Spt-BH.xls][Spt-BH.xls]B__1645"/>
      <sheetName val="[Spt-BH.xls][Spt-BH.xls]B__1646"/>
      <sheetName val="[Spt-BH.xls][Spt-BH.xls]B__1647"/>
      <sheetName val="[Spt-BH.xls][Spt-BH.xls]B__1648"/>
      <sheetName val="[Spt-BH.xls][Spt-BH.xls]B__1649"/>
      <sheetName val="[Spt-BH.xls][Spt-BH.xls]B__1665"/>
      <sheetName val="[Spt-BH.xls][Spt-BH.xls]B__1666"/>
      <sheetName val="[Spt-BH.xls][Spt-BH.xls]B__1667"/>
      <sheetName val="[Spt-BH.xls][Spt-BH.xls]B__1668"/>
      <sheetName val="[Spt-BH.xls][Spt-BH.xls]B__1669"/>
      <sheetName val="[Spt-BH.xls][Spt-BH.xls]_Sp_452"/>
      <sheetName val="[Spt-BH.xls]B____x005f_x0004______162"/>
      <sheetName val="[Spt-BH.xls]B___x005f_x0000__x000_162"/>
      <sheetName val="[Spt-BH.xls][Spt-BH.xls]B__1680"/>
      <sheetName val="[Spt-BH.xls][Spt-BH.xls]B__1681"/>
      <sheetName val="[Spt-BH.xls][Spt-BH.xls]B__1682"/>
      <sheetName val="[Spt-BH.xls][Spt-BH.xls]_Sp_457"/>
      <sheetName val="[Spt-BH.xls][Spt-BH.xls]B__1683"/>
      <sheetName val="[Spt-BH.xls][Spt-BH.xls]B__1684"/>
      <sheetName val="[Spt-BH.xls][Spt-BH.xls]B__1690"/>
      <sheetName val="[Spt-BH.xls][Spt-BH.xls]B__1691"/>
      <sheetName val="[Spt-BH.xls][Spt-BH.xls]B__1692"/>
      <sheetName val="[Spt-BH.xls][Spt-BH.xls]B__1693"/>
      <sheetName val="[Spt-BH.xls][Spt-BH.xls]B__1694"/>
      <sheetName val="[Spt-BH.xls]B____x005f_x0004______164"/>
      <sheetName val="[Spt-BH.xls]B___x005f_x0000__x000_164"/>
      <sheetName val="[Spt-BH.xls]B____x005f_x0004______166"/>
      <sheetName val="[Spt-BH.xls]B___x005f_x0000__x000_166"/>
      <sheetName val="[Spt-BH.xls][Spt-BH.xls]_Sp_456"/>
      <sheetName val="[Spt-BH.xls][Spt-BH.xls]B__1685"/>
      <sheetName val="[Spt-BH.xls][Spt-BH.xls]B__1686"/>
      <sheetName val="[Spt-BH.xls][Spt-BH.xls]B__1687"/>
      <sheetName val="[Spt-BH.xls][Spt-BH.xls]B__1688"/>
      <sheetName val="[Spt-BH.xls][Spt-BH.xls]B__1689"/>
      <sheetName val="[Spt-BH.xls]B____x005f_x0004______165"/>
      <sheetName val="[Spt-BH.xls]B___x005f_x0000__x000_165"/>
      <sheetName val="[Spt-BH.xls][Spt-BH.xls]_Sp_460"/>
      <sheetName val="[Spt-BH.xls][Spt-BH.xls]B__1700"/>
      <sheetName val="[Spt-BH.xls][Spt-BH.xls]B__1701"/>
      <sheetName val="[Spt-BH.xls][Spt-BH.xls]B__1702"/>
      <sheetName val="[Spt-BH.xls][Spt-BH.xls]_Sp_461"/>
      <sheetName val="[Spt-BH.xls][Spt-BH.xls]B__1703"/>
      <sheetName val="[Spt-BH.xls][Spt-BH.xls]B__1704"/>
      <sheetName val="[Spt-BH.xls][Spt-BH.xls]_Sp_459"/>
      <sheetName val="[Spt-BH.xls][Spt-BH.xls]B__1695"/>
      <sheetName val="[Spt-BH.xls][Spt-BH.xls]B__1696"/>
      <sheetName val="[Spt-BH.xls][Spt-BH.xls]B__1697"/>
      <sheetName val="[Spt-BH.xls][Spt-BH.xls]B__1698"/>
      <sheetName val="[Spt-BH.xls][Spt-BH.xls]B__1699"/>
      <sheetName val="[Spt-BH.xls][Spt-BH.xls]_Sp_458"/>
      <sheetName val="[Spt-BH.xls][Spt-BH.xls]_Sp_475"/>
      <sheetName val="[Spt-BH.xls][Spt-BH.xls]B__1750"/>
      <sheetName val="[Spt-BH.xls][Spt-BH.xls]B__1751"/>
      <sheetName val="[Spt-BH.xls][Spt-BH.xls]B__1752"/>
      <sheetName val="[Spt-BH.xls][Spt-BH.xls]_Sp_476"/>
      <sheetName val="[Spt-BH.xls][Spt-BH.xls]B__1753"/>
      <sheetName val="[Spt-BH.xls][Spt-BH.xls]B__1754"/>
      <sheetName val="[Spt-BH.xls][Spt-BH.xls]_Sp_462"/>
      <sheetName val="[Spt-BH.xls][Spt-BH.xls]B__1705"/>
      <sheetName val="[Spt-BH.xls][Spt-BH.xls]B__1706"/>
      <sheetName val="[Spt-BH.xls][Spt-BH.xls]B__1707"/>
      <sheetName val="[Spt-BH.xls][Spt-BH.xls]_Sp_463"/>
      <sheetName val="[Spt-BH.xls][Spt-BH.xls]B__1708"/>
      <sheetName val="[Spt-BH.xls][Spt-BH.xls]B__1709"/>
      <sheetName val="[Spt-BH.xls][Spt-BH.xls]_Sp_467"/>
      <sheetName val="[Spt-BH.xls][Spt-BH.xls]B__1725"/>
      <sheetName val="[Spt-BH.xls][Spt-BH.xls]B__1726"/>
      <sheetName val="[Spt-BH.xls][Spt-BH.xls]B__1727"/>
      <sheetName val="[Spt-BH.xls][Spt-BH.xls]_Sp_468"/>
      <sheetName val="[Spt-BH.xls][Spt-BH.xls]B__1728"/>
      <sheetName val="[Spt-BH.xls][Spt-BH.xls]B__1729"/>
      <sheetName val="[Spt-BH.xls][Spt-BH.xls]B__1710"/>
      <sheetName val="[Spt-BH.xls][Spt-BH.xls]B__1711"/>
      <sheetName val="[Spt-BH.xls][Spt-BH.xls]B__1712"/>
      <sheetName val="[Spt-BH.xls][Spt-BH.xls]B__1713"/>
      <sheetName val="[Spt-BH.xls][Spt-BH.xls]B__1714"/>
      <sheetName val="[Spt-BH.xls][Spt-BH.xls]_Sp_464"/>
      <sheetName val="[Spt-BH.xls][Spt-BH.xls]_Sp_465"/>
      <sheetName val="[Spt-BH.xls][Spt-BH.xls]B__1715"/>
      <sheetName val="[Spt-BH.xls][Spt-BH.xls]B__1716"/>
      <sheetName val="[Spt-BH.xls][Spt-BH.xls]B__1717"/>
      <sheetName val="[Spt-BH.xls][Spt-BH.xls]B__1718"/>
      <sheetName val="[Spt-BH.xls][Spt-BH.xls]B__1719"/>
      <sheetName val="[Spt-BH.xls][Spt-BH.xls]_Sp_466"/>
      <sheetName val="[Spt-BH.xls][Spt-BH.xls]B__1720"/>
      <sheetName val="[Spt-BH.xls][Spt-BH.xls]B__1721"/>
      <sheetName val="[Spt-BH.xls][Spt-BH.xls]B__1722"/>
      <sheetName val="[Spt-BH.xls][Spt-BH.xls]B__1723"/>
      <sheetName val="[Spt-BH.xls][Spt-BH.xls]B__1724"/>
      <sheetName val="[Spt-BH.xls][Spt-BH.xls]_Sp_469"/>
      <sheetName val="[Spt-BH.xls][Spt-BH.xls]_Sp_472"/>
      <sheetName val="[Spt-BH.xls][Spt-BH.xls]B__1730"/>
      <sheetName val="[Spt-BH.xls][Spt-BH.xls]B__1731"/>
      <sheetName val="[Spt-BH.xls][Spt-BH.xls]B__1732"/>
      <sheetName val="[Spt-BH.xls][Spt-BH.xls]_Sp_470"/>
      <sheetName val="[Spt-BH.xls][Spt-BH.xls]B__1733"/>
      <sheetName val="[Spt-BH.xls][Spt-BH.xls]B__1734"/>
      <sheetName val="[Spt-BH.xls][Spt-BH.xls]B__1740"/>
      <sheetName val="[Spt-BH.xls][Spt-BH.xls]B__1741"/>
      <sheetName val="[Spt-BH.xls][Spt-BH.xls]B__1742"/>
      <sheetName val="[Spt-BH.xls][Spt-BH.xls]_Sp_473"/>
      <sheetName val="[Spt-BH.xls][Spt-BH.xls]B__1743"/>
      <sheetName val="[Spt-BH.xls][Spt-BH.xls]B__1744"/>
      <sheetName val="[Spt-BH.xls][Spt-BH.xls]B__1745"/>
      <sheetName val="[Spt-BH.xls][Spt-BH.xls]B__1746"/>
      <sheetName val="[Spt-BH.xls][Spt-BH.xls]B__1747"/>
      <sheetName val="[Spt-BH.xls][Spt-BH.xls]_Sp_474"/>
      <sheetName val="[Spt-BH.xls][Spt-BH.xls]B__1748"/>
      <sheetName val="[Spt-BH.xls][Spt-BH.xls]B__1749"/>
      <sheetName val="[Spt-BH.xls]B____x005f_x0004______167"/>
      <sheetName val="[Spt-BH.xls]B___x005f_x0000__x000_167"/>
      <sheetName val="[Spt-BH.xls][Spt-BH.xls]_Sp_471"/>
      <sheetName val="[Spt-BH.xls][Spt-BH.xls]B__1735"/>
      <sheetName val="[Spt-BH.xls][Spt-BH.xls]B__1736"/>
      <sheetName val="[Spt-BH.xls][Spt-BH.xls]B__1737"/>
      <sheetName val="[Spt-BH.xls][Spt-BH.xls]B__1738"/>
      <sheetName val="[Spt-BH.xls][Spt-BH.xls]B__1739"/>
      <sheetName val="[Spt-BH.xls][Spt-BH.xls]B__1755"/>
      <sheetName val="[Spt-BH.xls][Spt-BH.xls]B__1756"/>
      <sheetName val="[Spt-BH.xls][Spt-BH.xls]B__1757"/>
      <sheetName val="[Spt-BH.xls][Spt-BH.xls]_Sp_477"/>
      <sheetName val="[Spt-BH.xls][Spt-BH.xls]B__1758"/>
      <sheetName val="[Spt-BH.xls][Spt-BH.xls]B__1759"/>
      <sheetName val="[Spt-BH.xls][Spt-BH.xls]B__1760"/>
      <sheetName val="[Spt-BH.xls][Spt-BH.xls]B__1761"/>
      <sheetName val="[Spt-BH.xls][Spt-BH.xls]B__1762"/>
      <sheetName val="[Spt-BH.xls][Spt-BH.xls]_Sp_478"/>
      <sheetName val="[Spt-BH.xls][Spt-BH.xls]B__1763"/>
      <sheetName val="[Spt-BH.xls][Spt-BH.xls]B__1764"/>
      <sheetName val="[Spt-BH.xls]B____x005f_x0004______169"/>
      <sheetName val="[Spt-BH.xls]B___x005f_x0000__x000_169"/>
      <sheetName val="Lead statement"/>
      <sheetName val="MRATES"/>
      <sheetName val="[Spt-BH.xls][Spt-BH_xls]B_____4"/>
      <sheetName val="[Spt-BH.xls][Spt-BH_xls]B_____5"/>
      <sheetName val="[Spt-BH.xls][Spt-BH_xls]B_____6"/>
      <sheetName val="[Spt-BH.xls][Spt-BH_xls]B____12"/>
      <sheetName val="[Spt-BH.xls][Spt-BH_xls]B____13"/>
      <sheetName val="[Spt-BH.xls][Spt-BH_xls]B____14"/>
      <sheetName val="[Spt-BH.xls][Spt-BH_xls]B____15"/>
      <sheetName val="[Spt-BH.xls][Spt-BH_xls]B____16"/>
      <sheetName val="[Spt-BH.xls][Spt-BH_xls]B_____7"/>
      <sheetName val="[Spt-BH.xls][Spt-BH_xls]B_____8"/>
      <sheetName val="[Spt-BH.xls][Spt-BH_xls]B_____9"/>
      <sheetName val="[Spt-BH.xls][Spt-BH_xls]B____10"/>
      <sheetName val="[Spt-BH.xls][Spt-BH_xls]B____11"/>
      <sheetName val="[Spt-BH.xls][Spt-BH_xls]B____17"/>
      <sheetName val="[Spt-BH.xls][Spt-BH_xls]B____18"/>
      <sheetName val="[Spt-BH.xls][Spt-BH_xls]B____19"/>
      <sheetName val="[Spt-BH.xls][Spt-BH_xls]B____20"/>
      <sheetName val="[Spt-BH.xls][Spt-BH_xls]B____21"/>
      <sheetName val="[Spt-BH.xls][Spt-BH_xls]B____27"/>
      <sheetName val="[Spt-BH.xls][Spt-BH_xls]B____28"/>
      <sheetName val="[Spt-BH.xls][Spt-BH_xls]B____29"/>
      <sheetName val="[Spt-BH.xls][Spt-BH_xls]B____30"/>
      <sheetName val="[Spt-BH.xls][Spt-BH_xls]B____31"/>
      <sheetName val="[Spt-BH.xls][Spt-BH_xls]B____22"/>
      <sheetName val="[Spt-BH.xls][Spt-BH_xls]B____23"/>
      <sheetName val="[Spt-BH.xls][Spt-BH_xls]B____24"/>
      <sheetName val="[Spt-BH.xls][Spt-BH_xls]B____25"/>
      <sheetName val="[Spt-BH.xls][Spt-BH_xls]B____26"/>
      <sheetName val="[Spt-BH.xls][Spt-BH_xls]B____32"/>
      <sheetName val="[Spt-BH.xls][Spt-BH_xls]B____33"/>
      <sheetName val="[Spt-BH.xls][Spt-BH_xls]B____34"/>
      <sheetName val="[Spt-BH.xls][Spt-BH_xls]B____35"/>
      <sheetName val="[Spt-BH.xls][Spt-BH_xls]B____36"/>
      <sheetName val="B@__x005f_x005f_x005f_x005F_x005f_x0000__x0"/>
      <sheetName val="PANEL ANNEXURE"/>
      <sheetName val="FITZ MORT 94"/>
      <sheetName val="Schd 8 Input"/>
      <sheetName val="Emp &amp; Trng"/>
      <sheetName val="[Spt-BH_xls][Spt-BH_xls]B___108"/>
      <sheetName val="[Spt-BH_xls][Spt-BH_xls]B___109"/>
      <sheetName val="[Spt-BH_xls][Spt-BH_xls]B___110"/>
      <sheetName val="[Spt-BH_xls][Spt-BH_xls]_Spt_23"/>
      <sheetName val="[Spt-BH_xls][Spt-BH_xls]B___111"/>
      <sheetName val="[Spt-BH_xls][Spt-BH_xls]B___112"/>
      <sheetName val="[Spt-BH_xls]B____x005f_x0004_______15"/>
      <sheetName val="[Spt-BH_xls]B___x005f_x0000__x005f_x0004_15"/>
      <sheetName val="[Spt-BH_xls][Spt-BH_xls]B___102"/>
      <sheetName val="[Spt-BH_xls][Spt-BH_xls]B___103"/>
      <sheetName val="[Spt-BH_xls][Spt-BH_xls]_Spt_22"/>
      <sheetName val="[Spt-BH_xls][Spt-BH_xls]B___104"/>
      <sheetName val="[Spt-BH_xls][Spt-BH_xls]B___105"/>
      <sheetName val="[Spt-BH_xls][Spt-BH_xls]B___113"/>
      <sheetName val="[Spt-BH_xls][Spt-BH_xls]_Spt_21"/>
      <sheetName val="[Spt-BH_xls][Spt-BH_xls]B___106"/>
      <sheetName val="[Spt-BH_xls][Spt-BH_xls]B___107"/>
      <sheetName val="[Spt-BH_xls][Spt-BH_xls]B_____2"/>
      <sheetName val="[Spt-BH_xls][Spt-BH_xls]B_____3"/>
      <sheetName val="[Spt-BH_xls][Spt-BH_xls]B_____4"/>
      <sheetName val="[Spt-BH_xls][Spt-BH_xls]B_____5"/>
      <sheetName val="[Spt-BH_xls][Spt-BH_xls]B_____6"/>
      <sheetName val="[Spt-BH_xls][Spt-BH_xls]_Spt__2"/>
      <sheetName val="[Spt-BH_xls][Spt-BH_xls]B____14"/>
      <sheetName val="[Spt-BH_xls][Spt-BH_xls]B____15"/>
      <sheetName val="[Spt-BH_xls][Spt-BH_xls]B____16"/>
      <sheetName val="[Spt-BH_xls][Spt-BH_xls]_Spt__5"/>
      <sheetName val="[Spt-BH_xls][Spt-BH_xls]B____17"/>
      <sheetName val="[Spt-BH_xls][Spt-BH_xls]B____18"/>
      <sheetName val="[Spt-BH_xls]B____x005f_x0004________3"/>
      <sheetName val="[Spt-BH_xls]B___x005f_x0000__x005f_x0004__3"/>
      <sheetName val="[Spt-BH_xls][Spt-BH_xls]B_____8"/>
      <sheetName val="[Spt-BH_xls][Spt-BH_xls]B_____9"/>
      <sheetName val="[Spt-BH_xls][Spt-BH_xls]B____10"/>
      <sheetName val="[Spt-BH_xls][Spt-BH_xls]_Spt__4"/>
      <sheetName val="[Spt-BH_xls][Spt-BH_xls]B____11"/>
      <sheetName val="[Spt-BH_xls][Spt-BH_xls]B____12"/>
      <sheetName val="[Spt-BH_xls][Spt-BH_xls]_Spt__3"/>
      <sheetName val="[Spt-BH_xls][Spt-BH_xls]B____13"/>
      <sheetName val="[Spt-BH_xls][Spt-BH_xls]B____19"/>
      <sheetName val="[Spt-BH_xls]B____x005f_x0004________2"/>
      <sheetName val="[Spt-BH_xls]B___x005f_x0000__x005f_x0004__2"/>
      <sheetName val="[Spt-BH_xls][Spt-BH_xls]B_____7"/>
      <sheetName val="[Spt-BH_xls][Spt-BH_xls]B____20"/>
      <sheetName val="[Spt-BH_xls][Spt-BH_xls]B____21"/>
      <sheetName val="[Spt-BH_xls][Spt-BH_xls]B____22"/>
      <sheetName val="[Spt-BH_xls][Spt-BH_xls]_Spt__6"/>
      <sheetName val="[Spt-BH_xls][Spt-BH_xls]B____23"/>
      <sheetName val="[Spt-BH_xls][Spt-BH_xls]B____24"/>
      <sheetName val="[Spt-BH_xls]B____x005f_x0004________4"/>
      <sheetName val="[Spt-BH_xls]B___x005f_x0000__x005f_x0004__4"/>
      <sheetName val="[Spt-BH_xls][Spt-BH_xls]B____25"/>
      <sheetName val="[Spt-BH_xls][Spt-BH_xls]B____26"/>
      <sheetName val="[Spt-BH_xls][Spt-BH_xls]B____27"/>
      <sheetName val="[Spt-BH_xls][Spt-BH_xls]B____28"/>
      <sheetName val="[Spt-BH_xls][Spt-BH_xls]_Spt__7"/>
      <sheetName val="[Spt-BH_xls][Spt-BH_xls]B____29"/>
      <sheetName val="[Spt-BH_xls][Spt-BH_xls]B____30"/>
      <sheetName val="[Spt-BH_xls]B____x005f_x0004________5"/>
      <sheetName val="[Spt-BH_xls]B___x005f_x0000__x005f_x0004__5"/>
      <sheetName val="[Spt-BH_xls][Spt-BH_xls]B____31"/>
      <sheetName val="[Spt-BH_xls][Spt-BH_xls]B____37"/>
      <sheetName val="[Spt-BH_xls][Spt-BH_xls]B____38"/>
      <sheetName val="[Spt-BH_xls][Spt-BH_xls]B____39"/>
      <sheetName val="[Spt-BH_xls][Spt-BH_xls]_Spt__9"/>
      <sheetName val="[Spt-BH_xls][Spt-BH_xls]B____40"/>
      <sheetName val="[Spt-BH_xls][Spt-BH_xls]B____41"/>
      <sheetName val="[Spt-BH_xls]B____x005f_x0004________6"/>
      <sheetName val="[Spt-BH_xls]B___x005f_x0000__x005f_x0004__6"/>
      <sheetName val="[Spt-BH_xls][Spt-BH_xls]B____32"/>
      <sheetName val="[Spt-BH_xls][Spt-BH_xls]B____33"/>
      <sheetName val="[Spt-BH_xls][Spt-BH_xls]B____34"/>
      <sheetName val="[Spt-BH_xls][Spt-BH_xls]_Spt__8"/>
      <sheetName val="[Spt-BH_xls][Spt-BH_xls]B____35"/>
      <sheetName val="[Spt-BH_xls][Spt-BH_xls]B____36"/>
      <sheetName val="[Spt-BH_xls][Spt-BH_xls]B____54"/>
      <sheetName val="[Spt-BH_xls][Spt-BH_xls]B____55"/>
      <sheetName val="[Spt-BH_xls][Spt-BH_xls]B____56"/>
      <sheetName val="[Spt-BH_xls][Spt-BH_xls]_Spt_13"/>
      <sheetName val="[Spt-BH_xls][Spt-BH_xls]B____57"/>
      <sheetName val="[Spt-BH_xls][Spt-BH_xls]B____58"/>
      <sheetName val="[Spt-BH_xls][Spt-BH_xls]_Spt_12"/>
      <sheetName val="[Spt-BH_xls][Spt-BH_xls]B____59"/>
      <sheetName val="[Spt-BH_xls][Spt-BH_xls]B____60"/>
      <sheetName val="[Spt-BH_xls][Spt-BH_xls]B____61"/>
      <sheetName val="[Spt-BH_xls][Spt-BH_xls]B____62"/>
      <sheetName val="[Spt-BH_xls][Spt-BH_xls]_Spt_14"/>
      <sheetName val="[Spt-BH_xls][Spt-BH_xls]B____63"/>
      <sheetName val="[Spt-BH_xls][Spt-BH_xls]B____64"/>
      <sheetName val="[Spt-BH_xls]B____x005f_x0004________9"/>
      <sheetName val="[Spt-BH_xls]B___x005f_x0000__x005f_x0004__9"/>
      <sheetName val="[Spt-BH_xls][Spt-BH_xls]B____65"/>
      <sheetName val="[Spt-BH_xls][Spt-BH_xls]B____42"/>
      <sheetName val="[Spt-BH_xls][Spt-BH_xls]B____43"/>
      <sheetName val="[Spt-BH_xls][Spt-BH_xls]B____44"/>
      <sheetName val="[Spt-BH_xls][Spt-BH_xls]B____45"/>
      <sheetName val="[Spt-BH_xls][Spt-BH_xls]B____46"/>
      <sheetName val="[Spt-BH_xls][Spt-BH_xls]_Spt_10"/>
      <sheetName val="[Spt-BH_xls][Spt-BH_xls]B____47"/>
      <sheetName val="[Spt-BH_xls]B____x005f_x0004________7"/>
      <sheetName val="[Spt-BH_xls]B___x005f_x0000__x005f_x0004__7"/>
      <sheetName val="[Spt-BH_xls][Spt-BH_xls]B____48"/>
      <sheetName val="[Spt-BH_xls][Spt-BH_xls]B____49"/>
      <sheetName val="[Spt-BH_xls][Spt-BH_xls]B____50"/>
      <sheetName val="[Spt-BH_xls][Spt-BH_xls]B____51"/>
      <sheetName val="[Spt-BH_xls][Spt-BH_xls]B____52"/>
      <sheetName val="[Spt-BH_xls][Spt-BH_xls]_Spt_11"/>
      <sheetName val="[Spt-BH_xls][Spt-BH_xls]B____53"/>
      <sheetName val="[Spt-BH_xls]B____x005f_x0004________8"/>
      <sheetName val="[Spt-BH_xls]B___x005f_x0000__x005f_x0004__8"/>
      <sheetName val="[Spt-BH_xls][Spt-BH_xls]_Spt_16"/>
      <sheetName val="[Spt-BH_xls][Spt-BH_xls]B____72"/>
      <sheetName val="[Spt-BH_xls][Spt-BH_xls]B____73"/>
      <sheetName val="[Spt-BH_xls][Spt-BH_xls]B____74"/>
      <sheetName val="[Spt-BH_xls][Spt-BH_xls]_Spt_17"/>
      <sheetName val="[Spt-BH_xls][Spt-BH_xls]B____75"/>
      <sheetName val="[Spt-BH_xls][Spt-BH_xls]B____76"/>
      <sheetName val="[Spt-BH_xls]B____x005f_x0004_______10"/>
      <sheetName val="[Spt-BH_xls]B___x005f_x0000__x005f_x0004_10"/>
      <sheetName val="[Spt-BH_xls][Spt-BH_xls]B____66"/>
      <sheetName val="[Spt-BH_xls][Spt-BH_xls]B____67"/>
      <sheetName val="[Spt-BH_xls][Spt-BH_xls]B____68"/>
      <sheetName val="[Spt-BH_xls][Spt-BH_xls]B____69"/>
      <sheetName val="[Spt-BH_xls][Spt-BH_xls]B____70"/>
      <sheetName val="[Spt-BH_xls][Spt-BH_xls]_Spt_15"/>
      <sheetName val="[Spt-BH_xls][Spt-BH_xls]B____71"/>
      <sheetName val="[Spt-BH_xls][Spt-BH_xls]B____77"/>
      <sheetName val="[Spt-BH_xls][Spt-BH_xls]B____78"/>
      <sheetName val="[Spt-BH_xls][Spt-BH_xls]B____79"/>
      <sheetName val="[Spt-BH_xls][Spt-BH_xls]B____80"/>
      <sheetName val="[Spt-BH_xls][Spt-BH_xls]B____81"/>
      <sheetName val="[Spt-BH_xls][Spt-BH_xls]B____82"/>
      <sheetName val="[Spt-BH_xls]B____x005f_x0004_______11"/>
      <sheetName val="[Spt-BH_xls]B___x005f_x0000__x005f_x0004_11"/>
      <sheetName val="[Spt-BH_xls][Spt-BH_xls]B____83"/>
      <sheetName val="[Spt-BH_xls]B____x005f_x0004_______14"/>
      <sheetName val="[Spt-BH_xls]B___x005f_x0000__x005f_x0004_14"/>
      <sheetName val="[Spt-BH_xls][Spt-BH_xls]B____96"/>
      <sheetName val="[Spt-BH_xls][Spt-BH_xls]B____97"/>
      <sheetName val="[Spt-BH_xls][Spt-BH_xls]B____98"/>
      <sheetName val="[Spt-BH_xls][Spt-BH_xls]B____99"/>
      <sheetName val="[Spt-BH_xls][Spt-BH_xls]B___100"/>
      <sheetName val="[Spt-BH_xls][Spt-BH_xls]_Spt_20"/>
      <sheetName val="[Spt-BH_xls][Spt-BH_xls]B___101"/>
      <sheetName val="[Spt-BH_xls]B____x005f_x0004_______12"/>
      <sheetName val="[Spt-BH_xls]B___x005f_x0000__x005f_x0004_12"/>
      <sheetName val="[Spt-BH_xls][Spt-BH_xls]B____84"/>
      <sheetName val="[Spt-BH_xls][Spt-BH_xls]B____85"/>
      <sheetName val="[Spt-BH_xls][Spt-BH_xls]B____86"/>
      <sheetName val="[Spt-BH_xls][Spt-BH_xls]B____87"/>
      <sheetName val="[Spt-BH_xls][Spt-BH_xls]B____88"/>
      <sheetName val="[Spt-BH_xls][Spt-BH_xls]_Spt_18"/>
      <sheetName val="[Spt-BH_xls][Spt-BH_xls]B____89"/>
      <sheetName val="[Spt-BH_xls]B____x005f_x0004_______13"/>
      <sheetName val="[Spt-BH_xls]B___x005f_x0000__x005f_x0004_13"/>
      <sheetName val="[Spt-BH_xls][Spt-BH_xls]B____90"/>
      <sheetName val="[Spt-BH_xls][Spt-BH_xls]B____91"/>
      <sheetName val="[Spt-BH_xls][Spt-BH_xls]B____92"/>
      <sheetName val="[Spt-BH_xls][Spt-BH_xls]B____93"/>
      <sheetName val="[Spt-BH_xls][Spt-BH_xls]B____94"/>
      <sheetName val="[Spt-BH_xls][Spt-BH_xls]_Spt_19"/>
      <sheetName val="[Spt-BH_xls][Spt-BH_xls]B____95"/>
      <sheetName val="[Spt-BH_xls][Spt-BH_xls]B___114"/>
      <sheetName val="[Spt-BH_xls][Spt-BH_xls]B___115"/>
      <sheetName val="[Spt-BH_xls][Spt-BH_xls]B___116"/>
      <sheetName val="[Spt-BH_xls][Spt-BH_xls]_Spt_25"/>
      <sheetName val="[Spt-BH_xls][Spt-BH_xls]B___117"/>
      <sheetName val="[Spt-BH_xls][Spt-BH_xls]B___118"/>
      <sheetName val="[Spt-BH_xls][Spt-BH_xls]_Spt_24"/>
      <sheetName val="[Spt-BH_xls][Spt-BH_xls]B___119"/>
      <sheetName val="[Spt-BH_xls][Spt-BH_xls]B___126"/>
      <sheetName val="[Spt-BH_xls][Spt-BH_xls]B___127"/>
      <sheetName val="[Spt-BH_xls][Spt-BH_xls]B___128"/>
      <sheetName val="[Spt-BH_xls][Spt-BH_xls]_Spt_28"/>
      <sheetName val="[Spt-BH_xls][Spt-BH_xls]B___129"/>
      <sheetName val="[Spt-BH_xls][Spt-BH_xls]B___130"/>
      <sheetName val="[Spt-BH_xls]B____x005f_x0004_______16"/>
      <sheetName val="[Spt-BH_xls]B___x005f_x0000__x005f_x0004_16"/>
      <sheetName val="[Spt-BH_xls][Spt-BH_xls]B___120"/>
      <sheetName val="[Spt-BH_xls][Spt-BH_xls]B___121"/>
      <sheetName val="[Spt-BH_xls][Spt-BH_xls]_Spt_27"/>
      <sheetName val="[Spt-BH_xls][Spt-BH_xls]B___122"/>
      <sheetName val="[Spt-BH_xls][Spt-BH_xls]B___123"/>
      <sheetName val="[Spt-BH_xls][Spt-BH_xls]B___131"/>
      <sheetName val="[Spt-BH_xls][Spt-BH_xls]_Spt_26"/>
      <sheetName val="[Spt-BH_xls][Spt-BH_xls]B___124"/>
      <sheetName val="[Spt-BH_xls][Spt-BH_xls]B___125"/>
      <sheetName val="[Spt-BH_xls][Spt-BH_xls]B___138"/>
      <sheetName val="[Spt-BH_xls][Spt-BH_xls]B___139"/>
      <sheetName val="[Spt-BH_xls][Spt-BH_xls]B___140"/>
      <sheetName val="[Spt-BH_xls][Spt-BH_xls]_Spt_31"/>
      <sheetName val="[Spt-BH_xls][Spt-BH_xls]B___141"/>
      <sheetName val="[Spt-BH_xls][Spt-BH_xls]B___142"/>
      <sheetName val="[Spt-BH_xls]B____x005f_x0004_______17"/>
      <sheetName val="[Spt-BH_xls]B___x005f_x0000__x005f_x0004_17"/>
      <sheetName val="[Spt-BH_xls][Spt-BH_xls]B___132"/>
      <sheetName val="[Spt-BH_xls][Spt-BH_xls]B___133"/>
      <sheetName val="[Spt-BH_xls][Spt-BH_xls]_Spt_30"/>
      <sheetName val="[Spt-BH_xls][Spt-BH_xls]B___134"/>
      <sheetName val="[Spt-BH_xls][Spt-BH_xls]B___135"/>
      <sheetName val="[Spt-BH_xls][Spt-BH_xls]B___143"/>
      <sheetName val="[Spt-BH_xls][Spt-BH_xls]_Spt_29"/>
      <sheetName val="[Spt-BH_xls][Spt-BH_xls]B___136"/>
      <sheetName val="[Spt-BH_xls][Spt-BH_xls]B___137"/>
      <sheetName val="det_est"/>
      <sheetName val="SP Break Up"/>
      <sheetName val="기계내역서"/>
      <sheetName val="clvrt_data"/>
      <sheetName val="ANAL-PIPE LINE"/>
      <sheetName val="MS Pipe Working"/>
      <sheetName val="v"/>
      <sheetName val="r"/>
      <sheetName val="not req 3"/>
      <sheetName val="[Spt-BH.xls]B____x005f_x0004______168"/>
      <sheetName val="[Spt-BH.xls]B___x005f_x0000__x000_168"/>
      <sheetName val="[Spt-BH.xls]B____x005f_x0004______170"/>
      <sheetName val="[Spt-BH.xls]B___x005f_x0000__x000_170"/>
      <sheetName val="[Spt-BH.xls][Spt-BH.xls]B__1765"/>
      <sheetName val="[Spt-BH.xls][Spt-BH.xls]B__1766"/>
      <sheetName val="[Spt-BH.xls][Spt-BH.xls]B__1767"/>
      <sheetName val="[Spt-BH.xls][Spt-BH.xls]_Sp_479"/>
      <sheetName val="[Spt-BH.xls][Spt-BH.xls]B__1768"/>
      <sheetName val="[Spt-BH.xls][Spt-BH.xls]B__1769"/>
      <sheetName val="[Spt-BH.xls][Spt-BH.xls]B__1770"/>
      <sheetName val="[Spt-BH.xls][Spt-BH.xls]B__1771"/>
      <sheetName val="[Spt-BH.xls][Spt-BH.xls]B__1772"/>
      <sheetName val="[Spt-BH.xls][Spt-BH.xls]_Sp_481"/>
      <sheetName val="[Spt-BH.xls][Spt-BH.xls]B__1773"/>
      <sheetName val="[Spt-BH.xls][Spt-BH.xls]B__1774"/>
      <sheetName val="[Spt-BH.xls][Spt-BH.xls]B__1780"/>
      <sheetName val="[Spt-BH.xls][Spt-BH.xls]B__1781"/>
      <sheetName val="[Spt-BH.xls][Spt-BH.xls]B__1782"/>
      <sheetName val="[Spt-BH.xls][Spt-BH.xls]_Sp_483"/>
      <sheetName val="[Spt-BH.xls][Spt-BH.xls]B__1783"/>
      <sheetName val="[Spt-BH.xls][Spt-BH.xls]B__1784"/>
      <sheetName val="[Spt-BH.xls][Spt-BH.xls]_Sp_480"/>
      <sheetName val="[Spt-BH.xls][Spt-BH.xls]B__1775"/>
      <sheetName val="[Spt-BH.xls][Spt-BH.xls]B__1776"/>
      <sheetName val="[Spt-BH.xls][Spt-BH.xls]B__1777"/>
      <sheetName val="[Spt-BH.xls][Spt-BH.xls]B__1778"/>
      <sheetName val="[Spt-BH.xls][Spt-BH.xls]B__1779"/>
      <sheetName val="[Spt-BH.xls][Spt-BH.xls]B__1790"/>
      <sheetName val="[Spt-BH.xls][Spt-BH.xls]B__1791"/>
      <sheetName val="[Spt-BH.xls][Spt-BH.xls]B__1792"/>
      <sheetName val="[Spt-BH.xls][Spt-BH.xls]_Sp_484"/>
      <sheetName val="[Spt-BH.xls][Spt-BH.xls]B__1793"/>
      <sheetName val="[Spt-BH.xls][Spt-BH.xls]B__1794"/>
      <sheetName val="[Spt-BH.xls][Spt-BH.xls]_Sp_482"/>
      <sheetName val="[Spt-BH.xls][Spt-BH.xls]B__1785"/>
      <sheetName val="[Spt-BH.xls][Spt-BH.xls]B__1786"/>
      <sheetName val="[Spt-BH.xls][Spt-BH.xls]B__1787"/>
      <sheetName val="[Spt-BH.xls][Spt-BH.xls]B__1788"/>
      <sheetName val="[Spt-BH.xls][Spt-BH.xls]B__1789"/>
      <sheetName val="[Spt-BH.xls][Spt-BH.xls]B__1795"/>
      <sheetName val="[Spt-BH.xls][Spt-BH.xls]B__1796"/>
      <sheetName val="[Spt-BH.xls][Spt-BH.xls]B__1797"/>
      <sheetName val="[Spt-BH.xls][Spt-BH.xls]_Sp_485"/>
      <sheetName val="[Spt-BH.xls][Spt-BH.xls]B__1798"/>
      <sheetName val="[Spt-BH.xls][Spt-BH.xls]B__1799"/>
      <sheetName val="[Spt-BH.xls][Spt-BH.xls]B__1800"/>
      <sheetName val="[Spt-BH.xls][Spt-BH.xls]B__1801"/>
      <sheetName val="[Spt-BH.xls][Spt-BH.xls]B__1802"/>
      <sheetName val="[Spt-BH.xls][Spt-BH.xls]B__1803"/>
      <sheetName val="[Spt-BH.xls][Spt-BH.xls]B__1804"/>
      <sheetName val="[Spt-BH.xls][Spt-BH.xls]_Sp_487"/>
      <sheetName val="[Spt-BH.xls][Spt-BH.xls]B__1810"/>
      <sheetName val="[Spt-BH.xls][Spt-BH.xls]B__1811"/>
      <sheetName val="[Spt-BH.xls][Spt-BH.xls]B__1812"/>
      <sheetName val="[Spt-BH.xls][Spt-BH.xls]_Sp_488"/>
      <sheetName val="[Spt-BH.xls][Spt-BH.xls]B__1813"/>
      <sheetName val="[Spt-BH.xls][Spt-BH.xls]B__1814"/>
      <sheetName val="[Spt-BH.xls][Spt-BH.xls]B__1815"/>
      <sheetName val="[Spt-BH.xls][Spt-BH.xls]B__1816"/>
      <sheetName val="[Spt-BH.xls][Spt-BH.xls]B__1817"/>
      <sheetName val="[Spt-BH.xls][Spt-BH.xls]_Sp_489"/>
      <sheetName val="[Spt-BH.xls][Spt-BH.xls]B__1818"/>
      <sheetName val="[Spt-BH.xls][Spt-BH.xls]B__1819"/>
      <sheetName val="[Spt-BH.xls]B____x005f_x0004______172"/>
      <sheetName val="[Spt-BH.xls]B___x005f_x0000__x000_172"/>
      <sheetName val="[Spt-BH.xls][Spt-BH.xls]_Sp_486"/>
      <sheetName val="[Spt-BH.xls][Spt-BH.xls]B__1805"/>
      <sheetName val="[Spt-BH.xls][Spt-BH.xls]B__1806"/>
      <sheetName val="[Spt-BH.xls][Spt-BH.xls]B__1807"/>
      <sheetName val="[Spt-BH.xls][Spt-BH.xls]B__1808"/>
      <sheetName val="[Spt-BH.xls][Spt-BH.xls]B__1809"/>
      <sheetName val="[Spt-BH.xls]B____x005f_x0004______171"/>
      <sheetName val="[Spt-BH.xls]B___x005f_x0000__x000_171"/>
      <sheetName val="[Spt-BH.xls][Spt-BH.xls]_Sp_490"/>
      <sheetName val="[Spt-BH.xls][Spt-BH.xls]B__1820"/>
      <sheetName val="[Spt-BH.xls][Spt-BH.xls]B__1821"/>
      <sheetName val="[Spt-BH.xls][Spt-BH.xls]B__1822"/>
      <sheetName val="[Spt-BH.xls][Spt-BH.xls]_Sp_491"/>
      <sheetName val="[Spt-BH.xls][Spt-BH.xls]B__1823"/>
      <sheetName val="[Spt-BH.xls][Spt-BH.xls]B__1824"/>
      <sheetName val="[Spt-BH.xls][Spt-BH.xls]B__1825"/>
      <sheetName val="[Spt-BH.xls][Spt-BH.xls]_Sp_492"/>
      <sheetName val="[Spt-BH.xls][Spt-BH.xls]B__1826"/>
      <sheetName val="[Spt-BH.xls][Spt-BH.xls]B__1827"/>
      <sheetName val="[Spt-BH.xls][Spt-BH.xls]B__1828"/>
      <sheetName val="[Spt-BH.xls][Spt-BH.xls]B__1829"/>
      <sheetName val="[Spt-BH.xls][Spt-BH.xls]B__1830"/>
      <sheetName val="[Spt-BH.xls][Spt-BH.xls]B__1831"/>
      <sheetName val="[Spt-BH.xls][Spt-BH.xls]_Sp_493"/>
      <sheetName val="[Spt-BH.xls][Spt-BH.xls]B__1832"/>
      <sheetName val="[Spt-BH.xls][Spt-BH.xls]B__1833"/>
      <sheetName val="[Spt-BH.xls][Spt-BH.xls]B__1834"/>
      <sheetName val="[Spt-BH.xls][Spt-BH.xls]B__1841"/>
      <sheetName val="[Spt-BH.xls][Spt-BH.xls]B__1842"/>
      <sheetName val="[Spt-BH.xls][Spt-BH.xls]B__1843"/>
      <sheetName val="[Spt-BH.xls][Spt-BH.xls]_Sp_495"/>
      <sheetName val="[Spt-BH.xls][Spt-BH.xls]B__1844"/>
      <sheetName val="[Spt-BH.xls][Spt-BH.xls]B__1835"/>
      <sheetName val="[Spt-BH.xls][Spt-BH.xls]B__1836"/>
      <sheetName val="[Spt-BH.xls][Spt-BH.xls]B__1837"/>
      <sheetName val="[Spt-BH.xls][Spt-BH.xls]_Sp_494"/>
      <sheetName val="[Spt-BH.xls][Spt-BH.xls]B__1838"/>
      <sheetName val="[Spt-BH.xls][Spt-BH.xls]B__1845"/>
      <sheetName val="[Spt-BH.xls][Spt-BH.xls]B__1846"/>
      <sheetName val="[Spt-BH.xls][Spt-BH.xls]B__1839"/>
      <sheetName val="[Spt-BH.xls][Spt-BH.xls]B__1840"/>
      <sheetName val="[Spt-BH.xls][Spt-BH.xls]B__1853"/>
      <sheetName val="[Spt-BH.xls][Spt-BH.xls]B__1854"/>
      <sheetName val="[Spt-BH.xls][Spt-BH.xls]B__1855"/>
      <sheetName val="[Spt-BH.xls][Spt-BH.xls]_Sp_498"/>
      <sheetName val="[Spt-BH.xls][Spt-BH.xls]B__1856"/>
      <sheetName val="[Spt-BH.xls][Spt-BH.xls]B__1847"/>
      <sheetName val="[Spt-BH.xls][Spt-BH.xls]B__1848"/>
      <sheetName val="[Spt-BH.xls][Spt-BH.xls]B__1849"/>
      <sheetName val="[Spt-BH.xls][Spt-BH.xls]_Sp_497"/>
      <sheetName val="[Spt-BH.xls][Spt-BH.xls]B__1850"/>
      <sheetName val="[Spt-BH.xls][Spt-BH.xls]_Sp_496"/>
      <sheetName val="[Spt-BH.xls][Spt-BH.xls]B__1857"/>
      <sheetName val="[Spt-BH.xls]B____x005f_x0004______176"/>
      <sheetName val="[Spt-BH.xls]B___x005f_x0000__x000_176"/>
      <sheetName val="[Spt-BH.xls][Spt-BH.xls]B__1858"/>
      <sheetName val="[Spt-BH.xls][Spt-BH.xls]B__1851"/>
      <sheetName val="[Spt-BH.xls][Spt-BH.xls]B__1852"/>
      <sheetName val="[Spt-BH.xls]B____x005f_x0004______174"/>
      <sheetName val="[Spt-BH.xls]B___x005f_x0000__x000_174"/>
      <sheetName val="[Spt-BH.xls]B____x005f_x0004______173"/>
      <sheetName val="[Spt-BH.xls]B___x005f_x0000__x000_173"/>
      <sheetName val="[Spt-BH.xls]B____x005f_x0004______175"/>
      <sheetName val="[Spt-BH.xls]B___x005f_x0000__x000_175"/>
      <sheetName val="[Spt-BH.xls][Spt-BH.xls]B__1859"/>
      <sheetName val="[Spt-BH.xls][Spt-BH.xls]B__1860"/>
      <sheetName val="[Spt-BH.xls][Spt-BH.xls]B__1861"/>
      <sheetName val="[Spt-BH.xls][Spt-BH.xls]_Sp_500"/>
      <sheetName val="[Spt-BH.xls][Spt-BH.xls]B__1862"/>
      <sheetName val="[Spt-BH.xls][Spt-BH.xls]B__1863"/>
      <sheetName val="[Spt-BH.xls][Spt-BH.xls]B__1864"/>
      <sheetName val="[Spt-BH.xls][Spt-BH.xls]B__1871"/>
      <sheetName val="[Spt-BH.xls][Spt-BH.xls]B__1872"/>
      <sheetName val="[Spt-BH.xls][Spt-BH.xls]B__1873"/>
      <sheetName val="[Spt-BH.xls][Spt-BH.xls]B__1874"/>
      <sheetName val="[Spt-BH.xls][Spt-BH.xls]B__1875"/>
      <sheetName val="[Spt-BH.xls]B____x005f_x0004______177"/>
      <sheetName val="[Spt-BH.xls]B___x005f_x0000__x000_177"/>
      <sheetName val="[Spt-BH.xls][Spt-BH.xls]B__1876"/>
      <sheetName val="[Spt-BH.xls][Spt-BH.xls]_Sp_499"/>
      <sheetName val="[Spt-BH.xls][Spt-BH.xls]B__1865"/>
      <sheetName val="[Spt-BH.xls][Spt-BH.xls]B__1866"/>
      <sheetName val="[Spt-BH.xls][Spt-BH.xls]B__1867"/>
      <sheetName val="[Spt-BH.xls][Spt-BH.xls]B__1868"/>
      <sheetName val="[Spt-BH.xls][Spt-BH.xls]B__1869"/>
      <sheetName val="[Spt-BH.xls][Spt-BH.xls]B__1870"/>
      <sheetName val="[Spt-BH.xls][Spt-BH.xls]_Sp_503"/>
      <sheetName val="[Spt-BH.xls][Spt-BH.xls]_Sp_504"/>
      <sheetName val="[Spt-BH.xls][Spt-BH.xls]_Sp_501"/>
      <sheetName val="[Spt-BH.xls][Spt-BH.xls]_Sp_502"/>
      <sheetName val="[Spt-BH.xls][Spt-BH.xls]B__1877"/>
      <sheetName val="[Spt-BH.xls][Spt-BH.xls]B__1878"/>
      <sheetName val="[Spt-BH.xls][Spt-BH.xls]B__1879"/>
      <sheetName val="[Spt-BH.xls][Spt-BH.xls]_Sp_508"/>
      <sheetName val="[Spt-BH.xls][Spt-BH.xls]B__1880"/>
      <sheetName val="[Spt-BH.xls][Spt-BH.xls]_Sp_506"/>
      <sheetName val="[Spt-BH.xls][Spt-BH.xls]_Sp_505"/>
      <sheetName val="[Spt-BH.xls][Spt-BH.xls]B__1881"/>
      <sheetName val="[Spt-BH.xls][Spt-BH.xls]B__1882"/>
      <sheetName val="[Spt-BH.xls][Spt-BH.xls]B__1901"/>
      <sheetName val="[Spt-BH.xls][Spt-BH.xls]B__1902"/>
      <sheetName val="[Spt-BH.xls][Spt-BH.xls]B__1903"/>
      <sheetName val="[Spt-BH.xls][Spt-BH.xls]_Sp_511"/>
      <sheetName val="[Spt-BH.xls][Spt-BH.xls]B__1904"/>
      <sheetName val="[Spt-BH.xls][Spt-BH.xls]B__1889"/>
      <sheetName val="[Spt-BH.xls][Spt-BH.xls]B__1890"/>
      <sheetName val="[Spt-BH.xls][Spt-BH.xls]B__1891"/>
      <sheetName val="[Spt-BH.xls][Spt-BH.xls]_Sp_510"/>
      <sheetName val="[Spt-BH.xls][Spt-BH.xls]B__1892"/>
      <sheetName val="[Spt-BH.xls][Spt-BH.xls]B__1905"/>
      <sheetName val="[Spt-BH.xls][Spt-BH.xls]B__1906"/>
      <sheetName val="[Spt-BH.xls][Spt-BH.xls]B__1893"/>
      <sheetName val="[Spt-BH.xls][Spt-BH.xls]B__1894"/>
      <sheetName val="[Spt-BH.xls][Spt-BH.xls]_Sp_507"/>
      <sheetName val="[Spt-BH.xls][Spt-BH.xls]B__1883"/>
      <sheetName val="[Spt-BH.xls][Spt-BH.xls]B__1884"/>
      <sheetName val="[Spt-BH.xls][Spt-BH.xls]B__1885"/>
      <sheetName val="[Spt-BH.xls][Spt-BH.xls]B__1886"/>
      <sheetName val="[Spt-BH.xls][Spt-BH.xls]B__1887"/>
      <sheetName val="[Spt-BH.xls][Spt-BH.xls]B__1888"/>
      <sheetName val="[Spt-BH.xls][Spt-BH.xls]B__1895"/>
      <sheetName val="[Spt-BH.xls][Spt-BH.xls]B__1896"/>
      <sheetName val="[Spt-BH.xls][Spt-BH.xls]B__1897"/>
      <sheetName val="[Spt-BH.xls][Spt-BH.xls]B__1898"/>
      <sheetName val="[Spt-BH.xls][Spt-BH.xls]_Sp_509"/>
      <sheetName val="[Spt-BH.xls][Spt-BH.xls]B__1899"/>
      <sheetName val="[Spt-BH.xls][Spt-BH.xls]B__1900"/>
      <sheetName val="[Spt-BH.xls][Spt-BH.xls]B__1913"/>
      <sheetName val="[Spt-BH.xls][Spt-BH.xls]B__1914"/>
      <sheetName val="[Spt-BH.xls][Spt-BH.xls]B__1915"/>
      <sheetName val="[Spt-BH.xls][Spt-BH.xls]_Sp_514"/>
      <sheetName val="[Spt-BH.xls][Spt-BH.xls]B__1916"/>
      <sheetName val="[Spt-BH.xls][Spt-BH.xls]B__1907"/>
      <sheetName val="[Spt-BH.xls][Spt-BH.xls]B__1908"/>
      <sheetName val="[Spt-BH.xls][Spt-BH.xls]B__1909"/>
      <sheetName val="[Spt-BH.xls][Spt-BH.xls]_Sp_513"/>
      <sheetName val="[Spt-BH.xls][Spt-BH.xls]B__1910"/>
      <sheetName val="[Spt-BH.xls][Spt-BH.xls]_Sp_512"/>
      <sheetName val="[Spt-BH.xls][Spt-BH.xls]B__1917"/>
      <sheetName val="[Spt-BH.xls][Spt-BH.xls]B__1918"/>
      <sheetName val="[Spt-BH.xls][Spt-BH.xls]B__1911"/>
      <sheetName val="[Spt-BH.xls][Spt-BH.xls]B__1912"/>
      <sheetName val="[Spt-BH.xls][Spt-BH.xls]_Sp_515"/>
      <sheetName val="[Spt-BH.xls][Spt-BH.xls]_Sp_516"/>
      <sheetName val="[Spt-BH.xls][Spt-BH.xls]_Sp_518"/>
      <sheetName val="[Spt-BH.xls][Spt-BH.xls]B__1925"/>
      <sheetName val="[Spt-BH.xls][Spt-BH.xls]B__1926"/>
      <sheetName val="[Spt-BH.xls][Spt-BH.xls]B__1927"/>
      <sheetName val="[Spt-BH.xls][Spt-BH.xls]_Sp_519"/>
      <sheetName val="[Spt-BH.xls][Spt-BH.xls]B__1928"/>
      <sheetName val="[Spt-BH.xls][Spt-BH.xls]B__1929"/>
      <sheetName val="[Spt-BH.xls][Spt-BH.xls]B__1930"/>
      <sheetName val="[Spt-BH.xls][Spt-BH.xls]B__1931"/>
      <sheetName val="[Spt-BH.xls][Spt-BH.xls]B__1932"/>
      <sheetName val="[Spt-BH.xls][Spt-BH.xls]B__1933"/>
      <sheetName val="[Spt-BH.xls][Spt-BH.xls]_Sp_521"/>
      <sheetName val="[Spt-BH.xls][Spt-BH.xls]B__1934"/>
      <sheetName val="[Spt-BH.xls][Spt-BH.xls]B__1935"/>
      <sheetName val="[Spt-BH.xls][Spt-BH.xls]B__1936"/>
      <sheetName val="[Spt-BH.xls][Spt-BH.xls]_Sp_517"/>
      <sheetName val="[Spt-BH.xls][Spt-BH.xls]B__1919"/>
      <sheetName val="[Spt-BH.xls][Spt-BH.xls]B__1920"/>
      <sheetName val="[Spt-BH.xls][Spt-BH.xls]B__1921"/>
      <sheetName val="[Spt-BH.xls][Spt-BH.xls]B__1922"/>
      <sheetName val="[Spt-BH.xls][Spt-BH.xls]B__1923"/>
      <sheetName val="[Spt-BH.xls][Spt-BH.xls]B__1924"/>
      <sheetName val="[Spt-BH.xls][Spt-BH.xls]B__1943"/>
      <sheetName val="[Spt-BH.xls][Spt-BH.xls]B__1944"/>
      <sheetName val="[Spt-BH.xls][Spt-BH.xls]B__1945"/>
      <sheetName val="[Spt-BH.xls][Spt-BH.xls]_Sp_522"/>
      <sheetName val="[Spt-BH.xls][Spt-BH.xls]B__1946"/>
      <sheetName val="[Spt-BH.xls][Spt-BH.xls]B__1947"/>
      <sheetName val="[Spt-BH.xls][Spt-BH.xls]B__1948"/>
      <sheetName val="[Spt-BH.xls][Spt-BH.xls]_Sp_520"/>
      <sheetName val="[Spt-BH.xls][Spt-BH.xls]B__1937"/>
      <sheetName val="[Spt-BH.xls][Spt-BH.xls]B__1938"/>
      <sheetName val="[Spt-BH.xls][Spt-BH.xls]B__1939"/>
      <sheetName val="[Spt-BH.xls][Spt-BH.xls]B__1940"/>
      <sheetName val="[Spt-BH.xls][Spt-BH.xls]B__1941"/>
      <sheetName val="[Spt-BH.xls][Spt-BH.xls]B__1942"/>
      <sheetName val="[Spt-BH.xls][Spt-BH.xls]_Sp_523"/>
      <sheetName val="[Spt-BH.xls][Spt-BH.xls]_Sp_524"/>
      <sheetName val="[Spt-BH.xls][Spt-BH.xls]B__1967"/>
      <sheetName val="[Spt-BH.xls][Spt-BH.xls]B__1968"/>
      <sheetName val="[Spt-BH.xls][Spt-BH.xls]B__1969"/>
      <sheetName val="[Spt-BH.xls][Spt-BH.xls]_Sp_528"/>
      <sheetName val="[Spt-BH.xls][Spt-BH.xls]B__1970"/>
      <sheetName val="[Spt-BH.xls][Spt-BH.xls]B__1949"/>
      <sheetName val="[Spt-BH.xls][Spt-BH.xls]B__1950"/>
      <sheetName val="[Spt-BH.xls][Spt-BH.xls]B__1951"/>
      <sheetName val="[Spt-BH.xls][Spt-BH.xls]_Sp_527"/>
      <sheetName val="[Spt-BH.xls][Spt-BH.xls]B__1952"/>
      <sheetName val="[Spt-BH.xls][Spt-BH.xls]B__1971"/>
      <sheetName val="[Spt-BH.xls]B____x005f_x0004______178"/>
      <sheetName val="[Spt-BH.xls]B___x005f_x0000__x000_178"/>
      <sheetName val="[Spt-BH.xls][Spt-BH.xls]B__1972"/>
      <sheetName val="[Spt-BH.xls][Spt-BH.xls]B__1953"/>
      <sheetName val="[Spt-BH.xls][Spt-BH.xls]B__1954"/>
      <sheetName val="[Spt-BH.xls][Spt-BH.xls]B__1973"/>
      <sheetName val="[Spt-BH.xls][Spt-BH.xls]B__1974"/>
      <sheetName val="[Spt-BH.xls][Spt-BH.xls]B__1975"/>
      <sheetName val="[Spt-BH.xls][Spt-BH.xls]_Sp_529"/>
      <sheetName val="[Spt-BH.xls][Spt-BH.xls]B__1976"/>
      <sheetName val="[Spt-BH.xls][Spt-BH.xls]B__1977"/>
      <sheetName val="[Spt-BH.xls]B____x005f_x0004______181"/>
      <sheetName val="[Spt-BH.xls]B___x005f_x0000__x000_181"/>
      <sheetName val="[Spt-BH.xls][Spt-BH.xls]B__1978"/>
      <sheetName val="[Spt-BH.xls][Spt-BH.xls]B__1955"/>
      <sheetName val="[Spt-BH.xls][Spt-BH.xls]B__1956"/>
      <sheetName val="[Spt-BH.xls][Spt-BH.xls]B__1957"/>
      <sheetName val="[Spt-BH.xls][Spt-BH.xls]B__1958"/>
      <sheetName val="[Spt-BH.xls][Spt-BH.xls]_Sp_525"/>
      <sheetName val="[Spt-BH.xls][Spt-BH.xls]B__1959"/>
      <sheetName val="[Spt-BH.xls][Spt-BH.xls]B__1960"/>
      <sheetName val="[Spt-BH.xls]B____x005f_x0004______179"/>
      <sheetName val="[Spt-BH.xls]B___x005f_x0000__x000_179"/>
      <sheetName val="[Spt-BH.xls][Spt-BH.xls]B__1961"/>
      <sheetName val="[Spt-BH.xls][Spt-BH.xls]B__1962"/>
      <sheetName val="[Spt-BH.xls][Spt-BH.xls]B__1963"/>
      <sheetName val="[Spt-BH.xls][Spt-BH.xls]B__1964"/>
      <sheetName val="[Spt-BH.xls][Spt-BH.xls]_Sp_526"/>
      <sheetName val="[Spt-BH.xls][Spt-BH.xls]B__1965"/>
      <sheetName val="[Spt-BH.xls][Spt-BH.xls]B__1966"/>
      <sheetName val="[Spt-BH.xls]B____x005f_x0004______180"/>
      <sheetName val="[Spt-BH.xls]B___x005f_x0000__x000_180"/>
      <sheetName val="[Spt-BH.xls][Spt-BH.xls]_Sp_530"/>
      <sheetName val="[Spt-BH.xls][Spt-BH.xls]B__1979"/>
      <sheetName val="[Spt-BH.xls][Spt-BH.xls]B__1980"/>
      <sheetName val="[Spt-BH.xls][Spt-BH.xls]B__1981"/>
      <sheetName val="[Spt-BH.xls][Spt-BH.xls]_Sp_533"/>
      <sheetName val="[Spt-BH.xls][Spt-BH.xls]B__1982"/>
      <sheetName val="[Spt-BH.xls][Spt-BH.xls]B__1983"/>
      <sheetName val="[Spt-BH.xls][Spt-BH.xls]B__1984"/>
      <sheetName val="[Spt-BH.xls][Spt-BH.xls]_Sp_531"/>
      <sheetName val="[Spt-BH.xls][Spt-BH.xls]_Sp_532"/>
      <sheetName val="[Spt-BH.xls][Spt-BH.xls]B__1991"/>
      <sheetName val="[Spt-BH.xls][Spt-BH.xls]B__1992"/>
      <sheetName val="[Spt-BH.xls][Spt-BH.xls]B__1993"/>
      <sheetName val="[Spt-BH.xls][Spt-BH.xls]_Sp_535"/>
      <sheetName val="[Spt-BH.xls][Spt-BH.xls]B__1994"/>
      <sheetName val="[Spt-BH.xls][Spt-BH.xls]B__1985"/>
      <sheetName val="[Spt-BH.xls][Spt-BH.xls]B__1986"/>
      <sheetName val="[Spt-BH.xls][Spt-BH.xls]B__1987"/>
      <sheetName val="[Spt-BH.xls][Spt-BH.xls]_Sp_534"/>
      <sheetName val="[Spt-BH.xls][Spt-BH.xls]B__1988"/>
      <sheetName val="[Spt-BH.xls][Spt-BH.xls]B__1995"/>
      <sheetName val="[Spt-BH.xls]B____x005f_x0004______182"/>
      <sheetName val="[Spt-BH.xls]B___x005f_x0000__x000_182"/>
      <sheetName val="[Spt-BH.xls][Spt-BH.xls]B__1996"/>
      <sheetName val="[Spt-BH.xls][Spt-BH.xls]B__1989"/>
      <sheetName val="[Spt-BH.xls][Spt-BH.xls]B__1990"/>
      <sheetName val="[Spt-BH.xls][Spt-BH.xls]B__2003"/>
      <sheetName val="[Spt-BH.xls][Spt-BH.xls]B__2004"/>
      <sheetName val="[Spt-BH.xls][Spt-BH.xls]B__2005"/>
      <sheetName val="[Spt-BH.xls][Spt-BH.xls]_Sp_537"/>
      <sheetName val="[Spt-BH.xls][Spt-BH.xls]B__2006"/>
      <sheetName val="[Spt-BH.xls][Spt-BH.xls]B__1997"/>
      <sheetName val="[Spt-BH.xls][Spt-BH.xls]B__1998"/>
      <sheetName val="[Spt-BH.xls][Spt-BH.xls]B__1999"/>
      <sheetName val="[Spt-BH.xls][Spt-BH.xls]_Sp_536"/>
      <sheetName val="[Spt-BH.xls][Spt-BH.xls]B__2000"/>
      <sheetName val="[Spt-BH.xls][Spt-BH.xls]B__2007"/>
      <sheetName val="[Spt-BH.xls]B____x005f_x0004______183"/>
      <sheetName val="[Spt-BH.xls]B___x005f_x0000__x000_183"/>
      <sheetName val="[Spt-BH.xls][Spt-BH.xls]B__2008"/>
      <sheetName val="[Spt-BH.xls][Spt-BH.xls]B__2001"/>
      <sheetName val="[Spt-BH.xls][Spt-BH.xls]B__2002"/>
      <sheetName val="[Spt-BH.xls][Spt-BH.xls]B__2015"/>
      <sheetName val="[Spt-BH.xls][Spt-BH.xls]B__2016"/>
      <sheetName val="[Spt-BH.xls][Spt-BH.xls]B__2017"/>
      <sheetName val="[Spt-BH.xls][Spt-BH.xls]_Sp_540"/>
      <sheetName val="[Spt-BH.xls][Spt-BH.xls]B__2018"/>
      <sheetName val="[Spt-BH.xls][Spt-BH.xls]B__2009"/>
      <sheetName val="[Spt-BH.xls][Spt-BH.xls]B__2010"/>
      <sheetName val="[Spt-BH.xls][Spt-BH.xls]B__2011"/>
      <sheetName val="[Spt-BH.xls][Spt-BH.xls]_Sp_539"/>
      <sheetName val="[Spt-BH.xls][Spt-BH.xls]B__2012"/>
      <sheetName val="[Spt-BH.xls][Spt-BH.xls]_Sp_538"/>
      <sheetName val="[Spt-BH.xls][Spt-BH.xls]B__2019"/>
      <sheetName val="[Spt-BH.xls]B____x005f_x0004______184"/>
      <sheetName val="[Spt-BH.xls]B___x005f_x0000__x000_184"/>
      <sheetName val="[Spt-BH.xls][Spt-BH.xls]B__2020"/>
      <sheetName val="[Spt-BH.xls][Spt-BH.xls]B__2013"/>
      <sheetName val="[Spt-BH.xls][Spt-BH.xls]B__2014"/>
      <sheetName val="[Spt-BH.xls][Spt-BH.xls]B__2069"/>
      <sheetName val="[Spt-BH.xls][Spt-BH.xls]B__2070"/>
      <sheetName val="[Spt-BH.xls][Spt-BH.xls]B__2071"/>
      <sheetName val="[Spt-BH.xls][Spt-BH.xls]_Sp_552"/>
      <sheetName val="[Spt-BH.xls][Spt-BH.xls]B__2072"/>
      <sheetName val="[Spt-BH.xls][Spt-BH.xls]B__2063"/>
      <sheetName val="[Spt-BH.xls][Spt-BH.xls]B__2064"/>
      <sheetName val="[Spt-BH.xls][Spt-BH.xls]B__2065"/>
      <sheetName val="[Spt-BH.xls][Spt-BH.xls]_Sp_551"/>
      <sheetName val="[Spt-BH.xls][Spt-BH.xls]B__2066"/>
      <sheetName val="[Spt-BH.xls][Spt-BH.xls]_Sp_550"/>
      <sheetName val="[Spt-BH.xls][Spt-BH.xls]B__2073"/>
      <sheetName val="[Spt-BH.xls]B____x005f_x0004______189"/>
      <sheetName val="[Spt-BH.xls]B___x005f_x0000__x000_189"/>
      <sheetName val="[Spt-BH.xls][Spt-BH.xls]B__2074"/>
      <sheetName val="[Spt-BH.xls][Spt-BH.xls]B__2067"/>
      <sheetName val="[Spt-BH.xls][Spt-BH.xls]B__2068"/>
      <sheetName val="[Spt-BH.xls][Spt-BH.xls]B__2057"/>
      <sheetName val="[Spt-BH.xls][Spt-BH.xls]B__2058"/>
      <sheetName val="[Spt-BH.xls][Spt-BH.xls]B__2059"/>
      <sheetName val="[Spt-BH.xls][Spt-BH.xls]_Sp_549"/>
      <sheetName val="[Spt-BH.xls][Spt-BH.xls]B__2060"/>
      <sheetName val="[Spt-BH.xls][Spt-BH.xls]B__2033"/>
      <sheetName val="[Spt-BH.xls][Spt-BH.xls]B__2034"/>
      <sheetName val="[Spt-BH.xls][Spt-BH.xls]B__2035"/>
      <sheetName val="[Spt-BH.xls][Spt-BH.xls]_Sp_548"/>
      <sheetName val="[Spt-BH.xls][Spt-BH.xls]B__2036"/>
      <sheetName val="[Spt-BH.xls][Spt-BH.xls]B__2061"/>
      <sheetName val="[Spt-BH.xls]B____x005f_x0004______186"/>
      <sheetName val="[Spt-BH.xls]B___x005f_x0000__x000_186"/>
      <sheetName val="[Spt-BH.xls][Spt-BH.xls]B__2062"/>
      <sheetName val="[Spt-BH.xls][Spt-BH.xls]B__2037"/>
      <sheetName val="[Spt-BH.xls][Spt-BH.xls]B__2038"/>
      <sheetName val="[Spt-BH.xls][Spt-BH.xls]B__2045"/>
      <sheetName val="[Spt-BH.xls][Spt-BH.xls]B__2046"/>
      <sheetName val="[Spt-BH.xls][Spt-BH.xls]B__2047"/>
      <sheetName val="[Spt-BH.xls][Spt-BH.xls]_Sp_546"/>
      <sheetName val="[Spt-BH.xls][Spt-BH.xls]B__2048"/>
      <sheetName val="[Spt-BH.xls][Spt-BH.xls]_Sp_545"/>
      <sheetName val="[Spt-BH.xls][Spt-BH.xls]B__2049"/>
      <sheetName val="[Spt-BH.xls][Spt-BH.xls]B__2050"/>
      <sheetName val="[Spt-BH.xls][Spt-BH.xls]B__2051"/>
      <sheetName val="[Spt-BH.xls][Spt-BH.xls]B__2052"/>
      <sheetName val="[Spt-BH.xls][Spt-BH.xls]B__2053"/>
      <sheetName val="[Spt-BH.xls][Spt-BH.xls]_Sp_547"/>
      <sheetName val="[Spt-BH.xls][Spt-BH.xls]B__2054"/>
      <sheetName val="[Spt-BH.xls][Spt-BH.xls]B__2055"/>
      <sheetName val="[Spt-BH.xls]B____x005f_x0004______188"/>
      <sheetName val="[Spt-BH.xls]B___x005f_x0000__x000_188"/>
      <sheetName val="[Spt-BH.xls][Spt-BH.xls]B__2056"/>
      <sheetName val="[Spt-BH.xls][Spt-BH.xls]B__2039"/>
      <sheetName val="[Spt-BH.xls][Spt-BH.xls]B__2040"/>
      <sheetName val="[Spt-BH.xls][Spt-BH.xls]B__2041"/>
      <sheetName val="[Spt-BH.xls][Spt-BH.xls]B__2042"/>
      <sheetName val="[Spt-BH.xls][Spt-BH.xls]_Sp_544"/>
      <sheetName val="[Spt-BH.xls][Spt-BH.xls]B__2043"/>
      <sheetName val="[Spt-BH.xls][Spt-BH.xls]B__2044"/>
      <sheetName val="[Spt-BH.xls]B____x005f_x0004______187"/>
      <sheetName val="[Spt-BH.xls]B___x005f_x0000__x000_187"/>
    </sheetNames>
    <sheetDataSet>
      <sheetData sheetId="0">
        <row r="1">
          <cell r="J1">
            <v>1.7453292519943295E-2</v>
          </cell>
        </row>
      </sheetData>
      <sheetData sheetId="1">
        <row r="1">
          <cell r="J1">
            <v>1.7453292519943295E-2</v>
          </cell>
        </row>
      </sheetData>
      <sheetData sheetId="2">
        <row r="1">
          <cell r="J1">
            <v>1.7453292519943295E-2</v>
          </cell>
        </row>
      </sheetData>
      <sheetData sheetId="3" refreshError="1">
        <row r="1">
          <cell r="J1">
            <v>1.7453292519943295E-2</v>
          </cell>
        </row>
        <row r="2">
          <cell r="B2">
            <v>1</v>
          </cell>
          <cell r="C2">
            <v>25</v>
          </cell>
          <cell r="E2">
            <v>1</v>
          </cell>
          <cell r="F2">
            <v>1.72</v>
          </cell>
        </row>
        <row r="3">
          <cell r="B3">
            <v>2</v>
          </cell>
          <cell r="C3">
            <v>25</v>
          </cell>
          <cell r="E3">
            <v>2</v>
          </cell>
          <cell r="F3">
            <v>1.55</v>
          </cell>
        </row>
        <row r="4">
          <cell r="B4">
            <v>3</v>
          </cell>
          <cell r="C4">
            <v>25</v>
          </cell>
          <cell r="E4">
            <v>3</v>
          </cell>
          <cell r="F4">
            <v>1.4</v>
          </cell>
        </row>
        <row r="5">
          <cell r="B5">
            <v>4</v>
          </cell>
          <cell r="C5">
            <v>25</v>
          </cell>
          <cell r="E5">
            <v>4</v>
          </cell>
          <cell r="F5">
            <v>1.28</v>
          </cell>
        </row>
        <row r="6">
          <cell r="B6">
            <v>5</v>
          </cell>
          <cell r="C6">
            <v>28</v>
          </cell>
          <cell r="E6">
            <v>5</v>
          </cell>
          <cell r="F6">
            <v>1.2</v>
          </cell>
        </row>
        <row r="7">
          <cell r="B7">
            <v>6</v>
          </cell>
          <cell r="C7">
            <v>28.5</v>
          </cell>
          <cell r="E7">
            <v>6</v>
          </cell>
          <cell r="F7">
            <v>1.1200000000000001</v>
          </cell>
        </row>
        <row r="8">
          <cell r="B8">
            <v>7</v>
          </cell>
          <cell r="C8">
            <v>29</v>
          </cell>
          <cell r="E8">
            <v>7</v>
          </cell>
          <cell r="F8">
            <v>1.0900000000000001</v>
          </cell>
        </row>
        <row r="9">
          <cell r="B9">
            <v>8</v>
          </cell>
          <cell r="C9">
            <v>29</v>
          </cell>
          <cell r="E9">
            <v>8</v>
          </cell>
          <cell r="F9">
            <v>1.05</v>
          </cell>
        </row>
        <row r="10">
          <cell r="B10">
            <v>9</v>
          </cell>
          <cell r="C10">
            <v>30</v>
          </cell>
          <cell r="E10">
            <v>9</v>
          </cell>
          <cell r="F10">
            <v>1.02</v>
          </cell>
        </row>
        <row r="11">
          <cell r="B11">
            <v>10</v>
          </cell>
          <cell r="C11">
            <v>30</v>
          </cell>
          <cell r="E11">
            <v>10</v>
          </cell>
          <cell r="F11">
            <v>1</v>
          </cell>
        </row>
        <row r="12">
          <cell r="B12">
            <v>11</v>
          </cell>
          <cell r="C12">
            <v>30</v>
          </cell>
          <cell r="E12">
            <v>11</v>
          </cell>
          <cell r="F12">
            <v>0.98</v>
          </cell>
        </row>
        <row r="13">
          <cell r="B13">
            <v>12</v>
          </cell>
          <cell r="C13">
            <v>31</v>
          </cell>
          <cell r="E13">
            <v>12</v>
          </cell>
          <cell r="F13">
            <v>0.95</v>
          </cell>
        </row>
        <row r="14">
          <cell r="B14">
            <v>13</v>
          </cell>
          <cell r="C14">
            <v>31</v>
          </cell>
          <cell r="E14">
            <v>13</v>
          </cell>
          <cell r="F14">
            <v>0.91</v>
          </cell>
        </row>
        <row r="15">
          <cell r="B15">
            <v>14</v>
          </cell>
          <cell r="C15">
            <v>31</v>
          </cell>
          <cell r="E15">
            <v>14</v>
          </cell>
          <cell r="F15">
            <v>0.9</v>
          </cell>
        </row>
        <row r="16">
          <cell r="B16">
            <v>15</v>
          </cell>
          <cell r="C16">
            <v>32</v>
          </cell>
          <cell r="E16">
            <v>15</v>
          </cell>
          <cell r="F16">
            <v>0.88</v>
          </cell>
        </row>
        <row r="17">
          <cell r="B17">
            <v>16</v>
          </cell>
          <cell r="C17">
            <v>32</v>
          </cell>
          <cell r="E17">
            <v>16</v>
          </cell>
          <cell r="F17">
            <v>0.85</v>
          </cell>
        </row>
        <row r="18">
          <cell r="B18">
            <v>17</v>
          </cell>
          <cell r="C18">
            <v>32</v>
          </cell>
          <cell r="E18">
            <v>17</v>
          </cell>
          <cell r="F18">
            <v>0.83</v>
          </cell>
        </row>
        <row r="19">
          <cell r="B19">
            <v>18</v>
          </cell>
          <cell r="C19">
            <v>33</v>
          </cell>
          <cell r="E19">
            <v>18</v>
          </cell>
          <cell r="F19">
            <v>0.81</v>
          </cell>
        </row>
        <row r="20">
          <cell r="B20">
            <v>19</v>
          </cell>
          <cell r="C20">
            <v>33</v>
          </cell>
          <cell r="E20">
            <v>19</v>
          </cell>
          <cell r="F20">
            <v>0.8</v>
          </cell>
        </row>
        <row r="21">
          <cell r="B21">
            <v>20</v>
          </cell>
          <cell r="C21">
            <v>33</v>
          </cell>
          <cell r="E21">
            <v>20</v>
          </cell>
          <cell r="F21">
            <v>0.78</v>
          </cell>
        </row>
        <row r="22">
          <cell r="B22">
            <v>21</v>
          </cell>
          <cell r="C22">
            <v>33</v>
          </cell>
          <cell r="E22">
            <v>21</v>
          </cell>
          <cell r="F22">
            <v>0.76</v>
          </cell>
        </row>
        <row r="23">
          <cell r="B23">
            <v>22</v>
          </cell>
          <cell r="C23">
            <v>34</v>
          </cell>
          <cell r="E23">
            <v>22</v>
          </cell>
          <cell r="F23">
            <v>0.75</v>
          </cell>
        </row>
        <row r="24">
          <cell r="B24">
            <v>23</v>
          </cell>
          <cell r="C24">
            <v>34</v>
          </cell>
          <cell r="E24">
            <v>23</v>
          </cell>
          <cell r="F24">
            <v>0.73</v>
          </cell>
        </row>
        <row r="25">
          <cell r="B25">
            <v>24</v>
          </cell>
          <cell r="C25">
            <v>35</v>
          </cell>
          <cell r="E25">
            <v>24</v>
          </cell>
          <cell r="F25">
            <v>0.72</v>
          </cell>
        </row>
        <row r="26">
          <cell r="B26">
            <v>25</v>
          </cell>
          <cell r="C26">
            <v>35</v>
          </cell>
          <cell r="E26">
            <v>25</v>
          </cell>
          <cell r="F26">
            <v>0.71</v>
          </cell>
        </row>
        <row r="27">
          <cell r="B27">
            <v>26</v>
          </cell>
          <cell r="C27">
            <v>35</v>
          </cell>
          <cell r="E27">
            <v>26</v>
          </cell>
          <cell r="F27">
            <v>0.69799999999999995</v>
          </cell>
        </row>
        <row r="28">
          <cell r="B28">
            <v>27</v>
          </cell>
          <cell r="C28">
            <v>35</v>
          </cell>
          <cell r="E28">
            <v>27</v>
          </cell>
          <cell r="F28">
            <v>0.68600000000000005</v>
          </cell>
        </row>
        <row r="29">
          <cell r="B29">
            <v>28</v>
          </cell>
          <cell r="C29">
            <v>36</v>
          </cell>
          <cell r="E29">
            <v>28</v>
          </cell>
          <cell r="F29">
            <v>0.67400000000000004</v>
          </cell>
        </row>
        <row r="30">
          <cell r="B30">
            <v>29</v>
          </cell>
          <cell r="C30">
            <v>36</v>
          </cell>
          <cell r="E30">
            <v>29</v>
          </cell>
          <cell r="F30">
            <v>0.66200000000000003</v>
          </cell>
        </row>
        <row r="31">
          <cell r="B31">
            <v>30</v>
          </cell>
          <cell r="C31">
            <v>36</v>
          </cell>
          <cell r="E31">
            <v>30</v>
          </cell>
          <cell r="F31">
            <v>0.65</v>
          </cell>
        </row>
        <row r="32">
          <cell r="B32">
            <v>31</v>
          </cell>
          <cell r="C32">
            <v>36</v>
          </cell>
          <cell r="E32">
            <v>31</v>
          </cell>
          <cell r="F32">
            <v>0.64</v>
          </cell>
        </row>
        <row r="33">
          <cell r="B33">
            <v>32</v>
          </cell>
          <cell r="C33">
            <v>37</v>
          </cell>
          <cell r="E33">
            <v>32</v>
          </cell>
          <cell r="F33">
            <v>0.63</v>
          </cell>
        </row>
        <row r="34">
          <cell r="B34">
            <v>33</v>
          </cell>
          <cell r="C34">
            <v>36</v>
          </cell>
          <cell r="E34">
            <v>33</v>
          </cell>
          <cell r="F34">
            <v>0.62</v>
          </cell>
        </row>
        <row r="35">
          <cell r="B35">
            <v>34</v>
          </cell>
          <cell r="C35">
            <v>37</v>
          </cell>
          <cell r="E35">
            <v>34</v>
          </cell>
          <cell r="F35">
            <v>0.61</v>
          </cell>
        </row>
        <row r="36">
          <cell r="B36">
            <v>35</v>
          </cell>
          <cell r="C36">
            <v>37</v>
          </cell>
          <cell r="E36">
            <v>35</v>
          </cell>
          <cell r="F36">
            <v>0.6</v>
          </cell>
        </row>
        <row r="37">
          <cell r="B37">
            <v>36</v>
          </cell>
          <cell r="C37">
            <v>38</v>
          </cell>
          <cell r="E37">
            <v>36</v>
          </cell>
          <cell r="F37">
            <v>0.59</v>
          </cell>
        </row>
        <row r="38">
          <cell r="B38">
            <v>37</v>
          </cell>
          <cell r="C38">
            <v>38</v>
          </cell>
          <cell r="E38">
            <v>37</v>
          </cell>
          <cell r="F38">
            <v>0.57999999999999996</v>
          </cell>
        </row>
        <row r="39">
          <cell r="B39">
            <v>38</v>
          </cell>
          <cell r="C39">
            <v>38</v>
          </cell>
          <cell r="E39">
            <v>38</v>
          </cell>
          <cell r="F39">
            <v>0.56999999999999995</v>
          </cell>
        </row>
        <row r="40">
          <cell r="B40">
            <v>39</v>
          </cell>
          <cell r="C40">
            <v>38</v>
          </cell>
          <cell r="E40">
            <v>39</v>
          </cell>
          <cell r="F40">
            <v>0.56000000000000005</v>
          </cell>
        </row>
        <row r="41">
          <cell r="B41">
            <v>40</v>
          </cell>
          <cell r="C41">
            <v>39</v>
          </cell>
          <cell r="E41">
            <v>40</v>
          </cell>
          <cell r="F41">
            <v>0.55000000000000004</v>
          </cell>
        </row>
        <row r="42">
          <cell r="B42">
            <v>41</v>
          </cell>
          <cell r="C42">
            <v>39</v>
          </cell>
          <cell r="E42">
            <v>41</v>
          </cell>
          <cell r="F42">
            <v>0.54</v>
          </cell>
        </row>
        <row r="43">
          <cell r="B43">
            <v>42</v>
          </cell>
          <cell r="C43">
            <v>39</v>
          </cell>
          <cell r="E43">
            <v>42</v>
          </cell>
          <cell r="F43">
            <v>0.53</v>
          </cell>
        </row>
        <row r="44">
          <cell r="B44">
            <v>43</v>
          </cell>
          <cell r="C44">
            <v>39</v>
          </cell>
          <cell r="E44">
            <v>43</v>
          </cell>
          <cell r="F44">
            <v>0.52</v>
          </cell>
        </row>
        <row r="45">
          <cell r="B45">
            <v>44</v>
          </cell>
          <cell r="C45">
            <v>39</v>
          </cell>
          <cell r="E45">
            <v>44</v>
          </cell>
          <cell r="F45">
            <v>0.51</v>
          </cell>
        </row>
        <row r="46">
          <cell r="B46">
            <v>45</v>
          </cell>
          <cell r="C46">
            <v>39</v>
          </cell>
          <cell r="E46">
            <v>45</v>
          </cell>
          <cell r="F46">
            <v>0.5</v>
          </cell>
        </row>
        <row r="47">
          <cell r="B47">
            <v>46</v>
          </cell>
          <cell r="C47">
            <v>39</v>
          </cell>
          <cell r="E47">
            <v>50</v>
          </cell>
          <cell r="F47">
            <v>0.46</v>
          </cell>
        </row>
        <row r="48">
          <cell r="B48">
            <v>47</v>
          </cell>
          <cell r="C48">
            <v>40</v>
          </cell>
        </row>
        <row r="49">
          <cell r="B49">
            <v>48</v>
          </cell>
          <cell r="C49">
            <v>40</v>
          </cell>
        </row>
        <row r="50">
          <cell r="B50">
            <v>49</v>
          </cell>
          <cell r="C50">
            <v>40</v>
          </cell>
        </row>
        <row r="51">
          <cell r="B51">
            <v>50</v>
          </cell>
          <cell r="C51">
            <v>40</v>
          </cell>
        </row>
        <row r="52">
          <cell r="B52">
            <v>51</v>
          </cell>
          <cell r="C52">
            <v>41</v>
          </cell>
        </row>
        <row r="53">
          <cell r="B53">
            <v>52</v>
          </cell>
          <cell r="C53">
            <v>41</v>
          </cell>
        </row>
        <row r="54">
          <cell r="B54">
            <v>53</v>
          </cell>
          <cell r="C54">
            <v>41</v>
          </cell>
        </row>
        <row r="55">
          <cell r="B55">
            <v>54</v>
          </cell>
          <cell r="C55">
            <v>41</v>
          </cell>
        </row>
        <row r="56">
          <cell r="B56">
            <v>55</v>
          </cell>
          <cell r="C56">
            <v>42</v>
          </cell>
        </row>
        <row r="57">
          <cell r="B57">
            <v>56</v>
          </cell>
          <cell r="C57">
            <v>42</v>
          </cell>
        </row>
        <row r="58">
          <cell r="B58">
            <v>57</v>
          </cell>
          <cell r="C58">
            <v>42</v>
          </cell>
        </row>
        <row r="59">
          <cell r="B59">
            <v>58</v>
          </cell>
          <cell r="C59">
            <v>42</v>
          </cell>
        </row>
        <row r="60">
          <cell r="B60">
            <v>59</v>
          </cell>
          <cell r="C60">
            <v>42</v>
          </cell>
        </row>
        <row r="61">
          <cell r="B61">
            <v>60</v>
          </cell>
          <cell r="C61">
            <v>42</v>
          </cell>
        </row>
        <row r="62">
          <cell r="B62">
            <v>61</v>
          </cell>
          <cell r="C62">
            <v>42</v>
          </cell>
        </row>
        <row r="63">
          <cell r="B63">
            <v>62</v>
          </cell>
          <cell r="C63">
            <v>43</v>
          </cell>
        </row>
        <row r="64">
          <cell r="B64">
            <v>63</v>
          </cell>
          <cell r="C64">
            <v>43</v>
          </cell>
        </row>
        <row r="65">
          <cell r="B65">
            <v>64</v>
          </cell>
          <cell r="C65">
            <v>43</v>
          </cell>
        </row>
      </sheetData>
      <sheetData sheetId="4">
        <row r="1">
          <cell r="J1">
            <v>1.7453292519943295E-2</v>
          </cell>
        </row>
      </sheetData>
      <sheetData sheetId="5">
        <row r="1">
          <cell r="J1">
            <v>1.7453292519943295E-2</v>
          </cell>
        </row>
      </sheetData>
      <sheetData sheetId="6">
        <row r="1">
          <cell r="J1">
            <v>1.7453292519943295E-2</v>
          </cell>
        </row>
      </sheetData>
      <sheetData sheetId="7">
        <row r="1">
          <cell r="J1">
            <v>1.7453292519943295E-2</v>
          </cell>
        </row>
      </sheetData>
      <sheetData sheetId="8">
        <row r="1">
          <cell r="J1">
            <v>1.7453292519943295E-2</v>
          </cell>
        </row>
      </sheetData>
      <sheetData sheetId="9">
        <row r="1">
          <cell r="J1">
            <v>1.7453292519943295E-2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J1">
            <v>1.7453292519943295E-2</v>
          </cell>
        </row>
      </sheetData>
      <sheetData sheetId="20">
        <row r="1">
          <cell r="J1">
            <v>1.7453292519943295E-2</v>
          </cell>
        </row>
      </sheetData>
      <sheetData sheetId="21">
        <row r="1">
          <cell r="J1">
            <v>1.7453292519943295E-2</v>
          </cell>
        </row>
      </sheetData>
      <sheetData sheetId="22">
        <row r="1">
          <cell r="J1">
            <v>1.7453292519943295E-2</v>
          </cell>
        </row>
      </sheetData>
      <sheetData sheetId="23">
        <row r="1">
          <cell r="J1">
            <v>1.7453292519943295E-2</v>
          </cell>
        </row>
      </sheetData>
      <sheetData sheetId="24">
        <row r="1">
          <cell r="J1">
            <v>1.7453292519943295E-2</v>
          </cell>
        </row>
      </sheetData>
      <sheetData sheetId="25">
        <row r="1">
          <cell r="J1">
            <v>1.7453292519943295E-2</v>
          </cell>
        </row>
      </sheetData>
      <sheetData sheetId="26">
        <row r="1">
          <cell r="J1">
            <v>1.7453292519943295E-2</v>
          </cell>
        </row>
      </sheetData>
      <sheetData sheetId="27">
        <row r="1">
          <cell r="J1">
            <v>1.7453292519943295E-2</v>
          </cell>
        </row>
      </sheetData>
      <sheetData sheetId="28">
        <row r="1">
          <cell r="J1">
            <v>1.7453292519943295E-2</v>
          </cell>
        </row>
      </sheetData>
      <sheetData sheetId="29">
        <row r="1">
          <cell r="J1">
            <v>1.7453292519943295E-2</v>
          </cell>
        </row>
      </sheetData>
      <sheetData sheetId="30">
        <row r="1">
          <cell r="J1">
            <v>1.7453292519943295E-2</v>
          </cell>
        </row>
      </sheetData>
      <sheetData sheetId="31">
        <row r="1">
          <cell r="J1">
            <v>1.7453292519943295E-2</v>
          </cell>
        </row>
      </sheetData>
      <sheetData sheetId="32">
        <row r="1">
          <cell r="J1">
            <v>1.7453292519943295E-2</v>
          </cell>
        </row>
      </sheetData>
      <sheetData sheetId="33">
        <row r="1">
          <cell r="J1">
            <v>1.7453292519943295E-2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">
          <cell r="J1">
            <v>1.7453292519943295E-2</v>
          </cell>
        </row>
      </sheetData>
      <sheetData sheetId="42">
        <row r="1">
          <cell r="J1">
            <v>1.7453292519943295E-2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1">
          <cell r="J1">
            <v>1.7453292519943295E-2</v>
          </cell>
        </row>
      </sheetData>
      <sheetData sheetId="237" refreshError="1"/>
      <sheetData sheetId="238">
        <row r="1">
          <cell r="J1">
            <v>1.7453292519943295E-2</v>
          </cell>
        </row>
      </sheetData>
      <sheetData sheetId="239">
        <row r="1">
          <cell r="J1">
            <v>1.7453292519943295E-2</v>
          </cell>
        </row>
      </sheetData>
      <sheetData sheetId="240">
        <row r="1">
          <cell r="J1">
            <v>1.7453292519943295E-2</v>
          </cell>
        </row>
      </sheetData>
      <sheetData sheetId="241">
        <row r="1">
          <cell r="J1">
            <v>1.7453292519943295E-2</v>
          </cell>
        </row>
      </sheetData>
      <sheetData sheetId="242">
        <row r="1">
          <cell r="J1">
            <v>1.7453292519943295E-2</v>
          </cell>
        </row>
      </sheetData>
      <sheetData sheetId="243">
        <row r="1">
          <cell r="J1">
            <v>1.7453292519943295E-2</v>
          </cell>
        </row>
      </sheetData>
      <sheetData sheetId="244">
        <row r="1">
          <cell r="J1">
            <v>1.7453292519943295E-2</v>
          </cell>
        </row>
      </sheetData>
      <sheetData sheetId="245">
        <row r="1">
          <cell r="J1">
            <v>1.7453292519943295E-2</v>
          </cell>
        </row>
      </sheetData>
      <sheetData sheetId="246">
        <row r="1">
          <cell r="J1">
            <v>1.7453292519943295E-2</v>
          </cell>
        </row>
      </sheetData>
      <sheetData sheetId="247">
        <row r="1">
          <cell r="J1">
            <v>1.7453292519943295E-2</v>
          </cell>
        </row>
      </sheetData>
      <sheetData sheetId="248">
        <row r="1">
          <cell r="J1">
            <v>1.7453292519943295E-2</v>
          </cell>
        </row>
      </sheetData>
      <sheetData sheetId="249">
        <row r="1">
          <cell r="J1">
            <v>1.7453292519943295E-2</v>
          </cell>
        </row>
      </sheetData>
      <sheetData sheetId="250" refreshError="1"/>
      <sheetData sheetId="251">
        <row r="1">
          <cell r="J1">
            <v>1.7453292519943295E-2</v>
          </cell>
        </row>
      </sheetData>
      <sheetData sheetId="252">
        <row r="1">
          <cell r="J1">
            <v>1.7453292519943295E-2</v>
          </cell>
        </row>
      </sheetData>
      <sheetData sheetId="253" refreshError="1"/>
      <sheetData sheetId="254" refreshError="1"/>
      <sheetData sheetId="255">
        <row r="1">
          <cell r="J1">
            <v>1.7453292519943295E-2</v>
          </cell>
        </row>
      </sheetData>
      <sheetData sheetId="256">
        <row r="1">
          <cell r="J1">
            <v>1.7453292519943295E-2</v>
          </cell>
        </row>
      </sheetData>
      <sheetData sheetId="257">
        <row r="1">
          <cell r="J1">
            <v>1.7453292519943295E-2</v>
          </cell>
        </row>
      </sheetData>
      <sheetData sheetId="258">
        <row r="1">
          <cell r="J1">
            <v>1.7453292519943295E-2</v>
          </cell>
        </row>
      </sheetData>
      <sheetData sheetId="259">
        <row r="1">
          <cell r="J1">
            <v>1.7453292519943295E-2</v>
          </cell>
        </row>
      </sheetData>
      <sheetData sheetId="260">
        <row r="1">
          <cell r="J1">
            <v>1.7453292519943295E-2</v>
          </cell>
        </row>
      </sheetData>
      <sheetData sheetId="261">
        <row r="1">
          <cell r="J1">
            <v>1.7453292519943295E-2</v>
          </cell>
        </row>
      </sheetData>
      <sheetData sheetId="262">
        <row r="1">
          <cell r="J1">
            <v>1.7453292519943295E-2</v>
          </cell>
        </row>
      </sheetData>
      <sheetData sheetId="263">
        <row r="1">
          <cell r="J1">
            <v>1.7453292519943295E-2</v>
          </cell>
        </row>
      </sheetData>
      <sheetData sheetId="264">
        <row r="1">
          <cell r="J1">
            <v>1.7453292519943295E-2</v>
          </cell>
        </row>
      </sheetData>
      <sheetData sheetId="265">
        <row r="1">
          <cell r="J1">
            <v>1.7453292519943295E-2</v>
          </cell>
        </row>
      </sheetData>
      <sheetData sheetId="266">
        <row r="1">
          <cell r="J1">
            <v>1.7453292519943295E-2</v>
          </cell>
        </row>
      </sheetData>
      <sheetData sheetId="267">
        <row r="1">
          <cell r="J1">
            <v>1.7453292519943295E-2</v>
          </cell>
        </row>
      </sheetData>
      <sheetData sheetId="268">
        <row r="1">
          <cell r="J1">
            <v>1.7453292519943295E-2</v>
          </cell>
        </row>
      </sheetData>
      <sheetData sheetId="269">
        <row r="1">
          <cell r="J1">
            <v>1.7453292519943295E-2</v>
          </cell>
        </row>
      </sheetData>
      <sheetData sheetId="270">
        <row r="1">
          <cell r="J1">
            <v>1.7453292519943295E-2</v>
          </cell>
        </row>
      </sheetData>
      <sheetData sheetId="271">
        <row r="1">
          <cell r="J1">
            <v>1.7453292519943295E-2</v>
          </cell>
        </row>
      </sheetData>
      <sheetData sheetId="272">
        <row r="1">
          <cell r="J1">
            <v>1.7453292519943295E-2</v>
          </cell>
        </row>
      </sheetData>
      <sheetData sheetId="273">
        <row r="1">
          <cell r="J1">
            <v>1.7453292519943295E-2</v>
          </cell>
        </row>
      </sheetData>
      <sheetData sheetId="274">
        <row r="1">
          <cell r="J1">
            <v>1.7453292519943295E-2</v>
          </cell>
        </row>
      </sheetData>
      <sheetData sheetId="275">
        <row r="1">
          <cell r="J1">
            <v>1.7453292519943295E-2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>
        <row r="1">
          <cell r="J1">
            <v>1.7453292519943295E-2</v>
          </cell>
        </row>
      </sheetData>
      <sheetData sheetId="303">
        <row r="1">
          <cell r="J1">
            <v>1.7453292519943295E-2</v>
          </cell>
        </row>
      </sheetData>
      <sheetData sheetId="304">
        <row r="1">
          <cell r="J1">
            <v>1.7453292519943295E-2</v>
          </cell>
        </row>
      </sheetData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>
        <row r="1">
          <cell r="J1">
            <v>1.7453292519943295E-2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>
        <row r="1">
          <cell r="J1">
            <v>1.7453292519943295E-2</v>
          </cell>
        </row>
      </sheetData>
      <sheetData sheetId="377">
        <row r="1">
          <cell r="J1">
            <v>1.7453292519943295E-2</v>
          </cell>
        </row>
      </sheetData>
      <sheetData sheetId="378">
        <row r="1">
          <cell r="J1">
            <v>1.7453292519943295E-2</v>
          </cell>
        </row>
      </sheetData>
      <sheetData sheetId="379"/>
      <sheetData sheetId="380">
        <row r="1">
          <cell r="J1">
            <v>1.7453292519943295E-2</v>
          </cell>
        </row>
      </sheetData>
      <sheetData sheetId="381"/>
      <sheetData sheetId="382"/>
      <sheetData sheetId="383">
        <row r="1">
          <cell r="J1">
            <v>1.7453292519943295E-2</v>
          </cell>
        </row>
      </sheetData>
      <sheetData sheetId="384">
        <row r="1">
          <cell r="J1">
            <v>1.7453292519943295E-2</v>
          </cell>
        </row>
      </sheetData>
      <sheetData sheetId="385"/>
      <sheetData sheetId="386"/>
      <sheetData sheetId="387">
        <row r="1">
          <cell r="J1">
            <v>1.7453292519943295E-2</v>
          </cell>
        </row>
      </sheetData>
      <sheetData sheetId="388"/>
      <sheetData sheetId="389">
        <row r="1">
          <cell r="J1">
            <v>1.7453292519943295E-2</v>
          </cell>
        </row>
      </sheetData>
      <sheetData sheetId="390">
        <row r="1">
          <cell r="J1">
            <v>1.7453292519943295E-2</v>
          </cell>
        </row>
      </sheetData>
      <sheetData sheetId="391">
        <row r="1">
          <cell r="J1">
            <v>1.7453292519943295E-2</v>
          </cell>
        </row>
      </sheetData>
      <sheetData sheetId="392">
        <row r="1">
          <cell r="J1">
            <v>1.7453292519943295E-2</v>
          </cell>
        </row>
      </sheetData>
      <sheetData sheetId="393">
        <row r="1">
          <cell r="J1">
            <v>1.7453292519943295E-2</v>
          </cell>
        </row>
      </sheetData>
      <sheetData sheetId="394">
        <row r="1">
          <cell r="J1">
            <v>1.7453292519943295E-2</v>
          </cell>
        </row>
      </sheetData>
      <sheetData sheetId="395">
        <row r="1">
          <cell r="J1">
            <v>1.7453292519943295E-2</v>
          </cell>
        </row>
      </sheetData>
      <sheetData sheetId="396"/>
      <sheetData sheetId="397">
        <row r="1">
          <cell r="J1">
            <v>1.7453292519943295E-2</v>
          </cell>
        </row>
      </sheetData>
      <sheetData sheetId="398">
        <row r="1">
          <cell r="J1">
            <v>1.7453292519943295E-2</v>
          </cell>
        </row>
      </sheetData>
      <sheetData sheetId="399">
        <row r="1">
          <cell r="J1">
            <v>1.7453292519943295E-2</v>
          </cell>
        </row>
      </sheetData>
      <sheetData sheetId="400">
        <row r="1">
          <cell r="J1">
            <v>1.7453292519943295E-2</v>
          </cell>
        </row>
      </sheetData>
      <sheetData sheetId="401">
        <row r="1">
          <cell r="J1">
            <v>1.7453292519943295E-2</v>
          </cell>
        </row>
      </sheetData>
      <sheetData sheetId="402">
        <row r="1">
          <cell r="J1">
            <v>1.7453292519943295E-2</v>
          </cell>
        </row>
      </sheetData>
      <sheetData sheetId="403">
        <row r="1">
          <cell r="J1">
            <v>1.7453292519943295E-2</v>
          </cell>
        </row>
      </sheetData>
      <sheetData sheetId="404">
        <row r="1">
          <cell r="J1">
            <v>1.7453292519943295E-2</v>
          </cell>
        </row>
      </sheetData>
      <sheetData sheetId="405">
        <row r="1">
          <cell r="J1">
            <v>1.7453292519943295E-2</v>
          </cell>
        </row>
      </sheetData>
      <sheetData sheetId="406">
        <row r="1">
          <cell r="J1">
            <v>1.7453292519943295E-2</v>
          </cell>
        </row>
      </sheetData>
      <sheetData sheetId="407">
        <row r="1">
          <cell r="J1">
            <v>1.7453292519943295E-2</v>
          </cell>
        </row>
      </sheetData>
      <sheetData sheetId="408">
        <row r="1">
          <cell r="J1">
            <v>1.7453292519943295E-2</v>
          </cell>
        </row>
      </sheetData>
      <sheetData sheetId="409">
        <row r="1">
          <cell r="J1">
            <v>1.7453292519943295E-2</v>
          </cell>
        </row>
      </sheetData>
      <sheetData sheetId="410">
        <row r="1">
          <cell r="J1">
            <v>1.7453292519943295E-2</v>
          </cell>
        </row>
      </sheetData>
      <sheetData sheetId="411">
        <row r="1">
          <cell r="J1">
            <v>1.7453292519943295E-2</v>
          </cell>
        </row>
      </sheetData>
      <sheetData sheetId="412">
        <row r="1">
          <cell r="J1">
            <v>1.7453292519943295E-2</v>
          </cell>
        </row>
      </sheetData>
      <sheetData sheetId="413">
        <row r="1">
          <cell r="J1">
            <v>1.7453292519943295E-2</v>
          </cell>
        </row>
      </sheetData>
      <sheetData sheetId="414">
        <row r="1">
          <cell r="J1">
            <v>1.7453292519943295E-2</v>
          </cell>
        </row>
      </sheetData>
      <sheetData sheetId="415">
        <row r="1">
          <cell r="J1">
            <v>1.7453292519943295E-2</v>
          </cell>
        </row>
      </sheetData>
      <sheetData sheetId="416">
        <row r="1">
          <cell r="J1">
            <v>1.7453292519943295E-2</v>
          </cell>
        </row>
      </sheetData>
      <sheetData sheetId="417">
        <row r="1">
          <cell r="J1">
            <v>1.7453292519943295E-2</v>
          </cell>
        </row>
      </sheetData>
      <sheetData sheetId="418">
        <row r="1">
          <cell r="J1">
            <v>1.7453292519943295E-2</v>
          </cell>
        </row>
      </sheetData>
      <sheetData sheetId="419">
        <row r="1">
          <cell r="J1">
            <v>1.7453292519943295E-2</v>
          </cell>
        </row>
      </sheetData>
      <sheetData sheetId="420">
        <row r="1">
          <cell r="J1">
            <v>1.7453292519943295E-2</v>
          </cell>
        </row>
      </sheetData>
      <sheetData sheetId="421">
        <row r="1">
          <cell r="J1">
            <v>1.7453292519943295E-2</v>
          </cell>
        </row>
      </sheetData>
      <sheetData sheetId="422">
        <row r="1">
          <cell r="J1">
            <v>1.7453292519943295E-2</v>
          </cell>
        </row>
      </sheetData>
      <sheetData sheetId="423">
        <row r="1">
          <cell r="J1">
            <v>1.7453292519943295E-2</v>
          </cell>
        </row>
      </sheetData>
      <sheetData sheetId="424">
        <row r="1">
          <cell r="J1">
            <v>1.7453292519943295E-2</v>
          </cell>
        </row>
      </sheetData>
      <sheetData sheetId="425">
        <row r="1">
          <cell r="J1">
            <v>1.7453292519943295E-2</v>
          </cell>
        </row>
      </sheetData>
      <sheetData sheetId="426">
        <row r="1">
          <cell r="J1">
            <v>1.7453292519943295E-2</v>
          </cell>
        </row>
      </sheetData>
      <sheetData sheetId="427">
        <row r="1">
          <cell r="J1">
            <v>1.7453292519943295E-2</v>
          </cell>
        </row>
      </sheetData>
      <sheetData sheetId="428">
        <row r="1">
          <cell r="J1">
            <v>1.7453292519943295E-2</v>
          </cell>
        </row>
      </sheetData>
      <sheetData sheetId="429">
        <row r="1">
          <cell r="J1">
            <v>1.7453292519943295E-2</v>
          </cell>
        </row>
      </sheetData>
      <sheetData sheetId="430">
        <row r="1">
          <cell r="J1">
            <v>1.7453292519943295E-2</v>
          </cell>
        </row>
      </sheetData>
      <sheetData sheetId="431">
        <row r="1">
          <cell r="J1">
            <v>1.7453292519943295E-2</v>
          </cell>
        </row>
      </sheetData>
      <sheetData sheetId="432">
        <row r="1">
          <cell r="J1">
            <v>1.7453292519943295E-2</v>
          </cell>
        </row>
      </sheetData>
      <sheetData sheetId="433">
        <row r="1">
          <cell r="J1">
            <v>1.7453292519943295E-2</v>
          </cell>
        </row>
      </sheetData>
      <sheetData sheetId="434">
        <row r="1">
          <cell r="J1">
            <v>1.7453292519943295E-2</v>
          </cell>
        </row>
      </sheetData>
      <sheetData sheetId="435">
        <row r="1">
          <cell r="J1">
            <v>1.7453292519943295E-2</v>
          </cell>
        </row>
      </sheetData>
      <sheetData sheetId="436">
        <row r="1">
          <cell r="J1">
            <v>1.7453292519943295E-2</v>
          </cell>
        </row>
      </sheetData>
      <sheetData sheetId="437">
        <row r="1">
          <cell r="J1">
            <v>1.7453292519943295E-2</v>
          </cell>
        </row>
      </sheetData>
      <sheetData sheetId="438">
        <row r="1">
          <cell r="J1">
            <v>1.7453292519943295E-2</v>
          </cell>
        </row>
      </sheetData>
      <sheetData sheetId="439">
        <row r="1">
          <cell r="J1">
            <v>1.7453292519943295E-2</v>
          </cell>
        </row>
      </sheetData>
      <sheetData sheetId="440">
        <row r="1">
          <cell r="J1">
            <v>1.7453292519943295E-2</v>
          </cell>
        </row>
      </sheetData>
      <sheetData sheetId="441">
        <row r="1">
          <cell r="J1">
            <v>1.7453292519943295E-2</v>
          </cell>
        </row>
      </sheetData>
      <sheetData sheetId="442">
        <row r="1">
          <cell r="J1">
            <v>1.7453292519943295E-2</v>
          </cell>
        </row>
      </sheetData>
      <sheetData sheetId="443">
        <row r="1">
          <cell r="J1">
            <v>1.7453292519943295E-2</v>
          </cell>
        </row>
      </sheetData>
      <sheetData sheetId="444">
        <row r="1">
          <cell r="J1">
            <v>1.7453292519943295E-2</v>
          </cell>
        </row>
      </sheetData>
      <sheetData sheetId="445">
        <row r="1">
          <cell r="J1">
            <v>1.7453292519943295E-2</v>
          </cell>
        </row>
      </sheetData>
      <sheetData sheetId="446">
        <row r="1">
          <cell r="J1">
            <v>1.7453292519943295E-2</v>
          </cell>
        </row>
      </sheetData>
      <sheetData sheetId="447">
        <row r="1">
          <cell r="J1">
            <v>1.7453292519943295E-2</v>
          </cell>
        </row>
      </sheetData>
      <sheetData sheetId="448">
        <row r="1">
          <cell r="J1">
            <v>1.7453292519943295E-2</v>
          </cell>
        </row>
      </sheetData>
      <sheetData sheetId="449">
        <row r="1">
          <cell r="J1">
            <v>1.7453292519943295E-2</v>
          </cell>
        </row>
      </sheetData>
      <sheetData sheetId="450">
        <row r="1">
          <cell r="J1">
            <v>1.7453292519943295E-2</v>
          </cell>
        </row>
      </sheetData>
      <sheetData sheetId="451">
        <row r="1">
          <cell r="J1">
            <v>1.7453292519943295E-2</v>
          </cell>
        </row>
      </sheetData>
      <sheetData sheetId="452">
        <row r="1">
          <cell r="J1">
            <v>1.7453292519943295E-2</v>
          </cell>
        </row>
      </sheetData>
      <sheetData sheetId="453">
        <row r="1">
          <cell r="J1">
            <v>1.7453292519943295E-2</v>
          </cell>
        </row>
      </sheetData>
      <sheetData sheetId="454">
        <row r="1">
          <cell r="J1">
            <v>1.7453292519943295E-2</v>
          </cell>
        </row>
      </sheetData>
      <sheetData sheetId="455">
        <row r="1">
          <cell r="J1">
            <v>1.7453292519943295E-2</v>
          </cell>
        </row>
      </sheetData>
      <sheetData sheetId="456">
        <row r="1">
          <cell r="J1">
            <v>1.7453292519943295E-2</v>
          </cell>
        </row>
      </sheetData>
      <sheetData sheetId="457">
        <row r="1">
          <cell r="J1">
            <v>1.7453292519943295E-2</v>
          </cell>
        </row>
      </sheetData>
      <sheetData sheetId="458">
        <row r="1">
          <cell r="J1">
            <v>1.7453292519943295E-2</v>
          </cell>
        </row>
      </sheetData>
      <sheetData sheetId="459">
        <row r="1">
          <cell r="J1">
            <v>1.7453292519943295E-2</v>
          </cell>
        </row>
      </sheetData>
      <sheetData sheetId="460">
        <row r="1">
          <cell r="J1">
            <v>1.7453292519943295E-2</v>
          </cell>
        </row>
      </sheetData>
      <sheetData sheetId="461">
        <row r="1">
          <cell r="J1">
            <v>1.7453292519943295E-2</v>
          </cell>
        </row>
      </sheetData>
      <sheetData sheetId="462">
        <row r="1">
          <cell r="J1">
            <v>1.7453292519943295E-2</v>
          </cell>
        </row>
      </sheetData>
      <sheetData sheetId="463"/>
      <sheetData sheetId="464"/>
      <sheetData sheetId="465">
        <row r="1">
          <cell r="J1">
            <v>1.7453292519943295E-2</v>
          </cell>
        </row>
      </sheetData>
      <sheetData sheetId="466">
        <row r="1">
          <cell r="J1">
            <v>1.7453292519943295E-2</v>
          </cell>
        </row>
      </sheetData>
      <sheetData sheetId="467">
        <row r="1">
          <cell r="J1">
            <v>1.7453292519943295E-2</v>
          </cell>
        </row>
      </sheetData>
      <sheetData sheetId="468">
        <row r="1">
          <cell r="J1">
            <v>1.7453292519943295E-2</v>
          </cell>
        </row>
      </sheetData>
      <sheetData sheetId="469">
        <row r="1">
          <cell r="J1">
            <v>1.7453292519943295E-2</v>
          </cell>
        </row>
      </sheetData>
      <sheetData sheetId="470">
        <row r="1">
          <cell r="J1">
            <v>1.7453292519943295E-2</v>
          </cell>
        </row>
      </sheetData>
      <sheetData sheetId="471">
        <row r="1">
          <cell r="J1">
            <v>1.7453292519943295E-2</v>
          </cell>
        </row>
      </sheetData>
      <sheetData sheetId="472">
        <row r="1">
          <cell r="J1">
            <v>1.7453292519943295E-2</v>
          </cell>
        </row>
      </sheetData>
      <sheetData sheetId="473">
        <row r="1">
          <cell r="J1">
            <v>1.7453292519943295E-2</v>
          </cell>
        </row>
      </sheetData>
      <sheetData sheetId="474">
        <row r="1">
          <cell r="J1">
            <v>1.7453292519943295E-2</v>
          </cell>
        </row>
      </sheetData>
      <sheetData sheetId="475">
        <row r="1">
          <cell r="J1">
            <v>1.7453292519943295E-2</v>
          </cell>
        </row>
      </sheetData>
      <sheetData sheetId="476">
        <row r="1">
          <cell r="J1">
            <v>1.7453292519943295E-2</v>
          </cell>
        </row>
      </sheetData>
      <sheetData sheetId="477">
        <row r="1">
          <cell r="J1">
            <v>1.7453292519943295E-2</v>
          </cell>
        </row>
      </sheetData>
      <sheetData sheetId="478">
        <row r="1">
          <cell r="J1">
            <v>1.7453292519943295E-2</v>
          </cell>
        </row>
      </sheetData>
      <sheetData sheetId="479">
        <row r="1">
          <cell r="J1">
            <v>1.7453292519943295E-2</v>
          </cell>
        </row>
      </sheetData>
      <sheetData sheetId="480">
        <row r="1">
          <cell r="J1">
            <v>1.7453292519943295E-2</v>
          </cell>
        </row>
      </sheetData>
      <sheetData sheetId="481">
        <row r="1">
          <cell r="J1">
            <v>1.7453292519943295E-2</v>
          </cell>
        </row>
      </sheetData>
      <sheetData sheetId="482">
        <row r="1">
          <cell r="J1">
            <v>1.7453292519943295E-2</v>
          </cell>
        </row>
      </sheetData>
      <sheetData sheetId="483">
        <row r="1">
          <cell r="J1">
            <v>1.7453292519943295E-2</v>
          </cell>
        </row>
      </sheetData>
      <sheetData sheetId="484">
        <row r="1">
          <cell r="J1">
            <v>1.7453292519943295E-2</v>
          </cell>
        </row>
      </sheetData>
      <sheetData sheetId="485">
        <row r="1">
          <cell r="J1">
            <v>1.7453292519943295E-2</v>
          </cell>
        </row>
      </sheetData>
      <sheetData sheetId="486">
        <row r="1">
          <cell r="J1">
            <v>1.7453292519943295E-2</v>
          </cell>
        </row>
      </sheetData>
      <sheetData sheetId="487">
        <row r="1">
          <cell r="J1">
            <v>1.7453292519943295E-2</v>
          </cell>
        </row>
      </sheetData>
      <sheetData sheetId="488">
        <row r="1">
          <cell r="J1">
            <v>1.7453292519943295E-2</v>
          </cell>
        </row>
      </sheetData>
      <sheetData sheetId="489">
        <row r="1">
          <cell r="J1">
            <v>1.7453292519943295E-2</v>
          </cell>
        </row>
      </sheetData>
      <sheetData sheetId="490">
        <row r="1">
          <cell r="J1">
            <v>1.7453292519943295E-2</v>
          </cell>
        </row>
      </sheetData>
      <sheetData sheetId="491">
        <row r="1">
          <cell r="J1">
            <v>1.7453292519943295E-2</v>
          </cell>
        </row>
      </sheetData>
      <sheetData sheetId="492">
        <row r="1">
          <cell r="J1">
            <v>1.7453292519943295E-2</v>
          </cell>
        </row>
      </sheetData>
      <sheetData sheetId="493">
        <row r="1">
          <cell r="J1">
            <v>1.7453292519943295E-2</v>
          </cell>
        </row>
      </sheetData>
      <sheetData sheetId="494">
        <row r="1">
          <cell r="J1">
            <v>1.7453292519943295E-2</v>
          </cell>
        </row>
      </sheetData>
      <sheetData sheetId="495">
        <row r="1">
          <cell r="J1">
            <v>1.7453292519943295E-2</v>
          </cell>
        </row>
      </sheetData>
      <sheetData sheetId="496">
        <row r="1">
          <cell r="J1">
            <v>1.7453292519943295E-2</v>
          </cell>
        </row>
      </sheetData>
      <sheetData sheetId="497">
        <row r="1">
          <cell r="J1">
            <v>1.7453292519943295E-2</v>
          </cell>
        </row>
      </sheetData>
      <sheetData sheetId="498">
        <row r="1">
          <cell r="J1">
            <v>1.7453292519943295E-2</v>
          </cell>
        </row>
      </sheetData>
      <sheetData sheetId="499">
        <row r="1">
          <cell r="J1">
            <v>1.7453292519943295E-2</v>
          </cell>
        </row>
      </sheetData>
      <sheetData sheetId="500">
        <row r="1">
          <cell r="J1">
            <v>1.7453292519943295E-2</v>
          </cell>
        </row>
      </sheetData>
      <sheetData sheetId="501">
        <row r="1">
          <cell r="J1">
            <v>1.7453292519943295E-2</v>
          </cell>
        </row>
      </sheetData>
      <sheetData sheetId="502">
        <row r="1">
          <cell r="J1">
            <v>1.7453292519943295E-2</v>
          </cell>
        </row>
      </sheetData>
      <sheetData sheetId="503">
        <row r="1">
          <cell r="J1">
            <v>1.7453292519943295E-2</v>
          </cell>
        </row>
      </sheetData>
      <sheetData sheetId="504">
        <row r="1">
          <cell r="J1">
            <v>1.7453292519943295E-2</v>
          </cell>
        </row>
      </sheetData>
      <sheetData sheetId="505">
        <row r="1">
          <cell r="J1">
            <v>1.7453292519943295E-2</v>
          </cell>
        </row>
      </sheetData>
      <sheetData sheetId="506">
        <row r="1">
          <cell r="J1">
            <v>1.7453292519943295E-2</v>
          </cell>
        </row>
      </sheetData>
      <sheetData sheetId="507">
        <row r="1">
          <cell r="J1">
            <v>1.7453292519943295E-2</v>
          </cell>
        </row>
      </sheetData>
      <sheetData sheetId="508">
        <row r="1">
          <cell r="J1">
            <v>1.7453292519943295E-2</v>
          </cell>
        </row>
      </sheetData>
      <sheetData sheetId="509">
        <row r="1">
          <cell r="J1">
            <v>1.7453292519943295E-2</v>
          </cell>
        </row>
      </sheetData>
      <sheetData sheetId="510">
        <row r="1">
          <cell r="J1">
            <v>1.7453292519943295E-2</v>
          </cell>
        </row>
      </sheetData>
      <sheetData sheetId="511">
        <row r="1">
          <cell r="J1">
            <v>1.7453292519943295E-2</v>
          </cell>
        </row>
      </sheetData>
      <sheetData sheetId="512">
        <row r="1">
          <cell r="J1">
            <v>1.7453292519943295E-2</v>
          </cell>
        </row>
      </sheetData>
      <sheetData sheetId="513">
        <row r="1">
          <cell r="J1">
            <v>1.7453292519943295E-2</v>
          </cell>
        </row>
      </sheetData>
      <sheetData sheetId="514">
        <row r="1">
          <cell r="J1">
            <v>1.7453292519943295E-2</v>
          </cell>
        </row>
      </sheetData>
      <sheetData sheetId="515">
        <row r="1">
          <cell r="J1">
            <v>1.7453292519943295E-2</v>
          </cell>
        </row>
      </sheetData>
      <sheetData sheetId="516">
        <row r="1">
          <cell r="J1">
            <v>1.7453292519943295E-2</v>
          </cell>
        </row>
      </sheetData>
      <sheetData sheetId="517">
        <row r="1">
          <cell r="J1">
            <v>1.7453292519943295E-2</v>
          </cell>
        </row>
      </sheetData>
      <sheetData sheetId="518">
        <row r="1">
          <cell r="J1">
            <v>1.7453292519943295E-2</v>
          </cell>
        </row>
      </sheetData>
      <sheetData sheetId="519">
        <row r="1">
          <cell r="J1">
            <v>1.7453292519943295E-2</v>
          </cell>
        </row>
      </sheetData>
      <sheetData sheetId="520">
        <row r="1">
          <cell r="J1">
            <v>1.7453292519943295E-2</v>
          </cell>
        </row>
      </sheetData>
      <sheetData sheetId="521">
        <row r="1">
          <cell r="J1">
            <v>1.7453292519943295E-2</v>
          </cell>
        </row>
      </sheetData>
      <sheetData sheetId="522">
        <row r="1">
          <cell r="J1">
            <v>1.7453292519943295E-2</v>
          </cell>
        </row>
      </sheetData>
      <sheetData sheetId="523">
        <row r="1">
          <cell r="J1">
            <v>1.7453292519943295E-2</v>
          </cell>
        </row>
      </sheetData>
      <sheetData sheetId="524">
        <row r="1">
          <cell r="J1">
            <v>1.7453292519943295E-2</v>
          </cell>
        </row>
      </sheetData>
      <sheetData sheetId="525">
        <row r="1">
          <cell r="J1">
            <v>1.7453292519943295E-2</v>
          </cell>
        </row>
      </sheetData>
      <sheetData sheetId="526">
        <row r="1">
          <cell r="J1">
            <v>1.7453292519943295E-2</v>
          </cell>
        </row>
      </sheetData>
      <sheetData sheetId="527">
        <row r="1">
          <cell r="J1">
            <v>1.7453292519943295E-2</v>
          </cell>
        </row>
      </sheetData>
      <sheetData sheetId="528">
        <row r="1">
          <cell r="J1">
            <v>1.7453292519943295E-2</v>
          </cell>
        </row>
      </sheetData>
      <sheetData sheetId="529">
        <row r="1">
          <cell r="J1">
            <v>1.7453292519943295E-2</v>
          </cell>
        </row>
      </sheetData>
      <sheetData sheetId="530">
        <row r="1">
          <cell r="J1">
            <v>1.7453292519943295E-2</v>
          </cell>
        </row>
      </sheetData>
      <sheetData sheetId="531">
        <row r="1">
          <cell r="J1">
            <v>1.7453292519943295E-2</v>
          </cell>
        </row>
      </sheetData>
      <sheetData sheetId="532">
        <row r="1">
          <cell r="J1">
            <v>1.7453292519943295E-2</v>
          </cell>
        </row>
      </sheetData>
      <sheetData sheetId="533">
        <row r="1">
          <cell r="J1">
            <v>1.7453292519943295E-2</v>
          </cell>
        </row>
      </sheetData>
      <sheetData sheetId="534">
        <row r="1">
          <cell r="J1">
            <v>1.7453292519943295E-2</v>
          </cell>
        </row>
      </sheetData>
      <sheetData sheetId="535">
        <row r="1">
          <cell r="J1">
            <v>1.7453292519943295E-2</v>
          </cell>
        </row>
      </sheetData>
      <sheetData sheetId="536">
        <row r="1">
          <cell r="J1">
            <v>1.7453292519943295E-2</v>
          </cell>
        </row>
      </sheetData>
      <sheetData sheetId="537">
        <row r="1">
          <cell r="J1">
            <v>1.7453292519943295E-2</v>
          </cell>
        </row>
      </sheetData>
      <sheetData sheetId="538">
        <row r="1">
          <cell r="J1">
            <v>1.7453292519943295E-2</v>
          </cell>
        </row>
      </sheetData>
      <sheetData sheetId="539">
        <row r="1">
          <cell r="J1">
            <v>1.7453292519943295E-2</v>
          </cell>
        </row>
      </sheetData>
      <sheetData sheetId="540">
        <row r="1">
          <cell r="J1">
            <v>1.7453292519943295E-2</v>
          </cell>
        </row>
      </sheetData>
      <sheetData sheetId="541">
        <row r="1">
          <cell r="J1">
            <v>1.7453292519943295E-2</v>
          </cell>
        </row>
      </sheetData>
      <sheetData sheetId="542">
        <row r="1">
          <cell r="J1">
            <v>1.7453292519943295E-2</v>
          </cell>
        </row>
      </sheetData>
      <sheetData sheetId="543">
        <row r="1">
          <cell r="J1">
            <v>1.7453292519943295E-2</v>
          </cell>
        </row>
      </sheetData>
      <sheetData sheetId="544">
        <row r="1">
          <cell r="J1">
            <v>1.7453292519943295E-2</v>
          </cell>
        </row>
      </sheetData>
      <sheetData sheetId="545">
        <row r="1">
          <cell r="J1">
            <v>1.7453292519943295E-2</v>
          </cell>
        </row>
      </sheetData>
      <sheetData sheetId="546">
        <row r="1">
          <cell r="J1">
            <v>1.7453292519943295E-2</v>
          </cell>
        </row>
      </sheetData>
      <sheetData sheetId="547">
        <row r="1">
          <cell r="J1">
            <v>1.7453292519943295E-2</v>
          </cell>
        </row>
      </sheetData>
      <sheetData sheetId="548">
        <row r="1">
          <cell r="J1">
            <v>1.7453292519943295E-2</v>
          </cell>
        </row>
      </sheetData>
      <sheetData sheetId="549">
        <row r="1">
          <cell r="J1">
            <v>1.7453292519943295E-2</v>
          </cell>
        </row>
      </sheetData>
      <sheetData sheetId="550">
        <row r="1">
          <cell r="J1">
            <v>1.7453292519943295E-2</v>
          </cell>
        </row>
      </sheetData>
      <sheetData sheetId="551">
        <row r="1">
          <cell r="J1">
            <v>1.7453292519943295E-2</v>
          </cell>
        </row>
      </sheetData>
      <sheetData sheetId="552">
        <row r="1">
          <cell r="J1">
            <v>1.7453292519943295E-2</v>
          </cell>
        </row>
      </sheetData>
      <sheetData sheetId="553">
        <row r="1">
          <cell r="J1">
            <v>1.7453292519943295E-2</v>
          </cell>
        </row>
      </sheetData>
      <sheetData sheetId="554">
        <row r="1">
          <cell r="J1">
            <v>1.7453292519943295E-2</v>
          </cell>
        </row>
      </sheetData>
      <sheetData sheetId="555">
        <row r="1">
          <cell r="J1">
            <v>1.7453292519943295E-2</v>
          </cell>
        </row>
      </sheetData>
      <sheetData sheetId="556">
        <row r="1">
          <cell r="J1">
            <v>1.7453292519943295E-2</v>
          </cell>
        </row>
      </sheetData>
      <sheetData sheetId="557">
        <row r="1">
          <cell r="J1">
            <v>1.7453292519943295E-2</v>
          </cell>
        </row>
      </sheetData>
      <sheetData sheetId="558">
        <row r="1">
          <cell r="J1">
            <v>1.7453292519943295E-2</v>
          </cell>
        </row>
      </sheetData>
      <sheetData sheetId="559">
        <row r="1">
          <cell r="J1">
            <v>1.7453292519943295E-2</v>
          </cell>
        </row>
      </sheetData>
      <sheetData sheetId="560">
        <row r="1">
          <cell r="J1">
            <v>1.7453292519943295E-2</v>
          </cell>
        </row>
      </sheetData>
      <sheetData sheetId="561">
        <row r="1">
          <cell r="J1">
            <v>1.7453292519943295E-2</v>
          </cell>
        </row>
      </sheetData>
      <sheetData sheetId="562">
        <row r="1">
          <cell r="J1">
            <v>1.7453292519943295E-2</v>
          </cell>
        </row>
      </sheetData>
      <sheetData sheetId="563" refreshError="1"/>
      <sheetData sheetId="564">
        <row r="1">
          <cell r="J1">
            <v>1.7453292519943295E-2</v>
          </cell>
        </row>
      </sheetData>
      <sheetData sheetId="565">
        <row r="1">
          <cell r="J1">
            <v>1.7453292519943295E-2</v>
          </cell>
        </row>
      </sheetData>
      <sheetData sheetId="566">
        <row r="1">
          <cell r="J1">
            <v>1.7453292519943295E-2</v>
          </cell>
        </row>
      </sheetData>
      <sheetData sheetId="567">
        <row r="1">
          <cell r="J1">
            <v>1.7453292519943295E-2</v>
          </cell>
        </row>
      </sheetData>
      <sheetData sheetId="568">
        <row r="1">
          <cell r="J1">
            <v>1.7453292519943295E-2</v>
          </cell>
        </row>
      </sheetData>
      <sheetData sheetId="569" refreshError="1"/>
      <sheetData sheetId="570" refreshError="1"/>
      <sheetData sheetId="571">
        <row r="1">
          <cell r="J1">
            <v>1.7453292519943295E-2</v>
          </cell>
        </row>
      </sheetData>
      <sheetData sheetId="572">
        <row r="1">
          <cell r="J1">
            <v>1.7453292519943295E-2</v>
          </cell>
        </row>
      </sheetData>
      <sheetData sheetId="573">
        <row r="1">
          <cell r="J1">
            <v>1.7453292519943295E-2</v>
          </cell>
        </row>
      </sheetData>
      <sheetData sheetId="574">
        <row r="1">
          <cell r="J1">
            <v>1.7453292519943295E-2</v>
          </cell>
        </row>
      </sheetData>
      <sheetData sheetId="575">
        <row r="1">
          <cell r="J1">
            <v>1.7453292519943295E-2</v>
          </cell>
        </row>
      </sheetData>
      <sheetData sheetId="576">
        <row r="1">
          <cell r="J1">
            <v>1.7453292519943295E-2</v>
          </cell>
        </row>
      </sheetData>
      <sheetData sheetId="577">
        <row r="1">
          <cell r="J1">
            <v>1.7453292519943295E-2</v>
          </cell>
        </row>
      </sheetData>
      <sheetData sheetId="578">
        <row r="1">
          <cell r="J1">
            <v>1.7453292519943295E-2</v>
          </cell>
        </row>
      </sheetData>
      <sheetData sheetId="579">
        <row r="1">
          <cell r="J1">
            <v>1.7453292519943295E-2</v>
          </cell>
        </row>
      </sheetData>
      <sheetData sheetId="580">
        <row r="1">
          <cell r="J1">
            <v>1.7453292519943295E-2</v>
          </cell>
        </row>
      </sheetData>
      <sheetData sheetId="581">
        <row r="1">
          <cell r="J1">
            <v>1.7453292519943295E-2</v>
          </cell>
        </row>
      </sheetData>
      <sheetData sheetId="582">
        <row r="1">
          <cell r="J1">
            <v>1.7453292519943295E-2</v>
          </cell>
        </row>
      </sheetData>
      <sheetData sheetId="583">
        <row r="1">
          <cell r="J1">
            <v>1.7453292519943295E-2</v>
          </cell>
        </row>
      </sheetData>
      <sheetData sheetId="584">
        <row r="1">
          <cell r="J1">
            <v>1.7453292519943295E-2</v>
          </cell>
        </row>
      </sheetData>
      <sheetData sheetId="585">
        <row r="1">
          <cell r="J1">
            <v>1.7453292519943295E-2</v>
          </cell>
        </row>
      </sheetData>
      <sheetData sheetId="586">
        <row r="1">
          <cell r="J1">
            <v>1.7453292519943295E-2</v>
          </cell>
        </row>
      </sheetData>
      <sheetData sheetId="587">
        <row r="1">
          <cell r="J1">
            <v>1.7453292519943295E-2</v>
          </cell>
        </row>
      </sheetData>
      <sheetData sheetId="588">
        <row r="1">
          <cell r="J1">
            <v>1.7453292519943295E-2</v>
          </cell>
        </row>
      </sheetData>
      <sheetData sheetId="589">
        <row r="1">
          <cell r="J1">
            <v>1.7453292519943295E-2</v>
          </cell>
        </row>
      </sheetData>
      <sheetData sheetId="590">
        <row r="1">
          <cell r="J1">
            <v>1.7453292519943295E-2</v>
          </cell>
        </row>
      </sheetData>
      <sheetData sheetId="591">
        <row r="1">
          <cell r="J1">
            <v>1.7453292519943295E-2</v>
          </cell>
        </row>
      </sheetData>
      <sheetData sheetId="592">
        <row r="1">
          <cell r="J1">
            <v>1.7453292519943295E-2</v>
          </cell>
        </row>
      </sheetData>
      <sheetData sheetId="593">
        <row r="1">
          <cell r="J1">
            <v>1.7453292519943295E-2</v>
          </cell>
        </row>
      </sheetData>
      <sheetData sheetId="594">
        <row r="1">
          <cell r="J1">
            <v>1.7453292519943295E-2</v>
          </cell>
        </row>
      </sheetData>
      <sheetData sheetId="595">
        <row r="1">
          <cell r="J1">
            <v>1.7453292519943295E-2</v>
          </cell>
        </row>
      </sheetData>
      <sheetData sheetId="596">
        <row r="1">
          <cell r="J1">
            <v>1.7453292519943295E-2</v>
          </cell>
        </row>
      </sheetData>
      <sheetData sheetId="597">
        <row r="1">
          <cell r="J1">
            <v>1.7453292519943295E-2</v>
          </cell>
        </row>
      </sheetData>
      <sheetData sheetId="598">
        <row r="1">
          <cell r="J1">
            <v>1.7453292519943295E-2</v>
          </cell>
        </row>
      </sheetData>
      <sheetData sheetId="599">
        <row r="1">
          <cell r="J1">
            <v>1.7453292519943295E-2</v>
          </cell>
        </row>
      </sheetData>
      <sheetData sheetId="600">
        <row r="1">
          <cell r="J1">
            <v>1.7453292519943295E-2</v>
          </cell>
        </row>
      </sheetData>
      <sheetData sheetId="601">
        <row r="1">
          <cell r="J1">
            <v>1.7453292519943295E-2</v>
          </cell>
        </row>
      </sheetData>
      <sheetData sheetId="602">
        <row r="1">
          <cell r="J1">
            <v>1.7453292519943295E-2</v>
          </cell>
        </row>
      </sheetData>
      <sheetData sheetId="603">
        <row r="1">
          <cell r="J1">
            <v>1.7453292519943295E-2</v>
          </cell>
        </row>
      </sheetData>
      <sheetData sheetId="604">
        <row r="1">
          <cell r="J1">
            <v>1.7453292519943295E-2</v>
          </cell>
        </row>
      </sheetData>
      <sheetData sheetId="605">
        <row r="1">
          <cell r="J1">
            <v>1.7453292519943295E-2</v>
          </cell>
        </row>
      </sheetData>
      <sheetData sheetId="606">
        <row r="1">
          <cell r="J1">
            <v>1.7453292519943295E-2</v>
          </cell>
        </row>
      </sheetData>
      <sheetData sheetId="607">
        <row r="1">
          <cell r="J1">
            <v>1.7453292519943295E-2</v>
          </cell>
        </row>
      </sheetData>
      <sheetData sheetId="608">
        <row r="1">
          <cell r="J1">
            <v>1.7453292519943295E-2</v>
          </cell>
        </row>
      </sheetData>
      <sheetData sheetId="609">
        <row r="1">
          <cell r="J1">
            <v>1.7453292519943295E-2</v>
          </cell>
        </row>
      </sheetData>
      <sheetData sheetId="610">
        <row r="1">
          <cell r="J1">
            <v>1.7453292519943295E-2</v>
          </cell>
        </row>
      </sheetData>
      <sheetData sheetId="611">
        <row r="1">
          <cell r="J1">
            <v>1.7453292519943295E-2</v>
          </cell>
        </row>
      </sheetData>
      <sheetData sheetId="612">
        <row r="1">
          <cell r="J1">
            <v>1.7453292519943295E-2</v>
          </cell>
        </row>
      </sheetData>
      <sheetData sheetId="613">
        <row r="1">
          <cell r="J1">
            <v>1.7453292519943295E-2</v>
          </cell>
        </row>
      </sheetData>
      <sheetData sheetId="614">
        <row r="1">
          <cell r="J1">
            <v>1.7453292519943295E-2</v>
          </cell>
        </row>
      </sheetData>
      <sheetData sheetId="615">
        <row r="1">
          <cell r="J1">
            <v>1.7453292519943295E-2</v>
          </cell>
        </row>
      </sheetData>
      <sheetData sheetId="616">
        <row r="1">
          <cell r="J1">
            <v>1.7453292519943295E-2</v>
          </cell>
        </row>
      </sheetData>
      <sheetData sheetId="617">
        <row r="1">
          <cell r="J1">
            <v>1.7453292519943295E-2</v>
          </cell>
        </row>
      </sheetData>
      <sheetData sheetId="618">
        <row r="1">
          <cell r="J1">
            <v>1.7453292519943295E-2</v>
          </cell>
        </row>
      </sheetData>
      <sheetData sheetId="619">
        <row r="1">
          <cell r="J1">
            <v>1.7453292519943295E-2</v>
          </cell>
        </row>
      </sheetData>
      <sheetData sheetId="620">
        <row r="1">
          <cell r="J1">
            <v>1.7453292519943295E-2</v>
          </cell>
        </row>
      </sheetData>
      <sheetData sheetId="621">
        <row r="1">
          <cell r="J1">
            <v>1.7453292519943295E-2</v>
          </cell>
        </row>
      </sheetData>
      <sheetData sheetId="622">
        <row r="1">
          <cell r="J1">
            <v>1.7453292519943295E-2</v>
          </cell>
        </row>
      </sheetData>
      <sheetData sheetId="623">
        <row r="1">
          <cell r="J1">
            <v>1.7453292519943295E-2</v>
          </cell>
        </row>
      </sheetData>
      <sheetData sheetId="624">
        <row r="1">
          <cell r="J1">
            <v>1.7453292519943295E-2</v>
          </cell>
        </row>
      </sheetData>
      <sheetData sheetId="625">
        <row r="1">
          <cell r="J1">
            <v>1.7453292519943295E-2</v>
          </cell>
        </row>
      </sheetData>
      <sheetData sheetId="626">
        <row r="1">
          <cell r="J1">
            <v>1.7453292519943295E-2</v>
          </cell>
        </row>
      </sheetData>
      <sheetData sheetId="627">
        <row r="1">
          <cell r="J1">
            <v>1.7453292519943295E-2</v>
          </cell>
        </row>
      </sheetData>
      <sheetData sheetId="628">
        <row r="1">
          <cell r="J1">
            <v>1.7453292519943295E-2</v>
          </cell>
        </row>
      </sheetData>
      <sheetData sheetId="629">
        <row r="1">
          <cell r="J1">
            <v>1.7453292519943295E-2</v>
          </cell>
        </row>
      </sheetData>
      <sheetData sheetId="630">
        <row r="1">
          <cell r="J1">
            <v>1.7453292519943295E-2</v>
          </cell>
        </row>
      </sheetData>
      <sheetData sheetId="631">
        <row r="1">
          <cell r="J1">
            <v>1.7453292519943295E-2</v>
          </cell>
        </row>
      </sheetData>
      <sheetData sheetId="632">
        <row r="1">
          <cell r="J1">
            <v>1.7453292519943295E-2</v>
          </cell>
        </row>
      </sheetData>
      <sheetData sheetId="633">
        <row r="1">
          <cell r="J1">
            <v>1.7453292519943295E-2</v>
          </cell>
        </row>
      </sheetData>
      <sheetData sheetId="634">
        <row r="1">
          <cell r="J1">
            <v>1.7453292519943295E-2</v>
          </cell>
        </row>
      </sheetData>
      <sheetData sheetId="635">
        <row r="1">
          <cell r="J1">
            <v>1.7453292519943295E-2</v>
          </cell>
        </row>
      </sheetData>
      <sheetData sheetId="636">
        <row r="1">
          <cell r="J1">
            <v>1.7453292519943295E-2</v>
          </cell>
        </row>
      </sheetData>
      <sheetData sheetId="637">
        <row r="1">
          <cell r="J1">
            <v>1.7453292519943295E-2</v>
          </cell>
        </row>
      </sheetData>
      <sheetData sheetId="638">
        <row r="1">
          <cell r="J1">
            <v>1.7453292519943295E-2</v>
          </cell>
        </row>
      </sheetData>
      <sheetData sheetId="639">
        <row r="1">
          <cell r="J1">
            <v>1.7453292519943295E-2</v>
          </cell>
        </row>
      </sheetData>
      <sheetData sheetId="640">
        <row r="1">
          <cell r="J1">
            <v>1.7453292519943295E-2</v>
          </cell>
        </row>
      </sheetData>
      <sheetData sheetId="641">
        <row r="1">
          <cell r="J1">
            <v>1.7453292519943295E-2</v>
          </cell>
        </row>
      </sheetData>
      <sheetData sheetId="642">
        <row r="1">
          <cell r="J1">
            <v>1.7453292519943295E-2</v>
          </cell>
        </row>
      </sheetData>
      <sheetData sheetId="643">
        <row r="1">
          <cell r="J1">
            <v>1.7453292519943295E-2</v>
          </cell>
        </row>
      </sheetData>
      <sheetData sheetId="644">
        <row r="1">
          <cell r="J1">
            <v>1.7453292519943295E-2</v>
          </cell>
        </row>
      </sheetData>
      <sheetData sheetId="645">
        <row r="1">
          <cell r="J1">
            <v>1.7453292519943295E-2</v>
          </cell>
        </row>
      </sheetData>
      <sheetData sheetId="646">
        <row r="1">
          <cell r="J1">
            <v>1.7453292519943295E-2</v>
          </cell>
        </row>
      </sheetData>
      <sheetData sheetId="647">
        <row r="1">
          <cell r="J1">
            <v>1.7453292519943295E-2</v>
          </cell>
        </row>
      </sheetData>
      <sheetData sheetId="648">
        <row r="1">
          <cell r="J1">
            <v>1.7453292519943295E-2</v>
          </cell>
        </row>
      </sheetData>
      <sheetData sheetId="649">
        <row r="1">
          <cell r="J1">
            <v>1.7453292519943295E-2</v>
          </cell>
        </row>
      </sheetData>
      <sheetData sheetId="650">
        <row r="1">
          <cell r="J1">
            <v>1.7453292519943295E-2</v>
          </cell>
        </row>
      </sheetData>
      <sheetData sheetId="651">
        <row r="1">
          <cell r="J1">
            <v>1.7453292519943295E-2</v>
          </cell>
        </row>
      </sheetData>
      <sheetData sheetId="652">
        <row r="1">
          <cell r="J1">
            <v>1.7453292519943295E-2</v>
          </cell>
        </row>
      </sheetData>
      <sheetData sheetId="653">
        <row r="1">
          <cell r="J1">
            <v>1.7453292519943295E-2</v>
          </cell>
        </row>
      </sheetData>
      <sheetData sheetId="654">
        <row r="1">
          <cell r="J1">
            <v>1.7453292519943295E-2</v>
          </cell>
        </row>
      </sheetData>
      <sheetData sheetId="655">
        <row r="1">
          <cell r="J1">
            <v>1.7453292519943295E-2</v>
          </cell>
        </row>
      </sheetData>
      <sheetData sheetId="656">
        <row r="1">
          <cell r="J1">
            <v>1.7453292519943295E-2</v>
          </cell>
        </row>
      </sheetData>
      <sheetData sheetId="657">
        <row r="1">
          <cell r="J1">
            <v>1.7453292519943295E-2</v>
          </cell>
        </row>
      </sheetData>
      <sheetData sheetId="658">
        <row r="1">
          <cell r="J1">
            <v>1.7453292519943295E-2</v>
          </cell>
        </row>
      </sheetData>
      <sheetData sheetId="659">
        <row r="1">
          <cell r="J1">
            <v>1.7453292519943295E-2</v>
          </cell>
        </row>
      </sheetData>
      <sheetData sheetId="660">
        <row r="1">
          <cell r="J1">
            <v>1.7453292519943295E-2</v>
          </cell>
        </row>
      </sheetData>
      <sheetData sheetId="661">
        <row r="1">
          <cell r="J1">
            <v>1.7453292519943295E-2</v>
          </cell>
        </row>
      </sheetData>
      <sheetData sheetId="662">
        <row r="1">
          <cell r="J1">
            <v>1.7453292519943295E-2</v>
          </cell>
        </row>
      </sheetData>
      <sheetData sheetId="663">
        <row r="1">
          <cell r="J1">
            <v>1.7453292519943295E-2</v>
          </cell>
        </row>
      </sheetData>
      <sheetData sheetId="664">
        <row r="1">
          <cell r="J1">
            <v>1.7453292519943295E-2</v>
          </cell>
        </row>
      </sheetData>
      <sheetData sheetId="665">
        <row r="1">
          <cell r="J1">
            <v>1.7453292519943295E-2</v>
          </cell>
        </row>
      </sheetData>
      <sheetData sheetId="666">
        <row r="1">
          <cell r="J1">
            <v>1.7453292519943295E-2</v>
          </cell>
        </row>
      </sheetData>
      <sheetData sheetId="667">
        <row r="1">
          <cell r="J1">
            <v>1.7453292519943295E-2</v>
          </cell>
        </row>
      </sheetData>
      <sheetData sheetId="668">
        <row r="1">
          <cell r="J1">
            <v>1.7453292519943295E-2</v>
          </cell>
        </row>
      </sheetData>
      <sheetData sheetId="669">
        <row r="1">
          <cell r="J1">
            <v>1.7453292519943295E-2</v>
          </cell>
        </row>
      </sheetData>
      <sheetData sheetId="670">
        <row r="1">
          <cell r="J1">
            <v>1.7453292519943295E-2</v>
          </cell>
        </row>
      </sheetData>
      <sheetData sheetId="671">
        <row r="1">
          <cell r="J1">
            <v>1.7453292519943295E-2</v>
          </cell>
        </row>
      </sheetData>
      <sheetData sheetId="672">
        <row r="1">
          <cell r="J1">
            <v>1.7453292519943295E-2</v>
          </cell>
        </row>
      </sheetData>
      <sheetData sheetId="673">
        <row r="1">
          <cell r="J1">
            <v>1.7453292519943295E-2</v>
          </cell>
        </row>
      </sheetData>
      <sheetData sheetId="674">
        <row r="1">
          <cell r="J1">
            <v>1.7453292519943295E-2</v>
          </cell>
        </row>
      </sheetData>
      <sheetData sheetId="675">
        <row r="1">
          <cell r="J1">
            <v>1.7453292519943295E-2</v>
          </cell>
        </row>
      </sheetData>
      <sheetData sheetId="676">
        <row r="1">
          <cell r="J1">
            <v>1.7453292519943295E-2</v>
          </cell>
        </row>
      </sheetData>
      <sheetData sheetId="677">
        <row r="1">
          <cell r="J1">
            <v>1.7453292519943295E-2</v>
          </cell>
        </row>
      </sheetData>
      <sheetData sheetId="678">
        <row r="1">
          <cell r="J1">
            <v>1.7453292519943295E-2</v>
          </cell>
        </row>
      </sheetData>
      <sheetData sheetId="679">
        <row r="1">
          <cell r="J1">
            <v>1.7453292519943295E-2</v>
          </cell>
        </row>
      </sheetData>
      <sheetData sheetId="680">
        <row r="1">
          <cell r="J1">
            <v>1.7453292519943295E-2</v>
          </cell>
        </row>
      </sheetData>
      <sheetData sheetId="681">
        <row r="1">
          <cell r="J1">
            <v>1.7453292519943295E-2</v>
          </cell>
        </row>
      </sheetData>
      <sheetData sheetId="682">
        <row r="1">
          <cell r="J1">
            <v>1.7453292519943295E-2</v>
          </cell>
        </row>
      </sheetData>
      <sheetData sheetId="683">
        <row r="1">
          <cell r="J1">
            <v>1.7453292519943295E-2</v>
          </cell>
        </row>
      </sheetData>
      <sheetData sheetId="684">
        <row r="1">
          <cell r="J1">
            <v>1.7453292519943295E-2</v>
          </cell>
        </row>
      </sheetData>
      <sheetData sheetId="685">
        <row r="1">
          <cell r="J1">
            <v>1.7453292519943295E-2</v>
          </cell>
        </row>
      </sheetData>
      <sheetData sheetId="686">
        <row r="1">
          <cell r="J1">
            <v>1.7453292519943295E-2</v>
          </cell>
        </row>
      </sheetData>
      <sheetData sheetId="687">
        <row r="1">
          <cell r="J1">
            <v>1.7453292519943295E-2</v>
          </cell>
        </row>
      </sheetData>
      <sheetData sheetId="688">
        <row r="1">
          <cell r="J1">
            <v>1.7453292519943295E-2</v>
          </cell>
        </row>
      </sheetData>
      <sheetData sheetId="689">
        <row r="1">
          <cell r="J1">
            <v>1.7453292519943295E-2</v>
          </cell>
        </row>
      </sheetData>
      <sheetData sheetId="690">
        <row r="1">
          <cell r="J1">
            <v>1.7453292519943295E-2</v>
          </cell>
        </row>
      </sheetData>
      <sheetData sheetId="691">
        <row r="1">
          <cell r="J1">
            <v>1.7453292519943295E-2</v>
          </cell>
        </row>
      </sheetData>
      <sheetData sheetId="692">
        <row r="1">
          <cell r="J1">
            <v>1.7453292519943295E-2</v>
          </cell>
        </row>
      </sheetData>
      <sheetData sheetId="693">
        <row r="1">
          <cell r="J1">
            <v>1.7453292519943295E-2</v>
          </cell>
        </row>
      </sheetData>
      <sheetData sheetId="694">
        <row r="1">
          <cell r="J1">
            <v>1.7453292519943295E-2</v>
          </cell>
        </row>
      </sheetData>
      <sheetData sheetId="695">
        <row r="1">
          <cell r="J1">
            <v>1.7453292519943295E-2</v>
          </cell>
        </row>
      </sheetData>
      <sheetData sheetId="696">
        <row r="1">
          <cell r="J1">
            <v>1.7453292519943295E-2</v>
          </cell>
        </row>
      </sheetData>
      <sheetData sheetId="697">
        <row r="1">
          <cell r="J1">
            <v>1.7453292519943295E-2</v>
          </cell>
        </row>
      </sheetData>
      <sheetData sheetId="698">
        <row r="1">
          <cell r="J1">
            <v>1.7453292519943295E-2</v>
          </cell>
        </row>
      </sheetData>
      <sheetData sheetId="699">
        <row r="1">
          <cell r="J1">
            <v>1.7453292519943295E-2</v>
          </cell>
        </row>
      </sheetData>
      <sheetData sheetId="700">
        <row r="1">
          <cell r="J1">
            <v>1.7453292519943295E-2</v>
          </cell>
        </row>
      </sheetData>
      <sheetData sheetId="701">
        <row r="1">
          <cell r="J1">
            <v>1.7453292519943295E-2</v>
          </cell>
        </row>
      </sheetData>
      <sheetData sheetId="702">
        <row r="1">
          <cell r="J1">
            <v>1.7453292519943295E-2</v>
          </cell>
        </row>
      </sheetData>
      <sheetData sheetId="703">
        <row r="1">
          <cell r="J1">
            <v>1.7453292519943295E-2</v>
          </cell>
        </row>
      </sheetData>
      <sheetData sheetId="704">
        <row r="1">
          <cell r="J1">
            <v>1.7453292519943295E-2</v>
          </cell>
        </row>
      </sheetData>
      <sheetData sheetId="705">
        <row r="1">
          <cell r="J1">
            <v>1.7453292519943295E-2</v>
          </cell>
        </row>
      </sheetData>
      <sheetData sheetId="706">
        <row r="1">
          <cell r="J1">
            <v>1.7453292519943295E-2</v>
          </cell>
        </row>
      </sheetData>
      <sheetData sheetId="707">
        <row r="1">
          <cell r="J1">
            <v>1.7453292519943295E-2</v>
          </cell>
        </row>
      </sheetData>
      <sheetData sheetId="708">
        <row r="1">
          <cell r="J1">
            <v>1.7453292519943295E-2</v>
          </cell>
        </row>
      </sheetData>
      <sheetData sheetId="709">
        <row r="1">
          <cell r="J1">
            <v>1.7453292519943295E-2</v>
          </cell>
        </row>
      </sheetData>
      <sheetData sheetId="710">
        <row r="1">
          <cell r="J1">
            <v>1.7453292519943295E-2</v>
          </cell>
        </row>
      </sheetData>
      <sheetData sheetId="711">
        <row r="1">
          <cell r="J1">
            <v>1.7453292519943295E-2</v>
          </cell>
        </row>
      </sheetData>
      <sheetData sheetId="712">
        <row r="1">
          <cell r="J1">
            <v>1.7453292519943295E-2</v>
          </cell>
        </row>
      </sheetData>
      <sheetData sheetId="713">
        <row r="1">
          <cell r="J1">
            <v>1.7453292519943295E-2</v>
          </cell>
        </row>
      </sheetData>
      <sheetData sheetId="714">
        <row r="1">
          <cell r="J1">
            <v>1.7453292519943295E-2</v>
          </cell>
        </row>
      </sheetData>
      <sheetData sheetId="715">
        <row r="1">
          <cell r="J1">
            <v>1.7453292519943295E-2</v>
          </cell>
        </row>
      </sheetData>
      <sheetData sheetId="716">
        <row r="1">
          <cell r="J1">
            <v>1.7453292519943295E-2</v>
          </cell>
        </row>
      </sheetData>
      <sheetData sheetId="717">
        <row r="1">
          <cell r="J1">
            <v>1.7453292519943295E-2</v>
          </cell>
        </row>
      </sheetData>
      <sheetData sheetId="718">
        <row r="1">
          <cell r="J1">
            <v>1.7453292519943295E-2</v>
          </cell>
        </row>
      </sheetData>
      <sheetData sheetId="719">
        <row r="1">
          <cell r="J1">
            <v>1.7453292519943295E-2</v>
          </cell>
        </row>
      </sheetData>
      <sheetData sheetId="720">
        <row r="1">
          <cell r="J1">
            <v>1.7453292519943295E-2</v>
          </cell>
        </row>
      </sheetData>
      <sheetData sheetId="721">
        <row r="1">
          <cell r="J1">
            <v>1.7453292519943295E-2</v>
          </cell>
        </row>
      </sheetData>
      <sheetData sheetId="722">
        <row r="1">
          <cell r="J1">
            <v>1.7453292519943295E-2</v>
          </cell>
        </row>
      </sheetData>
      <sheetData sheetId="723">
        <row r="1">
          <cell r="J1">
            <v>1.7453292519943295E-2</v>
          </cell>
        </row>
      </sheetData>
      <sheetData sheetId="724">
        <row r="1">
          <cell r="J1">
            <v>1.7453292519943295E-2</v>
          </cell>
        </row>
      </sheetData>
      <sheetData sheetId="725">
        <row r="1">
          <cell r="J1">
            <v>1.7453292519943295E-2</v>
          </cell>
        </row>
      </sheetData>
      <sheetData sheetId="726">
        <row r="1">
          <cell r="J1">
            <v>1.7453292519943295E-2</v>
          </cell>
        </row>
      </sheetData>
      <sheetData sheetId="727">
        <row r="1">
          <cell r="J1">
            <v>1.7453292519943295E-2</v>
          </cell>
        </row>
      </sheetData>
      <sheetData sheetId="728">
        <row r="1">
          <cell r="J1">
            <v>1.7453292519943295E-2</v>
          </cell>
        </row>
      </sheetData>
      <sheetData sheetId="729">
        <row r="1">
          <cell r="J1">
            <v>1.7453292519943295E-2</v>
          </cell>
        </row>
      </sheetData>
      <sheetData sheetId="730">
        <row r="1">
          <cell r="J1">
            <v>1.7453292519943295E-2</v>
          </cell>
        </row>
      </sheetData>
      <sheetData sheetId="731">
        <row r="1">
          <cell r="J1">
            <v>1.7453292519943295E-2</v>
          </cell>
        </row>
      </sheetData>
      <sheetData sheetId="732">
        <row r="1">
          <cell r="J1">
            <v>1.7453292519943295E-2</v>
          </cell>
        </row>
      </sheetData>
      <sheetData sheetId="733">
        <row r="1">
          <cell r="J1">
            <v>1.7453292519943295E-2</v>
          </cell>
        </row>
      </sheetData>
      <sheetData sheetId="734">
        <row r="1">
          <cell r="J1">
            <v>1.7453292519943295E-2</v>
          </cell>
        </row>
      </sheetData>
      <sheetData sheetId="735">
        <row r="1">
          <cell r="J1">
            <v>1.7453292519943295E-2</v>
          </cell>
        </row>
      </sheetData>
      <sheetData sheetId="736">
        <row r="1">
          <cell r="J1">
            <v>1.7453292519943295E-2</v>
          </cell>
        </row>
      </sheetData>
      <sheetData sheetId="737">
        <row r="1">
          <cell r="J1">
            <v>1.7453292519943295E-2</v>
          </cell>
        </row>
      </sheetData>
      <sheetData sheetId="738">
        <row r="1">
          <cell r="J1">
            <v>1.7453292519943295E-2</v>
          </cell>
        </row>
      </sheetData>
      <sheetData sheetId="739">
        <row r="1">
          <cell r="J1">
            <v>1.7453292519943295E-2</v>
          </cell>
        </row>
      </sheetData>
      <sheetData sheetId="740">
        <row r="1">
          <cell r="J1">
            <v>1.7453292519943295E-2</v>
          </cell>
        </row>
      </sheetData>
      <sheetData sheetId="741">
        <row r="1">
          <cell r="J1">
            <v>1.7453292519943295E-2</v>
          </cell>
        </row>
      </sheetData>
      <sheetData sheetId="742">
        <row r="1">
          <cell r="J1">
            <v>1.7453292519943295E-2</v>
          </cell>
        </row>
      </sheetData>
      <sheetData sheetId="743">
        <row r="1">
          <cell r="J1">
            <v>1.7453292519943295E-2</v>
          </cell>
        </row>
      </sheetData>
      <sheetData sheetId="744">
        <row r="1">
          <cell r="J1">
            <v>1.7453292519943295E-2</v>
          </cell>
        </row>
      </sheetData>
      <sheetData sheetId="745">
        <row r="1">
          <cell r="J1">
            <v>1.7453292519943295E-2</v>
          </cell>
        </row>
      </sheetData>
      <sheetData sheetId="746">
        <row r="1">
          <cell r="J1">
            <v>1.7453292519943295E-2</v>
          </cell>
        </row>
      </sheetData>
      <sheetData sheetId="747">
        <row r="1">
          <cell r="J1">
            <v>1.7453292519943295E-2</v>
          </cell>
        </row>
      </sheetData>
      <sheetData sheetId="748">
        <row r="1">
          <cell r="J1">
            <v>1.7453292519943295E-2</v>
          </cell>
        </row>
      </sheetData>
      <sheetData sheetId="749">
        <row r="1">
          <cell r="J1">
            <v>1.7453292519943295E-2</v>
          </cell>
        </row>
      </sheetData>
      <sheetData sheetId="750">
        <row r="1">
          <cell r="J1">
            <v>1.7453292519943295E-2</v>
          </cell>
        </row>
      </sheetData>
      <sheetData sheetId="751">
        <row r="1">
          <cell r="J1">
            <v>1.7453292519943295E-2</v>
          </cell>
        </row>
      </sheetData>
      <sheetData sheetId="752">
        <row r="1">
          <cell r="J1">
            <v>1.7453292519943295E-2</v>
          </cell>
        </row>
      </sheetData>
      <sheetData sheetId="753">
        <row r="1">
          <cell r="J1">
            <v>1.7453292519943295E-2</v>
          </cell>
        </row>
      </sheetData>
      <sheetData sheetId="754">
        <row r="1">
          <cell r="J1">
            <v>1.7453292519943295E-2</v>
          </cell>
        </row>
      </sheetData>
      <sheetData sheetId="755">
        <row r="1">
          <cell r="J1">
            <v>1.7453292519943295E-2</v>
          </cell>
        </row>
      </sheetData>
      <sheetData sheetId="756">
        <row r="1">
          <cell r="J1">
            <v>1.7453292519943295E-2</v>
          </cell>
        </row>
      </sheetData>
      <sheetData sheetId="757">
        <row r="1">
          <cell r="J1">
            <v>1.7453292519943295E-2</v>
          </cell>
        </row>
      </sheetData>
      <sheetData sheetId="758">
        <row r="1">
          <cell r="J1">
            <v>1.7453292519943295E-2</v>
          </cell>
        </row>
      </sheetData>
      <sheetData sheetId="759">
        <row r="1">
          <cell r="J1">
            <v>1.7453292519943295E-2</v>
          </cell>
        </row>
      </sheetData>
      <sheetData sheetId="760">
        <row r="1">
          <cell r="J1">
            <v>1.7453292519943295E-2</v>
          </cell>
        </row>
      </sheetData>
      <sheetData sheetId="761">
        <row r="1">
          <cell r="J1">
            <v>1.7453292519943295E-2</v>
          </cell>
        </row>
      </sheetData>
      <sheetData sheetId="762">
        <row r="1">
          <cell r="J1">
            <v>1.7453292519943295E-2</v>
          </cell>
        </row>
      </sheetData>
      <sheetData sheetId="763">
        <row r="1">
          <cell r="J1">
            <v>1.7453292519943295E-2</v>
          </cell>
        </row>
      </sheetData>
      <sheetData sheetId="764">
        <row r="1">
          <cell r="J1">
            <v>1.7453292519943295E-2</v>
          </cell>
        </row>
      </sheetData>
      <sheetData sheetId="765">
        <row r="1">
          <cell r="J1">
            <v>1.7453292519943295E-2</v>
          </cell>
        </row>
      </sheetData>
      <sheetData sheetId="766">
        <row r="1">
          <cell r="J1">
            <v>1.7453292519943295E-2</v>
          </cell>
        </row>
      </sheetData>
      <sheetData sheetId="767">
        <row r="1">
          <cell r="J1">
            <v>1.7453292519943295E-2</v>
          </cell>
        </row>
      </sheetData>
      <sheetData sheetId="768">
        <row r="1">
          <cell r="J1">
            <v>1.7453292519943295E-2</v>
          </cell>
        </row>
      </sheetData>
      <sheetData sheetId="769">
        <row r="1">
          <cell r="J1">
            <v>1.7453292519943295E-2</v>
          </cell>
        </row>
      </sheetData>
      <sheetData sheetId="770">
        <row r="1">
          <cell r="J1">
            <v>1.7453292519943295E-2</v>
          </cell>
        </row>
      </sheetData>
      <sheetData sheetId="771">
        <row r="1">
          <cell r="J1">
            <v>1.7453292519943295E-2</v>
          </cell>
        </row>
      </sheetData>
      <sheetData sheetId="772">
        <row r="1">
          <cell r="J1">
            <v>1.7453292519943295E-2</v>
          </cell>
        </row>
      </sheetData>
      <sheetData sheetId="773">
        <row r="1">
          <cell r="J1">
            <v>1.7453292519943295E-2</v>
          </cell>
        </row>
      </sheetData>
      <sheetData sheetId="774">
        <row r="1">
          <cell r="J1">
            <v>1.7453292519943295E-2</v>
          </cell>
        </row>
      </sheetData>
      <sheetData sheetId="775">
        <row r="1">
          <cell r="J1">
            <v>1.7453292519943295E-2</v>
          </cell>
        </row>
      </sheetData>
      <sheetData sheetId="776">
        <row r="1">
          <cell r="J1">
            <v>1.7453292519943295E-2</v>
          </cell>
        </row>
      </sheetData>
      <sheetData sheetId="777">
        <row r="1">
          <cell r="J1">
            <v>1.7453292519943295E-2</v>
          </cell>
        </row>
      </sheetData>
      <sheetData sheetId="778">
        <row r="1">
          <cell r="J1">
            <v>1.7453292519943295E-2</v>
          </cell>
        </row>
      </sheetData>
      <sheetData sheetId="779">
        <row r="1">
          <cell r="J1">
            <v>1.7453292519943295E-2</v>
          </cell>
        </row>
      </sheetData>
      <sheetData sheetId="780">
        <row r="1">
          <cell r="J1">
            <v>1.7453292519943295E-2</v>
          </cell>
        </row>
      </sheetData>
      <sheetData sheetId="781">
        <row r="1">
          <cell r="J1">
            <v>1.7453292519943295E-2</v>
          </cell>
        </row>
      </sheetData>
      <sheetData sheetId="782">
        <row r="1">
          <cell r="J1">
            <v>1.7453292519943295E-2</v>
          </cell>
        </row>
      </sheetData>
      <sheetData sheetId="783">
        <row r="1">
          <cell r="J1">
            <v>1.7453292519943295E-2</v>
          </cell>
        </row>
      </sheetData>
      <sheetData sheetId="784">
        <row r="1">
          <cell r="J1">
            <v>1.7453292519943295E-2</v>
          </cell>
        </row>
      </sheetData>
      <sheetData sheetId="785">
        <row r="1">
          <cell r="J1">
            <v>1.7453292519943295E-2</v>
          </cell>
        </row>
      </sheetData>
      <sheetData sheetId="786">
        <row r="1">
          <cell r="J1">
            <v>1.7453292519943295E-2</v>
          </cell>
        </row>
      </sheetData>
      <sheetData sheetId="787">
        <row r="1">
          <cell r="J1">
            <v>1.7453292519943295E-2</v>
          </cell>
        </row>
      </sheetData>
      <sheetData sheetId="788">
        <row r="1">
          <cell r="J1">
            <v>1.7453292519943295E-2</v>
          </cell>
        </row>
      </sheetData>
      <sheetData sheetId="789">
        <row r="1">
          <cell r="J1">
            <v>1.7453292519943295E-2</v>
          </cell>
        </row>
      </sheetData>
      <sheetData sheetId="790">
        <row r="1">
          <cell r="J1">
            <v>1.7453292519943295E-2</v>
          </cell>
        </row>
      </sheetData>
      <sheetData sheetId="791">
        <row r="1">
          <cell r="J1">
            <v>1.7453292519943295E-2</v>
          </cell>
        </row>
      </sheetData>
      <sheetData sheetId="792">
        <row r="1">
          <cell r="J1">
            <v>1.7453292519943295E-2</v>
          </cell>
        </row>
      </sheetData>
      <sheetData sheetId="793">
        <row r="1">
          <cell r="J1">
            <v>1.7453292519943295E-2</v>
          </cell>
        </row>
      </sheetData>
      <sheetData sheetId="794">
        <row r="1">
          <cell r="J1">
            <v>1.7453292519943295E-2</v>
          </cell>
        </row>
      </sheetData>
      <sheetData sheetId="795">
        <row r="1">
          <cell r="J1">
            <v>1.7453292519943295E-2</v>
          </cell>
        </row>
      </sheetData>
      <sheetData sheetId="796">
        <row r="1">
          <cell r="J1">
            <v>1.7453292519943295E-2</v>
          </cell>
        </row>
      </sheetData>
      <sheetData sheetId="797">
        <row r="1">
          <cell r="J1">
            <v>1.7453292519943295E-2</v>
          </cell>
        </row>
      </sheetData>
      <sheetData sheetId="798">
        <row r="1">
          <cell r="J1">
            <v>1.7453292519943295E-2</v>
          </cell>
        </row>
      </sheetData>
      <sheetData sheetId="799">
        <row r="1">
          <cell r="J1">
            <v>1.7453292519943295E-2</v>
          </cell>
        </row>
      </sheetData>
      <sheetData sheetId="800">
        <row r="1">
          <cell r="J1">
            <v>1.7453292519943295E-2</v>
          </cell>
        </row>
      </sheetData>
      <sheetData sheetId="801">
        <row r="1">
          <cell r="J1">
            <v>1.7453292519943295E-2</v>
          </cell>
        </row>
      </sheetData>
      <sheetData sheetId="802">
        <row r="1">
          <cell r="J1">
            <v>1.7453292519943295E-2</v>
          </cell>
        </row>
      </sheetData>
      <sheetData sheetId="803">
        <row r="1">
          <cell r="J1">
            <v>1.7453292519943295E-2</v>
          </cell>
        </row>
      </sheetData>
      <sheetData sheetId="804">
        <row r="1">
          <cell r="J1">
            <v>1.7453292519943295E-2</v>
          </cell>
        </row>
      </sheetData>
      <sheetData sheetId="805">
        <row r="1">
          <cell r="J1">
            <v>1.7453292519943295E-2</v>
          </cell>
        </row>
      </sheetData>
      <sheetData sheetId="806">
        <row r="1">
          <cell r="J1">
            <v>1.7453292519943295E-2</v>
          </cell>
        </row>
      </sheetData>
      <sheetData sheetId="807">
        <row r="1">
          <cell r="J1">
            <v>1.7453292519943295E-2</v>
          </cell>
        </row>
      </sheetData>
      <sheetData sheetId="808">
        <row r="1">
          <cell r="J1">
            <v>1.7453292519943295E-2</v>
          </cell>
        </row>
      </sheetData>
      <sheetData sheetId="809">
        <row r="1">
          <cell r="J1">
            <v>1.7453292519943295E-2</v>
          </cell>
        </row>
      </sheetData>
      <sheetData sheetId="810">
        <row r="1">
          <cell r="J1">
            <v>1.7453292519943295E-2</v>
          </cell>
        </row>
      </sheetData>
      <sheetData sheetId="811">
        <row r="1">
          <cell r="J1">
            <v>1.7453292519943295E-2</v>
          </cell>
        </row>
      </sheetData>
      <sheetData sheetId="812">
        <row r="1">
          <cell r="J1">
            <v>1.7453292519943295E-2</v>
          </cell>
        </row>
      </sheetData>
      <sheetData sheetId="813">
        <row r="1">
          <cell r="J1">
            <v>1.7453292519943295E-2</v>
          </cell>
        </row>
      </sheetData>
      <sheetData sheetId="814">
        <row r="1">
          <cell r="J1">
            <v>1.7453292519943295E-2</v>
          </cell>
        </row>
      </sheetData>
      <sheetData sheetId="815">
        <row r="1">
          <cell r="J1">
            <v>1.7453292519943295E-2</v>
          </cell>
        </row>
      </sheetData>
      <sheetData sheetId="816">
        <row r="1">
          <cell r="J1">
            <v>1.7453292519943295E-2</v>
          </cell>
        </row>
      </sheetData>
      <sheetData sheetId="817">
        <row r="1">
          <cell r="J1">
            <v>1.7453292519943295E-2</v>
          </cell>
        </row>
      </sheetData>
      <sheetData sheetId="818">
        <row r="1">
          <cell r="J1">
            <v>1.7453292519943295E-2</v>
          </cell>
        </row>
      </sheetData>
      <sheetData sheetId="819">
        <row r="1">
          <cell r="J1">
            <v>1.7453292519943295E-2</v>
          </cell>
        </row>
      </sheetData>
      <sheetData sheetId="820">
        <row r="1">
          <cell r="J1">
            <v>1.7453292519943295E-2</v>
          </cell>
        </row>
      </sheetData>
      <sheetData sheetId="821">
        <row r="1">
          <cell r="J1">
            <v>1.7453292519943295E-2</v>
          </cell>
        </row>
      </sheetData>
      <sheetData sheetId="822">
        <row r="1">
          <cell r="J1">
            <v>1.7453292519943295E-2</v>
          </cell>
        </row>
      </sheetData>
      <sheetData sheetId="823">
        <row r="1">
          <cell r="J1">
            <v>1.7453292519943295E-2</v>
          </cell>
        </row>
      </sheetData>
      <sheetData sheetId="824">
        <row r="1">
          <cell r="J1">
            <v>1.7453292519943295E-2</v>
          </cell>
        </row>
      </sheetData>
      <sheetData sheetId="825">
        <row r="1">
          <cell r="J1">
            <v>1.7453292519943295E-2</v>
          </cell>
        </row>
      </sheetData>
      <sheetData sheetId="826">
        <row r="1">
          <cell r="J1">
            <v>1.7453292519943295E-2</v>
          </cell>
        </row>
      </sheetData>
      <sheetData sheetId="827">
        <row r="1">
          <cell r="J1">
            <v>1.7453292519943295E-2</v>
          </cell>
        </row>
      </sheetData>
      <sheetData sheetId="828">
        <row r="1">
          <cell r="J1">
            <v>1.7453292519943295E-2</v>
          </cell>
        </row>
      </sheetData>
      <sheetData sheetId="829">
        <row r="1">
          <cell r="J1">
            <v>1.7453292519943295E-2</v>
          </cell>
        </row>
      </sheetData>
      <sheetData sheetId="830">
        <row r="1">
          <cell r="J1">
            <v>1.7453292519943295E-2</v>
          </cell>
        </row>
      </sheetData>
      <sheetData sheetId="831">
        <row r="1">
          <cell r="J1">
            <v>1.7453292519943295E-2</v>
          </cell>
        </row>
      </sheetData>
      <sheetData sheetId="832">
        <row r="1">
          <cell r="J1">
            <v>1.7453292519943295E-2</v>
          </cell>
        </row>
      </sheetData>
      <sheetData sheetId="833">
        <row r="1">
          <cell r="J1">
            <v>1.7453292519943295E-2</v>
          </cell>
        </row>
      </sheetData>
      <sheetData sheetId="834">
        <row r="1">
          <cell r="J1">
            <v>1.7453292519943295E-2</v>
          </cell>
        </row>
      </sheetData>
      <sheetData sheetId="835">
        <row r="1">
          <cell r="J1">
            <v>1.7453292519943295E-2</v>
          </cell>
        </row>
      </sheetData>
      <sheetData sheetId="836">
        <row r="1">
          <cell r="J1">
            <v>1.7453292519943295E-2</v>
          </cell>
        </row>
      </sheetData>
      <sheetData sheetId="837">
        <row r="1">
          <cell r="J1">
            <v>1.7453292519943295E-2</v>
          </cell>
        </row>
      </sheetData>
      <sheetData sheetId="838">
        <row r="1">
          <cell r="J1">
            <v>1.7453292519943295E-2</v>
          </cell>
        </row>
      </sheetData>
      <sheetData sheetId="839">
        <row r="1">
          <cell r="J1">
            <v>1.7453292519943295E-2</v>
          </cell>
        </row>
      </sheetData>
      <sheetData sheetId="840">
        <row r="1">
          <cell r="J1">
            <v>1.7453292519943295E-2</v>
          </cell>
        </row>
      </sheetData>
      <sheetData sheetId="841">
        <row r="1">
          <cell r="J1">
            <v>1.7453292519943295E-2</v>
          </cell>
        </row>
      </sheetData>
      <sheetData sheetId="842">
        <row r="1">
          <cell r="J1">
            <v>1.7453292519943295E-2</v>
          </cell>
        </row>
      </sheetData>
      <sheetData sheetId="843">
        <row r="1">
          <cell r="J1">
            <v>1.7453292519943295E-2</v>
          </cell>
        </row>
      </sheetData>
      <sheetData sheetId="844">
        <row r="1">
          <cell r="J1">
            <v>1.7453292519943295E-2</v>
          </cell>
        </row>
      </sheetData>
      <sheetData sheetId="845">
        <row r="1">
          <cell r="J1">
            <v>1.7453292519943295E-2</v>
          </cell>
        </row>
      </sheetData>
      <sheetData sheetId="846">
        <row r="1">
          <cell r="J1">
            <v>1.7453292519943295E-2</v>
          </cell>
        </row>
      </sheetData>
      <sheetData sheetId="847">
        <row r="1">
          <cell r="J1">
            <v>1.7453292519943295E-2</v>
          </cell>
        </row>
      </sheetData>
      <sheetData sheetId="848">
        <row r="1">
          <cell r="J1">
            <v>1.7453292519943295E-2</v>
          </cell>
        </row>
      </sheetData>
      <sheetData sheetId="849">
        <row r="1">
          <cell r="J1">
            <v>1.7453292519943295E-2</v>
          </cell>
        </row>
      </sheetData>
      <sheetData sheetId="850">
        <row r="1">
          <cell r="J1">
            <v>1.7453292519943295E-2</v>
          </cell>
        </row>
      </sheetData>
      <sheetData sheetId="851">
        <row r="1">
          <cell r="J1">
            <v>1.7453292519943295E-2</v>
          </cell>
        </row>
      </sheetData>
      <sheetData sheetId="852">
        <row r="1">
          <cell r="J1">
            <v>1.7453292519943295E-2</v>
          </cell>
        </row>
      </sheetData>
      <sheetData sheetId="853">
        <row r="1">
          <cell r="J1">
            <v>1.7453292519943295E-2</v>
          </cell>
        </row>
      </sheetData>
      <sheetData sheetId="854">
        <row r="1">
          <cell r="J1">
            <v>1.7453292519943295E-2</v>
          </cell>
        </row>
      </sheetData>
      <sheetData sheetId="855">
        <row r="1">
          <cell r="J1">
            <v>1.7453292519943295E-2</v>
          </cell>
        </row>
      </sheetData>
      <sheetData sheetId="856">
        <row r="1">
          <cell r="J1">
            <v>1.7453292519943295E-2</v>
          </cell>
        </row>
      </sheetData>
      <sheetData sheetId="857">
        <row r="1">
          <cell r="J1">
            <v>1.7453292519943295E-2</v>
          </cell>
        </row>
      </sheetData>
      <sheetData sheetId="858">
        <row r="1">
          <cell r="J1">
            <v>1.7453292519943295E-2</v>
          </cell>
        </row>
      </sheetData>
      <sheetData sheetId="859">
        <row r="1">
          <cell r="J1">
            <v>1.7453292519943295E-2</v>
          </cell>
        </row>
      </sheetData>
      <sheetData sheetId="860">
        <row r="1">
          <cell r="J1">
            <v>1.7453292519943295E-2</v>
          </cell>
        </row>
      </sheetData>
      <sheetData sheetId="861">
        <row r="1">
          <cell r="J1">
            <v>1.7453292519943295E-2</v>
          </cell>
        </row>
      </sheetData>
      <sheetData sheetId="862">
        <row r="1">
          <cell r="J1">
            <v>1.7453292519943295E-2</v>
          </cell>
        </row>
      </sheetData>
      <sheetData sheetId="863">
        <row r="1">
          <cell r="J1">
            <v>1.7453292519943295E-2</v>
          </cell>
        </row>
      </sheetData>
      <sheetData sheetId="864">
        <row r="1">
          <cell r="J1">
            <v>1.7453292519943295E-2</v>
          </cell>
        </row>
      </sheetData>
      <sheetData sheetId="865">
        <row r="1">
          <cell r="J1">
            <v>1.7453292519943295E-2</v>
          </cell>
        </row>
      </sheetData>
      <sheetData sheetId="866">
        <row r="1">
          <cell r="J1">
            <v>1.7453292519943295E-2</v>
          </cell>
        </row>
      </sheetData>
      <sheetData sheetId="867">
        <row r="1">
          <cell r="J1">
            <v>1.7453292519943295E-2</v>
          </cell>
        </row>
      </sheetData>
      <sheetData sheetId="868">
        <row r="1">
          <cell r="J1">
            <v>1.7453292519943295E-2</v>
          </cell>
        </row>
      </sheetData>
      <sheetData sheetId="869">
        <row r="1">
          <cell r="J1">
            <v>1.7453292519943295E-2</v>
          </cell>
        </row>
      </sheetData>
      <sheetData sheetId="870">
        <row r="1">
          <cell r="J1">
            <v>1.7453292519943295E-2</v>
          </cell>
        </row>
      </sheetData>
      <sheetData sheetId="871">
        <row r="1">
          <cell r="J1">
            <v>1.7453292519943295E-2</v>
          </cell>
        </row>
      </sheetData>
      <sheetData sheetId="872">
        <row r="1">
          <cell r="J1">
            <v>1.7453292519943295E-2</v>
          </cell>
        </row>
      </sheetData>
      <sheetData sheetId="873">
        <row r="1">
          <cell r="J1">
            <v>1.7453292519943295E-2</v>
          </cell>
        </row>
      </sheetData>
      <sheetData sheetId="874">
        <row r="1">
          <cell r="J1">
            <v>1.7453292519943295E-2</v>
          </cell>
        </row>
      </sheetData>
      <sheetData sheetId="875">
        <row r="1">
          <cell r="J1">
            <v>1.7453292519943295E-2</v>
          </cell>
        </row>
      </sheetData>
      <sheetData sheetId="876">
        <row r="1">
          <cell r="J1">
            <v>1.7453292519943295E-2</v>
          </cell>
        </row>
      </sheetData>
      <sheetData sheetId="877">
        <row r="1">
          <cell r="J1">
            <v>1.7453292519943295E-2</v>
          </cell>
        </row>
      </sheetData>
      <sheetData sheetId="878">
        <row r="1">
          <cell r="J1">
            <v>1.7453292519943295E-2</v>
          </cell>
        </row>
      </sheetData>
      <sheetData sheetId="879">
        <row r="1">
          <cell r="J1">
            <v>1.7453292519943295E-2</v>
          </cell>
        </row>
      </sheetData>
      <sheetData sheetId="880">
        <row r="1">
          <cell r="J1">
            <v>1.7453292519943295E-2</v>
          </cell>
        </row>
      </sheetData>
      <sheetData sheetId="881">
        <row r="1">
          <cell r="J1">
            <v>1.7453292519943295E-2</v>
          </cell>
        </row>
      </sheetData>
      <sheetData sheetId="882">
        <row r="1">
          <cell r="J1">
            <v>1.7453292519943295E-2</v>
          </cell>
        </row>
      </sheetData>
      <sheetData sheetId="883">
        <row r="1">
          <cell r="J1">
            <v>1.7453292519943295E-2</v>
          </cell>
        </row>
      </sheetData>
      <sheetData sheetId="884">
        <row r="1">
          <cell r="J1">
            <v>1.7453292519943295E-2</v>
          </cell>
        </row>
      </sheetData>
      <sheetData sheetId="885">
        <row r="1">
          <cell r="J1">
            <v>1.7453292519943295E-2</v>
          </cell>
        </row>
      </sheetData>
      <sheetData sheetId="886">
        <row r="1">
          <cell r="J1">
            <v>1.7453292519943295E-2</v>
          </cell>
        </row>
      </sheetData>
      <sheetData sheetId="887">
        <row r="1">
          <cell r="J1">
            <v>1.7453292519943295E-2</v>
          </cell>
        </row>
      </sheetData>
      <sheetData sheetId="888">
        <row r="1">
          <cell r="J1">
            <v>1.7453292519943295E-2</v>
          </cell>
        </row>
      </sheetData>
      <sheetData sheetId="889">
        <row r="1">
          <cell r="J1">
            <v>1.7453292519943295E-2</v>
          </cell>
        </row>
      </sheetData>
      <sheetData sheetId="890">
        <row r="1">
          <cell r="J1">
            <v>1.7453292519943295E-2</v>
          </cell>
        </row>
      </sheetData>
      <sheetData sheetId="891">
        <row r="1">
          <cell r="J1">
            <v>1.7453292519943295E-2</v>
          </cell>
        </row>
      </sheetData>
      <sheetData sheetId="892">
        <row r="1">
          <cell r="J1">
            <v>1.7453292519943295E-2</v>
          </cell>
        </row>
      </sheetData>
      <sheetData sheetId="893">
        <row r="1">
          <cell r="J1">
            <v>1.7453292519943295E-2</v>
          </cell>
        </row>
      </sheetData>
      <sheetData sheetId="894">
        <row r="1">
          <cell r="J1">
            <v>1.7453292519943295E-2</v>
          </cell>
        </row>
      </sheetData>
      <sheetData sheetId="895">
        <row r="1">
          <cell r="J1">
            <v>1.7453292519943295E-2</v>
          </cell>
        </row>
      </sheetData>
      <sheetData sheetId="896">
        <row r="1">
          <cell r="J1">
            <v>1.7453292519943295E-2</v>
          </cell>
        </row>
      </sheetData>
      <sheetData sheetId="897">
        <row r="1">
          <cell r="J1">
            <v>1.7453292519943295E-2</v>
          </cell>
        </row>
      </sheetData>
      <sheetData sheetId="898">
        <row r="1">
          <cell r="J1">
            <v>1.7453292519943295E-2</v>
          </cell>
        </row>
      </sheetData>
      <sheetData sheetId="899">
        <row r="1">
          <cell r="J1">
            <v>1.7453292519943295E-2</v>
          </cell>
        </row>
      </sheetData>
      <sheetData sheetId="900">
        <row r="1">
          <cell r="J1">
            <v>1.7453292519943295E-2</v>
          </cell>
        </row>
      </sheetData>
      <sheetData sheetId="901">
        <row r="1">
          <cell r="J1">
            <v>1.7453292519943295E-2</v>
          </cell>
        </row>
      </sheetData>
      <sheetData sheetId="902">
        <row r="1">
          <cell r="J1">
            <v>1.7453292519943295E-2</v>
          </cell>
        </row>
      </sheetData>
      <sheetData sheetId="903">
        <row r="1">
          <cell r="J1">
            <v>1.7453292519943295E-2</v>
          </cell>
        </row>
      </sheetData>
      <sheetData sheetId="904">
        <row r="1">
          <cell r="J1">
            <v>1.7453292519943295E-2</v>
          </cell>
        </row>
      </sheetData>
      <sheetData sheetId="905">
        <row r="1">
          <cell r="J1">
            <v>1.7453292519943295E-2</v>
          </cell>
        </row>
      </sheetData>
      <sheetData sheetId="906">
        <row r="1">
          <cell r="J1">
            <v>1.7453292519943295E-2</v>
          </cell>
        </row>
      </sheetData>
      <sheetData sheetId="907">
        <row r="1">
          <cell r="J1">
            <v>1.7453292519943295E-2</v>
          </cell>
        </row>
      </sheetData>
      <sheetData sheetId="908">
        <row r="1">
          <cell r="J1">
            <v>1.7453292519943295E-2</v>
          </cell>
        </row>
      </sheetData>
      <sheetData sheetId="909">
        <row r="1">
          <cell r="J1">
            <v>1.7453292519943295E-2</v>
          </cell>
        </row>
      </sheetData>
      <sheetData sheetId="910">
        <row r="1">
          <cell r="J1">
            <v>1.7453292519943295E-2</v>
          </cell>
        </row>
      </sheetData>
      <sheetData sheetId="911">
        <row r="1">
          <cell r="J1">
            <v>1.7453292519943295E-2</v>
          </cell>
        </row>
      </sheetData>
      <sheetData sheetId="912">
        <row r="1">
          <cell r="J1">
            <v>1.7453292519943295E-2</v>
          </cell>
        </row>
      </sheetData>
      <sheetData sheetId="913">
        <row r="1">
          <cell r="J1">
            <v>1.7453292519943295E-2</v>
          </cell>
        </row>
      </sheetData>
      <sheetData sheetId="914">
        <row r="1">
          <cell r="J1">
            <v>1.7453292519943295E-2</v>
          </cell>
        </row>
      </sheetData>
      <sheetData sheetId="915">
        <row r="1">
          <cell r="J1">
            <v>1.7453292519943295E-2</v>
          </cell>
        </row>
      </sheetData>
      <sheetData sheetId="916">
        <row r="1">
          <cell r="J1">
            <v>1.7453292519943295E-2</v>
          </cell>
        </row>
      </sheetData>
      <sheetData sheetId="917">
        <row r="1">
          <cell r="J1">
            <v>1.7453292519943295E-2</v>
          </cell>
        </row>
      </sheetData>
      <sheetData sheetId="918">
        <row r="1">
          <cell r="J1">
            <v>1.7453292519943295E-2</v>
          </cell>
        </row>
      </sheetData>
      <sheetData sheetId="919">
        <row r="1">
          <cell r="J1">
            <v>1.7453292519943295E-2</v>
          </cell>
        </row>
      </sheetData>
      <sheetData sheetId="920">
        <row r="1">
          <cell r="J1">
            <v>1.7453292519943295E-2</v>
          </cell>
        </row>
      </sheetData>
      <sheetData sheetId="921">
        <row r="1">
          <cell r="J1">
            <v>1.7453292519943295E-2</v>
          </cell>
        </row>
      </sheetData>
      <sheetData sheetId="922">
        <row r="1">
          <cell r="J1">
            <v>1.7453292519943295E-2</v>
          </cell>
        </row>
      </sheetData>
      <sheetData sheetId="923">
        <row r="1">
          <cell r="J1">
            <v>1.7453292519943295E-2</v>
          </cell>
        </row>
      </sheetData>
      <sheetData sheetId="924">
        <row r="1">
          <cell r="J1">
            <v>1.7453292519943295E-2</v>
          </cell>
        </row>
      </sheetData>
      <sheetData sheetId="925">
        <row r="1">
          <cell r="J1">
            <v>1.7453292519943295E-2</v>
          </cell>
        </row>
      </sheetData>
      <sheetData sheetId="926">
        <row r="1">
          <cell r="J1">
            <v>1.7453292519943295E-2</v>
          </cell>
        </row>
      </sheetData>
      <sheetData sheetId="927">
        <row r="1">
          <cell r="J1">
            <v>1.7453292519943295E-2</v>
          </cell>
        </row>
      </sheetData>
      <sheetData sheetId="928">
        <row r="1">
          <cell r="J1">
            <v>1.7453292519943295E-2</v>
          </cell>
        </row>
      </sheetData>
      <sheetData sheetId="929">
        <row r="1">
          <cell r="J1">
            <v>1.7453292519943295E-2</v>
          </cell>
        </row>
      </sheetData>
      <sheetData sheetId="930">
        <row r="1">
          <cell r="J1">
            <v>1.7453292519943295E-2</v>
          </cell>
        </row>
      </sheetData>
      <sheetData sheetId="931">
        <row r="1">
          <cell r="J1">
            <v>1.7453292519943295E-2</v>
          </cell>
        </row>
      </sheetData>
      <sheetData sheetId="932">
        <row r="1">
          <cell r="J1">
            <v>1.7453292519943295E-2</v>
          </cell>
        </row>
      </sheetData>
      <sheetData sheetId="933">
        <row r="1">
          <cell r="J1">
            <v>1.7453292519943295E-2</v>
          </cell>
        </row>
      </sheetData>
      <sheetData sheetId="934">
        <row r="1">
          <cell r="J1">
            <v>1.7453292519943295E-2</v>
          </cell>
        </row>
      </sheetData>
      <sheetData sheetId="935">
        <row r="1">
          <cell r="J1">
            <v>1.7453292519943295E-2</v>
          </cell>
        </row>
      </sheetData>
      <sheetData sheetId="936">
        <row r="1">
          <cell r="J1">
            <v>1.7453292519943295E-2</v>
          </cell>
        </row>
      </sheetData>
      <sheetData sheetId="937">
        <row r="1">
          <cell r="J1">
            <v>1.7453292519943295E-2</v>
          </cell>
        </row>
      </sheetData>
      <sheetData sheetId="938">
        <row r="1">
          <cell r="J1">
            <v>1.7453292519943295E-2</v>
          </cell>
        </row>
      </sheetData>
      <sheetData sheetId="939">
        <row r="1">
          <cell r="J1">
            <v>1.7453292519943295E-2</v>
          </cell>
        </row>
      </sheetData>
      <sheetData sheetId="940">
        <row r="1">
          <cell r="J1">
            <v>1.7453292519943295E-2</v>
          </cell>
        </row>
      </sheetData>
      <sheetData sheetId="941">
        <row r="1">
          <cell r="J1">
            <v>1.7453292519943295E-2</v>
          </cell>
        </row>
      </sheetData>
      <sheetData sheetId="942">
        <row r="1">
          <cell r="J1">
            <v>1.7453292519943295E-2</v>
          </cell>
        </row>
      </sheetData>
      <sheetData sheetId="943">
        <row r="1">
          <cell r="J1">
            <v>1.7453292519943295E-2</v>
          </cell>
        </row>
      </sheetData>
      <sheetData sheetId="944">
        <row r="1">
          <cell r="J1">
            <v>1.7453292519943295E-2</v>
          </cell>
        </row>
      </sheetData>
      <sheetData sheetId="945">
        <row r="1">
          <cell r="J1">
            <v>1.7453292519943295E-2</v>
          </cell>
        </row>
      </sheetData>
      <sheetData sheetId="946">
        <row r="1">
          <cell r="J1">
            <v>1.7453292519943295E-2</v>
          </cell>
        </row>
      </sheetData>
      <sheetData sheetId="947">
        <row r="1">
          <cell r="J1">
            <v>1.7453292519943295E-2</v>
          </cell>
        </row>
      </sheetData>
      <sheetData sheetId="948">
        <row r="1">
          <cell r="J1">
            <v>1.7453292519943295E-2</v>
          </cell>
        </row>
      </sheetData>
      <sheetData sheetId="949">
        <row r="1">
          <cell r="J1">
            <v>1.7453292519943295E-2</v>
          </cell>
        </row>
      </sheetData>
      <sheetData sheetId="950">
        <row r="1">
          <cell r="J1">
            <v>1.7453292519943295E-2</v>
          </cell>
        </row>
      </sheetData>
      <sheetData sheetId="951">
        <row r="1">
          <cell r="J1">
            <v>1.7453292519943295E-2</v>
          </cell>
        </row>
      </sheetData>
      <sheetData sheetId="952">
        <row r="1">
          <cell r="J1">
            <v>1.7453292519943295E-2</v>
          </cell>
        </row>
      </sheetData>
      <sheetData sheetId="953">
        <row r="1">
          <cell r="J1">
            <v>1.7453292519943295E-2</v>
          </cell>
        </row>
      </sheetData>
      <sheetData sheetId="954">
        <row r="1">
          <cell r="J1">
            <v>1.7453292519943295E-2</v>
          </cell>
        </row>
      </sheetData>
      <sheetData sheetId="955">
        <row r="1">
          <cell r="J1">
            <v>1.7453292519943295E-2</v>
          </cell>
        </row>
      </sheetData>
      <sheetData sheetId="956">
        <row r="1">
          <cell r="J1">
            <v>1.7453292519943295E-2</v>
          </cell>
        </row>
      </sheetData>
      <sheetData sheetId="957">
        <row r="1">
          <cell r="J1">
            <v>1.7453292519943295E-2</v>
          </cell>
        </row>
      </sheetData>
      <sheetData sheetId="958">
        <row r="1">
          <cell r="J1">
            <v>1.7453292519943295E-2</v>
          </cell>
        </row>
      </sheetData>
      <sheetData sheetId="959">
        <row r="1">
          <cell r="J1">
            <v>1.7453292519943295E-2</v>
          </cell>
        </row>
      </sheetData>
      <sheetData sheetId="960">
        <row r="1">
          <cell r="J1">
            <v>1.7453292519943295E-2</v>
          </cell>
        </row>
      </sheetData>
      <sheetData sheetId="961">
        <row r="1">
          <cell r="J1">
            <v>1.7453292519943295E-2</v>
          </cell>
        </row>
      </sheetData>
      <sheetData sheetId="962">
        <row r="1">
          <cell r="J1">
            <v>1.7453292519943295E-2</v>
          </cell>
        </row>
      </sheetData>
      <sheetData sheetId="963">
        <row r="1">
          <cell r="J1">
            <v>1.7453292519943295E-2</v>
          </cell>
        </row>
      </sheetData>
      <sheetData sheetId="964">
        <row r="1">
          <cell r="J1">
            <v>1.7453292519943295E-2</v>
          </cell>
        </row>
      </sheetData>
      <sheetData sheetId="965">
        <row r="1">
          <cell r="J1">
            <v>1.7453292519943295E-2</v>
          </cell>
        </row>
      </sheetData>
      <sheetData sheetId="966">
        <row r="1">
          <cell r="J1">
            <v>1.7453292519943295E-2</v>
          </cell>
        </row>
      </sheetData>
      <sheetData sheetId="967">
        <row r="1">
          <cell r="J1">
            <v>1.7453292519943295E-2</v>
          </cell>
        </row>
      </sheetData>
      <sheetData sheetId="968">
        <row r="1">
          <cell r="J1">
            <v>1.7453292519943295E-2</v>
          </cell>
        </row>
      </sheetData>
      <sheetData sheetId="969">
        <row r="1">
          <cell r="J1">
            <v>1.7453292519943295E-2</v>
          </cell>
        </row>
      </sheetData>
      <sheetData sheetId="970">
        <row r="1">
          <cell r="J1">
            <v>1.7453292519943295E-2</v>
          </cell>
        </row>
      </sheetData>
      <sheetData sheetId="971">
        <row r="1">
          <cell r="J1">
            <v>1.7453292519943295E-2</v>
          </cell>
        </row>
      </sheetData>
      <sheetData sheetId="972">
        <row r="1">
          <cell r="J1">
            <v>1.7453292519943295E-2</v>
          </cell>
        </row>
      </sheetData>
      <sheetData sheetId="973">
        <row r="1">
          <cell r="J1">
            <v>1.7453292519943295E-2</v>
          </cell>
        </row>
      </sheetData>
      <sheetData sheetId="974">
        <row r="1">
          <cell r="J1">
            <v>1.7453292519943295E-2</v>
          </cell>
        </row>
      </sheetData>
      <sheetData sheetId="975">
        <row r="1">
          <cell r="J1">
            <v>1.7453292519943295E-2</v>
          </cell>
        </row>
      </sheetData>
      <sheetData sheetId="976">
        <row r="1">
          <cell r="J1">
            <v>1.7453292519943295E-2</v>
          </cell>
        </row>
      </sheetData>
      <sheetData sheetId="977">
        <row r="1">
          <cell r="J1">
            <v>1.7453292519943295E-2</v>
          </cell>
        </row>
      </sheetData>
      <sheetData sheetId="978">
        <row r="1">
          <cell r="J1">
            <v>1.7453292519943295E-2</v>
          </cell>
        </row>
      </sheetData>
      <sheetData sheetId="979">
        <row r="1">
          <cell r="J1">
            <v>1.7453292519943295E-2</v>
          </cell>
        </row>
      </sheetData>
      <sheetData sheetId="980">
        <row r="1">
          <cell r="J1">
            <v>1.7453292519943295E-2</v>
          </cell>
        </row>
      </sheetData>
      <sheetData sheetId="981">
        <row r="1">
          <cell r="J1">
            <v>1.7453292519943295E-2</v>
          </cell>
        </row>
      </sheetData>
      <sheetData sheetId="982">
        <row r="1">
          <cell r="J1">
            <v>1.7453292519943295E-2</v>
          </cell>
        </row>
      </sheetData>
      <sheetData sheetId="983">
        <row r="1">
          <cell r="J1">
            <v>1.7453292519943295E-2</v>
          </cell>
        </row>
      </sheetData>
      <sheetData sheetId="984">
        <row r="1">
          <cell r="J1">
            <v>1.7453292519943295E-2</v>
          </cell>
        </row>
      </sheetData>
      <sheetData sheetId="985">
        <row r="1">
          <cell r="J1">
            <v>1.7453292519943295E-2</v>
          </cell>
        </row>
      </sheetData>
      <sheetData sheetId="986">
        <row r="1">
          <cell r="J1">
            <v>1.7453292519943295E-2</v>
          </cell>
        </row>
      </sheetData>
      <sheetData sheetId="987">
        <row r="1">
          <cell r="J1">
            <v>1.7453292519943295E-2</v>
          </cell>
        </row>
      </sheetData>
      <sheetData sheetId="988">
        <row r="1">
          <cell r="J1">
            <v>1.7453292519943295E-2</v>
          </cell>
        </row>
      </sheetData>
      <sheetData sheetId="989">
        <row r="1">
          <cell r="J1">
            <v>1.7453292519943295E-2</v>
          </cell>
        </row>
      </sheetData>
      <sheetData sheetId="990">
        <row r="1">
          <cell r="J1">
            <v>1.7453292519943295E-2</v>
          </cell>
        </row>
      </sheetData>
      <sheetData sheetId="991">
        <row r="1">
          <cell r="J1">
            <v>1.7453292519943295E-2</v>
          </cell>
        </row>
      </sheetData>
      <sheetData sheetId="992">
        <row r="1">
          <cell r="J1">
            <v>1.7453292519943295E-2</v>
          </cell>
        </row>
      </sheetData>
      <sheetData sheetId="993">
        <row r="1">
          <cell r="J1">
            <v>1.7453292519943295E-2</v>
          </cell>
        </row>
      </sheetData>
      <sheetData sheetId="994">
        <row r="1">
          <cell r="J1">
            <v>1.7453292519943295E-2</v>
          </cell>
        </row>
      </sheetData>
      <sheetData sheetId="995">
        <row r="1">
          <cell r="J1">
            <v>1.7453292519943295E-2</v>
          </cell>
        </row>
      </sheetData>
      <sheetData sheetId="996">
        <row r="1">
          <cell r="J1">
            <v>1.7453292519943295E-2</v>
          </cell>
        </row>
      </sheetData>
      <sheetData sheetId="997">
        <row r="1">
          <cell r="J1">
            <v>1.7453292519943295E-2</v>
          </cell>
        </row>
      </sheetData>
      <sheetData sheetId="998">
        <row r="1">
          <cell r="J1">
            <v>1.7453292519943295E-2</v>
          </cell>
        </row>
      </sheetData>
      <sheetData sheetId="999">
        <row r="1">
          <cell r="J1">
            <v>1.7453292519943295E-2</v>
          </cell>
        </row>
      </sheetData>
      <sheetData sheetId="1000">
        <row r="1">
          <cell r="J1">
            <v>1.7453292519943295E-2</v>
          </cell>
        </row>
      </sheetData>
      <sheetData sheetId="1001">
        <row r="1">
          <cell r="J1">
            <v>1.7453292519943295E-2</v>
          </cell>
        </row>
      </sheetData>
      <sheetData sheetId="1002">
        <row r="1">
          <cell r="J1">
            <v>1.7453292519943295E-2</v>
          </cell>
        </row>
      </sheetData>
      <sheetData sheetId="1003">
        <row r="1">
          <cell r="J1">
            <v>1.7453292519943295E-2</v>
          </cell>
        </row>
      </sheetData>
      <sheetData sheetId="1004">
        <row r="1">
          <cell r="J1">
            <v>1.7453292519943295E-2</v>
          </cell>
        </row>
      </sheetData>
      <sheetData sheetId="1005">
        <row r="1">
          <cell r="J1">
            <v>1.7453292519943295E-2</v>
          </cell>
        </row>
      </sheetData>
      <sheetData sheetId="1006">
        <row r="1">
          <cell r="J1">
            <v>1.7453292519943295E-2</v>
          </cell>
        </row>
      </sheetData>
      <sheetData sheetId="1007">
        <row r="1">
          <cell r="J1">
            <v>1.7453292519943295E-2</v>
          </cell>
        </row>
      </sheetData>
      <sheetData sheetId="1008">
        <row r="1">
          <cell r="J1">
            <v>1.7453292519943295E-2</v>
          </cell>
        </row>
      </sheetData>
      <sheetData sheetId="1009">
        <row r="1">
          <cell r="J1">
            <v>1.7453292519943295E-2</v>
          </cell>
        </row>
      </sheetData>
      <sheetData sheetId="1010">
        <row r="1">
          <cell r="J1">
            <v>1.7453292519943295E-2</v>
          </cell>
        </row>
      </sheetData>
      <sheetData sheetId="1011">
        <row r="1">
          <cell r="J1">
            <v>1.7453292519943295E-2</v>
          </cell>
        </row>
      </sheetData>
      <sheetData sheetId="1012">
        <row r="1">
          <cell r="J1">
            <v>1.7453292519943295E-2</v>
          </cell>
        </row>
      </sheetData>
      <sheetData sheetId="1013">
        <row r="1">
          <cell r="J1">
            <v>1.7453292519943295E-2</v>
          </cell>
        </row>
      </sheetData>
      <sheetData sheetId="1014">
        <row r="1">
          <cell r="J1">
            <v>1.7453292519943295E-2</v>
          </cell>
        </row>
      </sheetData>
      <sheetData sheetId="1015">
        <row r="1">
          <cell r="J1">
            <v>1.7453292519943295E-2</v>
          </cell>
        </row>
      </sheetData>
      <sheetData sheetId="1016">
        <row r="1">
          <cell r="J1">
            <v>1.7453292519943295E-2</v>
          </cell>
        </row>
      </sheetData>
      <sheetData sheetId="1017">
        <row r="1">
          <cell r="J1">
            <v>1.7453292519943295E-2</v>
          </cell>
        </row>
      </sheetData>
      <sheetData sheetId="1018">
        <row r="1">
          <cell r="J1">
            <v>1.7453292519943295E-2</v>
          </cell>
        </row>
      </sheetData>
      <sheetData sheetId="1019">
        <row r="1">
          <cell r="J1">
            <v>1.7453292519943295E-2</v>
          </cell>
        </row>
      </sheetData>
      <sheetData sheetId="1020">
        <row r="1">
          <cell r="J1">
            <v>1.7453292519943295E-2</v>
          </cell>
        </row>
      </sheetData>
      <sheetData sheetId="1021">
        <row r="1">
          <cell r="J1">
            <v>1.7453292519943295E-2</v>
          </cell>
        </row>
      </sheetData>
      <sheetData sheetId="1022">
        <row r="1">
          <cell r="J1">
            <v>1.7453292519943295E-2</v>
          </cell>
        </row>
      </sheetData>
      <sheetData sheetId="1023">
        <row r="1">
          <cell r="J1">
            <v>1.7453292519943295E-2</v>
          </cell>
        </row>
      </sheetData>
      <sheetData sheetId="1024">
        <row r="1">
          <cell r="J1">
            <v>1.7453292519943295E-2</v>
          </cell>
        </row>
      </sheetData>
      <sheetData sheetId="1025">
        <row r="1">
          <cell r="J1">
            <v>1.7453292519943295E-2</v>
          </cell>
        </row>
      </sheetData>
      <sheetData sheetId="1026">
        <row r="1">
          <cell r="J1">
            <v>1.7453292519943295E-2</v>
          </cell>
        </row>
      </sheetData>
      <sheetData sheetId="1027">
        <row r="1">
          <cell r="J1">
            <v>1.7453292519943295E-2</v>
          </cell>
        </row>
      </sheetData>
      <sheetData sheetId="1028">
        <row r="1">
          <cell r="J1">
            <v>1.7453292519943295E-2</v>
          </cell>
        </row>
      </sheetData>
      <sheetData sheetId="1029">
        <row r="1">
          <cell r="J1">
            <v>1.7453292519943295E-2</v>
          </cell>
        </row>
      </sheetData>
      <sheetData sheetId="1030">
        <row r="1">
          <cell r="J1">
            <v>1.7453292519943295E-2</v>
          </cell>
        </row>
      </sheetData>
      <sheetData sheetId="1031">
        <row r="1">
          <cell r="J1">
            <v>1.7453292519943295E-2</v>
          </cell>
        </row>
      </sheetData>
      <sheetData sheetId="1032">
        <row r="1">
          <cell r="J1">
            <v>1.7453292519943295E-2</v>
          </cell>
        </row>
      </sheetData>
      <sheetData sheetId="1033">
        <row r="1">
          <cell r="J1">
            <v>1.7453292519943295E-2</v>
          </cell>
        </row>
      </sheetData>
      <sheetData sheetId="1034">
        <row r="1">
          <cell r="J1">
            <v>1.7453292519943295E-2</v>
          </cell>
        </row>
      </sheetData>
      <sheetData sheetId="1035">
        <row r="1">
          <cell r="J1">
            <v>1.7453292519943295E-2</v>
          </cell>
        </row>
      </sheetData>
      <sheetData sheetId="1036">
        <row r="1">
          <cell r="J1">
            <v>1.7453292519943295E-2</v>
          </cell>
        </row>
      </sheetData>
      <sheetData sheetId="1037">
        <row r="1">
          <cell r="J1">
            <v>1.7453292519943295E-2</v>
          </cell>
        </row>
      </sheetData>
      <sheetData sheetId="1038">
        <row r="1">
          <cell r="J1">
            <v>1.7453292519943295E-2</v>
          </cell>
        </row>
      </sheetData>
      <sheetData sheetId="1039">
        <row r="1">
          <cell r="J1">
            <v>1.7453292519943295E-2</v>
          </cell>
        </row>
      </sheetData>
      <sheetData sheetId="1040">
        <row r="1">
          <cell r="J1">
            <v>1.7453292519943295E-2</v>
          </cell>
        </row>
      </sheetData>
      <sheetData sheetId="1041">
        <row r="1">
          <cell r="J1">
            <v>1.7453292519943295E-2</v>
          </cell>
        </row>
      </sheetData>
      <sheetData sheetId="1042">
        <row r="1">
          <cell r="J1">
            <v>1.7453292519943295E-2</v>
          </cell>
        </row>
      </sheetData>
      <sheetData sheetId="1043">
        <row r="1">
          <cell r="J1">
            <v>1.7453292519943295E-2</v>
          </cell>
        </row>
      </sheetData>
      <sheetData sheetId="1044">
        <row r="1">
          <cell r="J1">
            <v>1.7453292519943295E-2</v>
          </cell>
        </row>
      </sheetData>
      <sheetData sheetId="1045">
        <row r="1">
          <cell r="J1">
            <v>1.7453292519943295E-2</v>
          </cell>
        </row>
      </sheetData>
      <sheetData sheetId="1046">
        <row r="1">
          <cell r="J1">
            <v>1.7453292519943295E-2</v>
          </cell>
        </row>
      </sheetData>
      <sheetData sheetId="1047">
        <row r="1">
          <cell r="J1">
            <v>1.7453292519943295E-2</v>
          </cell>
        </row>
      </sheetData>
      <sheetData sheetId="1048">
        <row r="1">
          <cell r="J1">
            <v>1.7453292519943295E-2</v>
          </cell>
        </row>
      </sheetData>
      <sheetData sheetId="1049">
        <row r="1">
          <cell r="J1">
            <v>1.7453292519943295E-2</v>
          </cell>
        </row>
      </sheetData>
      <sheetData sheetId="1050">
        <row r="1">
          <cell r="J1">
            <v>1.7453292519943295E-2</v>
          </cell>
        </row>
      </sheetData>
      <sheetData sheetId="1051">
        <row r="1">
          <cell r="J1">
            <v>1.7453292519943295E-2</v>
          </cell>
        </row>
      </sheetData>
      <sheetData sheetId="1052">
        <row r="1">
          <cell r="J1">
            <v>1.7453292519943295E-2</v>
          </cell>
        </row>
      </sheetData>
      <sheetData sheetId="1053">
        <row r="1">
          <cell r="J1">
            <v>1.7453292519943295E-2</v>
          </cell>
        </row>
      </sheetData>
      <sheetData sheetId="1054">
        <row r="1">
          <cell r="J1">
            <v>1.7453292519943295E-2</v>
          </cell>
        </row>
      </sheetData>
      <sheetData sheetId="1055">
        <row r="1">
          <cell r="J1">
            <v>1.7453292519943295E-2</v>
          </cell>
        </row>
      </sheetData>
      <sheetData sheetId="1056">
        <row r="1">
          <cell r="J1">
            <v>1.7453292519943295E-2</v>
          </cell>
        </row>
      </sheetData>
      <sheetData sheetId="1057">
        <row r="1">
          <cell r="J1">
            <v>1.7453292519943295E-2</v>
          </cell>
        </row>
      </sheetData>
      <sheetData sheetId="1058">
        <row r="1">
          <cell r="J1">
            <v>1.7453292519943295E-2</v>
          </cell>
        </row>
      </sheetData>
      <sheetData sheetId="1059">
        <row r="1">
          <cell r="J1">
            <v>1.7453292519943295E-2</v>
          </cell>
        </row>
      </sheetData>
      <sheetData sheetId="1060">
        <row r="1">
          <cell r="J1">
            <v>1.7453292519943295E-2</v>
          </cell>
        </row>
      </sheetData>
      <sheetData sheetId="1061">
        <row r="1">
          <cell r="J1">
            <v>1.7453292519943295E-2</v>
          </cell>
        </row>
      </sheetData>
      <sheetData sheetId="1062">
        <row r="1">
          <cell r="J1">
            <v>1.7453292519943295E-2</v>
          </cell>
        </row>
      </sheetData>
      <sheetData sheetId="1063">
        <row r="1">
          <cell r="J1">
            <v>1.7453292519943295E-2</v>
          </cell>
        </row>
      </sheetData>
      <sheetData sheetId="1064">
        <row r="1">
          <cell r="J1">
            <v>1.7453292519943295E-2</v>
          </cell>
        </row>
      </sheetData>
      <sheetData sheetId="1065">
        <row r="1">
          <cell r="J1">
            <v>1.7453292519943295E-2</v>
          </cell>
        </row>
      </sheetData>
      <sheetData sheetId="1066">
        <row r="1">
          <cell r="J1">
            <v>1.7453292519943295E-2</v>
          </cell>
        </row>
      </sheetData>
      <sheetData sheetId="1067">
        <row r="1">
          <cell r="J1">
            <v>1.7453292519943295E-2</v>
          </cell>
        </row>
      </sheetData>
      <sheetData sheetId="1068">
        <row r="1">
          <cell r="J1">
            <v>1.7453292519943295E-2</v>
          </cell>
        </row>
      </sheetData>
      <sheetData sheetId="1069">
        <row r="1">
          <cell r="J1">
            <v>1.7453292519943295E-2</v>
          </cell>
        </row>
      </sheetData>
      <sheetData sheetId="1070">
        <row r="1">
          <cell r="J1">
            <v>1.7453292519943295E-2</v>
          </cell>
        </row>
      </sheetData>
      <sheetData sheetId="1071">
        <row r="1">
          <cell r="J1">
            <v>1.7453292519943295E-2</v>
          </cell>
        </row>
      </sheetData>
      <sheetData sheetId="1072">
        <row r="1">
          <cell r="J1">
            <v>1.7453292519943295E-2</v>
          </cell>
        </row>
      </sheetData>
      <sheetData sheetId="1073">
        <row r="1">
          <cell r="J1">
            <v>1.7453292519943295E-2</v>
          </cell>
        </row>
      </sheetData>
      <sheetData sheetId="1074">
        <row r="1">
          <cell r="J1">
            <v>1.7453292519943295E-2</v>
          </cell>
        </row>
      </sheetData>
      <sheetData sheetId="1075">
        <row r="1">
          <cell r="J1">
            <v>1.7453292519943295E-2</v>
          </cell>
        </row>
      </sheetData>
      <sheetData sheetId="1076">
        <row r="1">
          <cell r="J1">
            <v>1.7453292519943295E-2</v>
          </cell>
        </row>
      </sheetData>
      <sheetData sheetId="1077">
        <row r="1">
          <cell r="J1">
            <v>1.7453292519943295E-2</v>
          </cell>
        </row>
      </sheetData>
      <sheetData sheetId="1078">
        <row r="1">
          <cell r="J1">
            <v>1.7453292519943295E-2</v>
          </cell>
        </row>
      </sheetData>
      <sheetData sheetId="1079">
        <row r="1">
          <cell r="J1">
            <v>1.7453292519943295E-2</v>
          </cell>
        </row>
      </sheetData>
      <sheetData sheetId="1080">
        <row r="1">
          <cell r="J1">
            <v>1.7453292519943295E-2</v>
          </cell>
        </row>
      </sheetData>
      <sheetData sheetId="1081">
        <row r="1">
          <cell r="J1">
            <v>1.7453292519943295E-2</v>
          </cell>
        </row>
      </sheetData>
      <sheetData sheetId="1082">
        <row r="1">
          <cell r="J1">
            <v>1.7453292519943295E-2</v>
          </cell>
        </row>
      </sheetData>
      <sheetData sheetId="1083">
        <row r="1">
          <cell r="J1">
            <v>1.7453292519943295E-2</v>
          </cell>
        </row>
      </sheetData>
      <sheetData sheetId="1084">
        <row r="1">
          <cell r="J1">
            <v>1.7453292519943295E-2</v>
          </cell>
        </row>
      </sheetData>
      <sheetData sheetId="1085">
        <row r="1">
          <cell r="J1">
            <v>1.7453292519943295E-2</v>
          </cell>
        </row>
      </sheetData>
      <sheetData sheetId="1086">
        <row r="1">
          <cell r="J1">
            <v>1.7453292519943295E-2</v>
          </cell>
        </row>
      </sheetData>
      <sheetData sheetId="1087">
        <row r="1">
          <cell r="J1">
            <v>1.7453292519943295E-2</v>
          </cell>
        </row>
      </sheetData>
      <sheetData sheetId="1088">
        <row r="1">
          <cell r="J1">
            <v>1.7453292519943295E-2</v>
          </cell>
        </row>
      </sheetData>
      <sheetData sheetId="1089">
        <row r="1">
          <cell r="J1">
            <v>1.7453292519943295E-2</v>
          </cell>
        </row>
      </sheetData>
      <sheetData sheetId="1090">
        <row r="1">
          <cell r="J1">
            <v>1.7453292519943295E-2</v>
          </cell>
        </row>
      </sheetData>
      <sheetData sheetId="1091">
        <row r="1">
          <cell r="J1">
            <v>1.7453292519943295E-2</v>
          </cell>
        </row>
      </sheetData>
      <sheetData sheetId="1092">
        <row r="1">
          <cell r="J1">
            <v>1.7453292519943295E-2</v>
          </cell>
        </row>
      </sheetData>
      <sheetData sheetId="1093">
        <row r="1">
          <cell r="J1">
            <v>1.7453292519943295E-2</v>
          </cell>
        </row>
      </sheetData>
      <sheetData sheetId="1094">
        <row r="1">
          <cell r="J1">
            <v>1.7453292519943295E-2</v>
          </cell>
        </row>
      </sheetData>
      <sheetData sheetId="1095">
        <row r="1">
          <cell r="J1">
            <v>1.7453292519943295E-2</v>
          </cell>
        </row>
      </sheetData>
      <sheetData sheetId="1096">
        <row r="1">
          <cell r="J1">
            <v>1.7453292519943295E-2</v>
          </cell>
        </row>
      </sheetData>
      <sheetData sheetId="1097">
        <row r="1">
          <cell r="J1">
            <v>1.7453292519943295E-2</v>
          </cell>
        </row>
      </sheetData>
      <sheetData sheetId="1098">
        <row r="1">
          <cell r="J1">
            <v>1.7453292519943295E-2</v>
          </cell>
        </row>
      </sheetData>
      <sheetData sheetId="1099">
        <row r="1">
          <cell r="J1">
            <v>1.7453292519943295E-2</v>
          </cell>
        </row>
      </sheetData>
      <sheetData sheetId="1100">
        <row r="1">
          <cell r="J1">
            <v>1.7453292519943295E-2</v>
          </cell>
        </row>
      </sheetData>
      <sheetData sheetId="1101">
        <row r="1">
          <cell r="J1">
            <v>1.7453292519943295E-2</v>
          </cell>
        </row>
      </sheetData>
      <sheetData sheetId="1102">
        <row r="1">
          <cell r="J1">
            <v>1.7453292519943295E-2</v>
          </cell>
        </row>
      </sheetData>
      <sheetData sheetId="1103">
        <row r="1">
          <cell r="J1">
            <v>1.7453292519943295E-2</v>
          </cell>
        </row>
      </sheetData>
      <sheetData sheetId="1104">
        <row r="1">
          <cell r="J1">
            <v>1.7453292519943295E-2</v>
          </cell>
        </row>
      </sheetData>
      <sheetData sheetId="1105">
        <row r="1">
          <cell r="J1">
            <v>1.7453292519943295E-2</v>
          </cell>
        </row>
      </sheetData>
      <sheetData sheetId="1106">
        <row r="1">
          <cell r="J1">
            <v>1.7453292519943295E-2</v>
          </cell>
        </row>
      </sheetData>
      <sheetData sheetId="1107">
        <row r="1">
          <cell r="J1">
            <v>1.7453292519943295E-2</v>
          </cell>
        </row>
      </sheetData>
      <sheetData sheetId="1108">
        <row r="1">
          <cell r="J1">
            <v>1.7453292519943295E-2</v>
          </cell>
        </row>
      </sheetData>
      <sheetData sheetId="1109">
        <row r="1">
          <cell r="J1">
            <v>1.7453292519943295E-2</v>
          </cell>
        </row>
      </sheetData>
      <sheetData sheetId="1110">
        <row r="1">
          <cell r="J1">
            <v>1.7453292519943295E-2</v>
          </cell>
        </row>
      </sheetData>
      <sheetData sheetId="1111">
        <row r="1">
          <cell r="J1">
            <v>1.7453292519943295E-2</v>
          </cell>
        </row>
      </sheetData>
      <sheetData sheetId="1112">
        <row r="1">
          <cell r="J1">
            <v>1.7453292519943295E-2</v>
          </cell>
        </row>
      </sheetData>
      <sheetData sheetId="1113">
        <row r="1">
          <cell r="J1">
            <v>1.7453292519943295E-2</v>
          </cell>
        </row>
      </sheetData>
      <sheetData sheetId="1114">
        <row r="1">
          <cell r="J1">
            <v>1.7453292519943295E-2</v>
          </cell>
        </row>
      </sheetData>
      <sheetData sheetId="1115">
        <row r="1">
          <cell r="J1">
            <v>1.7453292519943295E-2</v>
          </cell>
        </row>
      </sheetData>
      <sheetData sheetId="1116">
        <row r="1">
          <cell r="J1">
            <v>1.7453292519943295E-2</v>
          </cell>
        </row>
      </sheetData>
      <sheetData sheetId="1117">
        <row r="1">
          <cell r="J1">
            <v>1.7453292519943295E-2</v>
          </cell>
        </row>
      </sheetData>
      <sheetData sheetId="1118">
        <row r="1">
          <cell r="J1">
            <v>1.7453292519943295E-2</v>
          </cell>
        </row>
      </sheetData>
      <sheetData sheetId="1119">
        <row r="1">
          <cell r="J1">
            <v>1.7453292519943295E-2</v>
          </cell>
        </row>
      </sheetData>
      <sheetData sheetId="1120">
        <row r="1">
          <cell r="J1">
            <v>1.7453292519943295E-2</v>
          </cell>
        </row>
      </sheetData>
      <sheetData sheetId="1121">
        <row r="1">
          <cell r="J1">
            <v>1.7453292519943295E-2</v>
          </cell>
        </row>
      </sheetData>
      <sheetData sheetId="1122">
        <row r="1">
          <cell r="J1">
            <v>1.7453292519943295E-2</v>
          </cell>
        </row>
      </sheetData>
      <sheetData sheetId="1123">
        <row r="1">
          <cell r="J1">
            <v>1.7453292519943295E-2</v>
          </cell>
        </row>
      </sheetData>
      <sheetData sheetId="1124">
        <row r="1">
          <cell r="J1">
            <v>1.7453292519943295E-2</v>
          </cell>
        </row>
      </sheetData>
      <sheetData sheetId="1125">
        <row r="1">
          <cell r="J1">
            <v>1.7453292519943295E-2</v>
          </cell>
        </row>
      </sheetData>
      <sheetData sheetId="1126">
        <row r="1">
          <cell r="J1">
            <v>1.7453292519943295E-2</v>
          </cell>
        </row>
      </sheetData>
      <sheetData sheetId="1127">
        <row r="1">
          <cell r="J1">
            <v>1.7453292519943295E-2</v>
          </cell>
        </row>
      </sheetData>
      <sheetData sheetId="1128">
        <row r="1">
          <cell r="J1">
            <v>1.7453292519943295E-2</v>
          </cell>
        </row>
      </sheetData>
      <sheetData sheetId="1129">
        <row r="1">
          <cell r="J1">
            <v>1.7453292519943295E-2</v>
          </cell>
        </row>
      </sheetData>
      <sheetData sheetId="1130">
        <row r="1">
          <cell r="J1">
            <v>1.7453292519943295E-2</v>
          </cell>
        </row>
      </sheetData>
      <sheetData sheetId="1131">
        <row r="1">
          <cell r="J1">
            <v>1.7453292519943295E-2</v>
          </cell>
        </row>
      </sheetData>
      <sheetData sheetId="1132">
        <row r="1">
          <cell r="J1">
            <v>1.7453292519943295E-2</v>
          </cell>
        </row>
      </sheetData>
      <sheetData sheetId="1133">
        <row r="1">
          <cell r="J1">
            <v>1.7453292519943295E-2</v>
          </cell>
        </row>
      </sheetData>
      <sheetData sheetId="1134">
        <row r="1">
          <cell r="J1">
            <v>1.7453292519943295E-2</v>
          </cell>
        </row>
      </sheetData>
      <sheetData sheetId="1135">
        <row r="1">
          <cell r="J1">
            <v>1.7453292519943295E-2</v>
          </cell>
        </row>
      </sheetData>
      <sheetData sheetId="1136">
        <row r="1">
          <cell r="J1">
            <v>1.7453292519943295E-2</v>
          </cell>
        </row>
      </sheetData>
      <sheetData sheetId="1137">
        <row r="1">
          <cell r="J1">
            <v>1.7453292519943295E-2</v>
          </cell>
        </row>
      </sheetData>
      <sheetData sheetId="1138">
        <row r="1">
          <cell r="J1">
            <v>1.7453292519943295E-2</v>
          </cell>
        </row>
      </sheetData>
      <sheetData sheetId="1139">
        <row r="1">
          <cell r="J1">
            <v>1.7453292519943295E-2</v>
          </cell>
        </row>
      </sheetData>
      <sheetData sheetId="1140">
        <row r="1">
          <cell r="J1">
            <v>1.7453292519943295E-2</v>
          </cell>
        </row>
      </sheetData>
      <sheetData sheetId="1141">
        <row r="1">
          <cell r="J1">
            <v>1.7453292519943295E-2</v>
          </cell>
        </row>
      </sheetData>
      <sheetData sheetId="1142">
        <row r="1">
          <cell r="J1">
            <v>1.7453292519943295E-2</v>
          </cell>
        </row>
      </sheetData>
      <sheetData sheetId="1143">
        <row r="1">
          <cell r="J1">
            <v>1.7453292519943295E-2</v>
          </cell>
        </row>
      </sheetData>
      <sheetData sheetId="1144">
        <row r="1">
          <cell r="J1">
            <v>1.7453292519943295E-2</v>
          </cell>
        </row>
      </sheetData>
      <sheetData sheetId="1145">
        <row r="1">
          <cell r="J1">
            <v>1.7453292519943295E-2</v>
          </cell>
        </row>
      </sheetData>
      <sheetData sheetId="1146">
        <row r="1">
          <cell r="J1">
            <v>1.7453292519943295E-2</v>
          </cell>
        </row>
      </sheetData>
      <sheetData sheetId="1147">
        <row r="1">
          <cell r="J1">
            <v>1.7453292519943295E-2</v>
          </cell>
        </row>
      </sheetData>
      <sheetData sheetId="1148">
        <row r="1">
          <cell r="J1">
            <v>1.7453292519943295E-2</v>
          </cell>
        </row>
      </sheetData>
      <sheetData sheetId="1149">
        <row r="1">
          <cell r="J1">
            <v>1.7453292519943295E-2</v>
          </cell>
        </row>
      </sheetData>
      <sheetData sheetId="1150">
        <row r="1">
          <cell r="J1">
            <v>1.7453292519943295E-2</v>
          </cell>
        </row>
      </sheetData>
      <sheetData sheetId="1151">
        <row r="1">
          <cell r="J1">
            <v>1.7453292519943295E-2</v>
          </cell>
        </row>
      </sheetData>
      <sheetData sheetId="1152">
        <row r="1">
          <cell r="J1">
            <v>1.7453292519943295E-2</v>
          </cell>
        </row>
      </sheetData>
      <sheetData sheetId="1153">
        <row r="1">
          <cell r="J1">
            <v>1.7453292519943295E-2</v>
          </cell>
        </row>
      </sheetData>
      <sheetData sheetId="1154">
        <row r="1">
          <cell r="J1">
            <v>1.7453292519943295E-2</v>
          </cell>
        </row>
      </sheetData>
      <sheetData sheetId="1155">
        <row r="1">
          <cell r="J1">
            <v>1.7453292519943295E-2</v>
          </cell>
        </row>
      </sheetData>
      <sheetData sheetId="1156">
        <row r="1">
          <cell r="J1">
            <v>1.7453292519943295E-2</v>
          </cell>
        </row>
      </sheetData>
      <sheetData sheetId="1157">
        <row r="1">
          <cell r="J1">
            <v>1.7453292519943295E-2</v>
          </cell>
        </row>
      </sheetData>
      <sheetData sheetId="1158">
        <row r="1">
          <cell r="J1">
            <v>1.7453292519943295E-2</v>
          </cell>
        </row>
      </sheetData>
      <sheetData sheetId="1159">
        <row r="1">
          <cell r="J1">
            <v>1.7453292519943295E-2</v>
          </cell>
        </row>
      </sheetData>
      <sheetData sheetId="1160">
        <row r="1">
          <cell r="J1">
            <v>1.7453292519943295E-2</v>
          </cell>
        </row>
      </sheetData>
      <sheetData sheetId="1161">
        <row r="1">
          <cell r="J1">
            <v>1.7453292519943295E-2</v>
          </cell>
        </row>
      </sheetData>
      <sheetData sheetId="1162">
        <row r="1">
          <cell r="J1">
            <v>1.7453292519943295E-2</v>
          </cell>
        </row>
      </sheetData>
      <sheetData sheetId="1163">
        <row r="1">
          <cell r="J1">
            <v>1.7453292519943295E-2</v>
          </cell>
        </row>
      </sheetData>
      <sheetData sheetId="1164">
        <row r="1">
          <cell r="J1">
            <v>1.7453292519943295E-2</v>
          </cell>
        </row>
      </sheetData>
      <sheetData sheetId="1165">
        <row r="1">
          <cell r="J1">
            <v>1.7453292519943295E-2</v>
          </cell>
        </row>
      </sheetData>
      <sheetData sheetId="1166">
        <row r="1">
          <cell r="J1">
            <v>1.7453292519943295E-2</v>
          </cell>
        </row>
      </sheetData>
      <sheetData sheetId="1167">
        <row r="1">
          <cell r="J1">
            <v>1.7453292519943295E-2</v>
          </cell>
        </row>
      </sheetData>
      <sheetData sheetId="1168">
        <row r="1">
          <cell r="J1">
            <v>1.7453292519943295E-2</v>
          </cell>
        </row>
      </sheetData>
      <sheetData sheetId="1169">
        <row r="1">
          <cell r="J1">
            <v>1.7453292519943295E-2</v>
          </cell>
        </row>
      </sheetData>
      <sheetData sheetId="1170">
        <row r="1">
          <cell r="J1">
            <v>1.7453292519943295E-2</v>
          </cell>
        </row>
      </sheetData>
      <sheetData sheetId="1171">
        <row r="1">
          <cell r="J1">
            <v>1.7453292519943295E-2</v>
          </cell>
        </row>
      </sheetData>
      <sheetData sheetId="1172">
        <row r="1">
          <cell r="J1">
            <v>1.7453292519943295E-2</v>
          </cell>
        </row>
      </sheetData>
      <sheetData sheetId="1173">
        <row r="1">
          <cell r="J1">
            <v>1.7453292519943295E-2</v>
          </cell>
        </row>
      </sheetData>
      <sheetData sheetId="1174">
        <row r="1">
          <cell r="J1">
            <v>1.7453292519943295E-2</v>
          </cell>
        </row>
      </sheetData>
      <sheetData sheetId="1175">
        <row r="1">
          <cell r="J1">
            <v>1.7453292519943295E-2</v>
          </cell>
        </row>
      </sheetData>
      <sheetData sheetId="1176">
        <row r="1">
          <cell r="J1">
            <v>1.7453292519943295E-2</v>
          </cell>
        </row>
      </sheetData>
      <sheetData sheetId="1177">
        <row r="1">
          <cell r="J1">
            <v>1.7453292519943295E-2</v>
          </cell>
        </row>
      </sheetData>
      <sheetData sheetId="1178">
        <row r="1">
          <cell r="J1">
            <v>1.7453292519943295E-2</v>
          </cell>
        </row>
      </sheetData>
      <sheetData sheetId="1179">
        <row r="1">
          <cell r="J1">
            <v>1.7453292519943295E-2</v>
          </cell>
        </row>
      </sheetData>
      <sheetData sheetId="1180">
        <row r="1">
          <cell r="J1">
            <v>1.7453292519943295E-2</v>
          </cell>
        </row>
      </sheetData>
      <sheetData sheetId="1181">
        <row r="1">
          <cell r="J1">
            <v>1.7453292519943295E-2</v>
          </cell>
        </row>
      </sheetData>
      <sheetData sheetId="1182">
        <row r="1">
          <cell r="J1">
            <v>1.7453292519943295E-2</v>
          </cell>
        </row>
      </sheetData>
      <sheetData sheetId="1183">
        <row r="1">
          <cell r="J1">
            <v>1.7453292519943295E-2</v>
          </cell>
        </row>
      </sheetData>
      <sheetData sheetId="1184">
        <row r="1">
          <cell r="J1">
            <v>1.7453292519943295E-2</v>
          </cell>
        </row>
      </sheetData>
      <sheetData sheetId="1185">
        <row r="1">
          <cell r="J1">
            <v>1.7453292519943295E-2</v>
          </cell>
        </row>
      </sheetData>
      <sheetData sheetId="1186">
        <row r="1">
          <cell r="J1">
            <v>1.7453292519943295E-2</v>
          </cell>
        </row>
      </sheetData>
      <sheetData sheetId="1187">
        <row r="1">
          <cell r="J1">
            <v>1.7453292519943295E-2</v>
          </cell>
        </row>
      </sheetData>
      <sheetData sheetId="1188">
        <row r="1">
          <cell r="J1">
            <v>1.7453292519943295E-2</v>
          </cell>
        </row>
      </sheetData>
      <sheetData sheetId="1189">
        <row r="1">
          <cell r="J1">
            <v>1.7453292519943295E-2</v>
          </cell>
        </row>
      </sheetData>
      <sheetData sheetId="1190">
        <row r="1">
          <cell r="J1">
            <v>1.7453292519943295E-2</v>
          </cell>
        </row>
      </sheetData>
      <sheetData sheetId="1191">
        <row r="1">
          <cell r="J1">
            <v>1.7453292519943295E-2</v>
          </cell>
        </row>
      </sheetData>
      <sheetData sheetId="1192">
        <row r="1">
          <cell r="J1">
            <v>1.7453292519943295E-2</v>
          </cell>
        </row>
      </sheetData>
      <sheetData sheetId="1193">
        <row r="1">
          <cell r="J1">
            <v>1.7453292519943295E-2</v>
          </cell>
        </row>
      </sheetData>
      <sheetData sheetId="1194">
        <row r="1">
          <cell r="J1">
            <v>1.7453292519943295E-2</v>
          </cell>
        </row>
      </sheetData>
      <sheetData sheetId="1195">
        <row r="1">
          <cell r="J1">
            <v>1.7453292519943295E-2</v>
          </cell>
        </row>
      </sheetData>
      <sheetData sheetId="1196">
        <row r="1">
          <cell r="J1">
            <v>1.7453292519943295E-2</v>
          </cell>
        </row>
      </sheetData>
      <sheetData sheetId="1197">
        <row r="1">
          <cell r="J1">
            <v>1.7453292519943295E-2</v>
          </cell>
        </row>
      </sheetData>
      <sheetData sheetId="1198">
        <row r="1">
          <cell r="J1">
            <v>1.7453292519943295E-2</v>
          </cell>
        </row>
      </sheetData>
      <sheetData sheetId="1199">
        <row r="1">
          <cell r="J1">
            <v>1.7453292519943295E-2</v>
          </cell>
        </row>
      </sheetData>
      <sheetData sheetId="1200">
        <row r="1">
          <cell r="J1">
            <v>1.7453292519943295E-2</v>
          </cell>
        </row>
      </sheetData>
      <sheetData sheetId="1201">
        <row r="1">
          <cell r="J1">
            <v>1.7453292519943295E-2</v>
          </cell>
        </row>
      </sheetData>
      <sheetData sheetId="1202">
        <row r="1">
          <cell r="J1">
            <v>1.7453292519943295E-2</v>
          </cell>
        </row>
      </sheetData>
      <sheetData sheetId="1203">
        <row r="1">
          <cell r="J1">
            <v>1.7453292519943295E-2</v>
          </cell>
        </row>
      </sheetData>
      <sheetData sheetId="1204">
        <row r="1">
          <cell r="J1">
            <v>1.7453292519943295E-2</v>
          </cell>
        </row>
      </sheetData>
      <sheetData sheetId="1205">
        <row r="1">
          <cell r="J1">
            <v>1.7453292519943295E-2</v>
          </cell>
        </row>
      </sheetData>
      <sheetData sheetId="1206">
        <row r="1">
          <cell r="J1">
            <v>1.7453292519943295E-2</v>
          </cell>
        </row>
      </sheetData>
      <sheetData sheetId="1207">
        <row r="1">
          <cell r="J1">
            <v>1.7453292519943295E-2</v>
          </cell>
        </row>
      </sheetData>
      <sheetData sheetId="1208">
        <row r="1">
          <cell r="J1">
            <v>1.7453292519943295E-2</v>
          </cell>
        </row>
      </sheetData>
      <sheetData sheetId="1209">
        <row r="1">
          <cell r="J1">
            <v>1.7453292519943295E-2</v>
          </cell>
        </row>
      </sheetData>
      <sheetData sheetId="1210">
        <row r="1">
          <cell r="J1">
            <v>1.7453292519943295E-2</v>
          </cell>
        </row>
      </sheetData>
      <sheetData sheetId="1211">
        <row r="1">
          <cell r="J1">
            <v>1.7453292519943295E-2</v>
          </cell>
        </row>
      </sheetData>
      <sheetData sheetId="1212">
        <row r="1">
          <cell r="J1">
            <v>1.7453292519943295E-2</v>
          </cell>
        </row>
      </sheetData>
      <sheetData sheetId="1213">
        <row r="1">
          <cell r="J1">
            <v>1.7453292519943295E-2</v>
          </cell>
        </row>
      </sheetData>
      <sheetData sheetId="1214">
        <row r="1">
          <cell r="J1">
            <v>1.7453292519943295E-2</v>
          </cell>
        </row>
      </sheetData>
      <sheetData sheetId="1215">
        <row r="1">
          <cell r="J1">
            <v>1.7453292519943295E-2</v>
          </cell>
        </row>
      </sheetData>
      <sheetData sheetId="1216">
        <row r="1">
          <cell r="J1">
            <v>1.7453292519943295E-2</v>
          </cell>
        </row>
      </sheetData>
      <sheetData sheetId="1217">
        <row r="1">
          <cell r="J1">
            <v>1.7453292519943295E-2</v>
          </cell>
        </row>
      </sheetData>
      <sheetData sheetId="1218">
        <row r="1">
          <cell r="J1">
            <v>1.7453292519943295E-2</v>
          </cell>
        </row>
      </sheetData>
      <sheetData sheetId="1219">
        <row r="1">
          <cell r="J1">
            <v>1.7453292519943295E-2</v>
          </cell>
        </row>
      </sheetData>
      <sheetData sheetId="1220">
        <row r="1">
          <cell r="J1">
            <v>1.7453292519943295E-2</v>
          </cell>
        </row>
      </sheetData>
      <sheetData sheetId="1221">
        <row r="1">
          <cell r="J1">
            <v>1.7453292519943295E-2</v>
          </cell>
        </row>
      </sheetData>
      <sheetData sheetId="1222">
        <row r="1">
          <cell r="J1">
            <v>1.7453292519943295E-2</v>
          </cell>
        </row>
      </sheetData>
      <sheetData sheetId="1223">
        <row r="1">
          <cell r="J1">
            <v>1.7453292519943295E-2</v>
          </cell>
        </row>
      </sheetData>
      <sheetData sheetId="1224">
        <row r="1">
          <cell r="J1">
            <v>1.7453292519943295E-2</v>
          </cell>
        </row>
      </sheetData>
      <sheetData sheetId="1225">
        <row r="1">
          <cell r="J1">
            <v>1.7453292519943295E-2</v>
          </cell>
        </row>
      </sheetData>
      <sheetData sheetId="1226">
        <row r="1">
          <cell r="J1">
            <v>1.7453292519943295E-2</v>
          </cell>
        </row>
      </sheetData>
      <sheetData sheetId="1227">
        <row r="1">
          <cell r="J1">
            <v>1.7453292519943295E-2</v>
          </cell>
        </row>
      </sheetData>
      <sheetData sheetId="1228">
        <row r="1">
          <cell r="J1">
            <v>1.7453292519943295E-2</v>
          </cell>
        </row>
      </sheetData>
      <sheetData sheetId="1229">
        <row r="1">
          <cell r="J1">
            <v>1.7453292519943295E-2</v>
          </cell>
        </row>
      </sheetData>
      <sheetData sheetId="1230">
        <row r="1">
          <cell r="J1">
            <v>1.7453292519943295E-2</v>
          </cell>
        </row>
      </sheetData>
      <sheetData sheetId="1231">
        <row r="1">
          <cell r="J1">
            <v>1.7453292519943295E-2</v>
          </cell>
        </row>
      </sheetData>
      <sheetData sheetId="1232">
        <row r="1">
          <cell r="J1">
            <v>1.7453292519943295E-2</v>
          </cell>
        </row>
      </sheetData>
      <sheetData sheetId="1233">
        <row r="1">
          <cell r="J1">
            <v>1.7453292519943295E-2</v>
          </cell>
        </row>
      </sheetData>
      <sheetData sheetId="1234">
        <row r="1">
          <cell r="J1">
            <v>1.7453292519943295E-2</v>
          </cell>
        </row>
      </sheetData>
      <sheetData sheetId="1235">
        <row r="1">
          <cell r="J1">
            <v>1.7453292519943295E-2</v>
          </cell>
        </row>
      </sheetData>
      <sheetData sheetId="1236">
        <row r="1">
          <cell r="J1">
            <v>1.7453292519943295E-2</v>
          </cell>
        </row>
      </sheetData>
      <sheetData sheetId="1237">
        <row r="1">
          <cell r="J1">
            <v>1.7453292519943295E-2</v>
          </cell>
        </row>
      </sheetData>
      <sheetData sheetId="1238">
        <row r="1">
          <cell r="J1">
            <v>1.7453292519943295E-2</v>
          </cell>
        </row>
      </sheetData>
      <sheetData sheetId="1239">
        <row r="1">
          <cell r="J1">
            <v>1.7453292519943295E-2</v>
          </cell>
        </row>
      </sheetData>
      <sheetData sheetId="1240">
        <row r="1">
          <cell r="J1">
            <v>1.7453292519943295E-2</v>
          </cell>
        </row>
      </sheetData>
      <sheetData sheetId="1241">
        <row r="1">
          <cell r="J1">
            <v>1.7453292519943295E-2</v>
          </cell>
        </row>
      </sheetData>
      <sheetData sheetId="1242">
        <row r="1">
          <cell r="J1">
            <v>1.7453292519943295E-2</v>
          </cell>
        </row>
      </sheetData>
      <sheetData sheetId="1243">
        <row r="1">
          <cell r="J1">
            <v>1.7453292519943295E-2</v>
          </cell>
        </row>
      </sheetData>
      <sheetData sheetId="1244">
        <row r="1">
          <cell r="J1">
            <v>1.7453292519943295E-2</v>
          </cell>
        </row>
      </sheetData>
      <sheetData sheetId="1245">
        <row r="1">
          <cell r="J1">
            <v>1.7453292519943295E-2</v>
          </cell>
        </row>
      </sheetData>
      <sheetData sheetId="1246">
        <row r="1">
          <cell r="J1">
            <v>1.7453292519943295E-2</v>
          </cell>
        </row>
      </sheetData>
      <sheetData sheetId="1247">
        <row r="1">
          <cell r="J1">
            <v>1.7453292519943295E-2</v>
          </cell>
        </row>
      </sheetData>
      <sheetData sheetId="1248">
        <row r="1">
          <cell r="J1">
            <v>1.7453292519943295E-2</v>
          </cell>
        </row>
      </sheetData>
      <sheetData sheetId="1249">
        <row r="1">
          <cell r="J1">
            <v>1.7453292519943295E-2</v>
          </cell>
        </row>
      </sheetData>
      <sheetData sheetId="1250">
        <row r="1">
          <cell r="J1">
            <v>1.7453292519943295E-2</v>
          </cell>
        </row>
      </sheetData>
      <sheetData sheetId="1251">
        <row r="1">
          <cell r="J1">
            <v>1.7453292519943295E-2</v>
          </cell>
        </row>
      </sheetData>
      <sheetData sheetId="1252">
        <row r="1">
          <cell r="J1">
            <v>1.7453292519943295E-2</v>
          </cell>
        </row>
      </sheetData>
      <sheetData sheetId="1253">
        <row r="1">
          <cell r="J1">
            <v>1.7453292519943295E-2</v>
          </cell>
        </row>
      </sheetData>
      <sheetData sheetId="1254">
        <row r="1">
          <cell r="J1">
            <v>1.7453292519943295E-2</v>
          </cell>
        </row>
      </sheetData>
      <sheetData sheetId="1255">
        <row r="1">
          <cell r="J1">
            <v>1.7453292519943295E-2</v>
          </cell>
        </row>
      </sheetData>
      <sheetData sheetId="1256">
        <row r="1">
          <cell r="J1">
            <v>1.7453292519943295E-2</v>
          </cell>
        </row>
      </sheetData>
      <sheetData sheetId="1257">
        <row r="1">
          <cell r="J1">
            <v>1.7453292519943295E-2</v>
          </cell>
        </row>
      </sheetData>
      <sheetData sheetId="1258">
        <row r="1">
          <cell r="J1">
            <v>1.7453292519943295E-2</v>
          </cell>
        </row>
      </sheetData>
      <sheetData sheetId="1259">
        <row r="1">
          <cell r="J1">
            <v>1.7453292519943295E-2</v>
          </cell>
        </row>
      </sheetData>
      <sheetData sheetId="1260">
        <row r="1">
          <cell r="J1">
            <v>1.7453292519943295E-2</v>
          </cell>
        </row>
      </sheetData>
      <sheetData sheetId="1261">
        <row r="1">
          <cell r="J1">
            <v>1.7453292519943295E-2</v>
          </cell>
        </row>
      </sheetData>
      <sheetData sheetId="1262">
        <row r="1">
          <cell r="J1">
            <v>1.7453292519943295E-2</v>
          </cell>
        </row>
      </sheetData>
      <sheetData sheetId="1263">
        <row r="1">
          <cell r="J1">
            <v>1.7453292519943295E-2</v>
          </cell>
        </row>
      </sheetData>
      <sheetData sheetId="1264">
        <row r="1">
          <cell r="J1">
            <v>1.7453292519943295E-2</v>
          </cell>
        </row>
      </sheetData>
      <sheetData sheetId="1265">
        <row r="1">
          <cell r="J1">
            <v>1.7453292519943295E-2</v>
          </cell>
        </row>
      </sheetData>
      <sheetData sheetId="1266">
        <row r="1">
          <cell r="J1">
            <v>1.7453292519943295E-2</v>
          </cell>
        </row>
      </sheetData>
      <sheetData sheetId="1267">
        <row r="1">
          <cell r="J1">
            <v>1.7453292519943295E-2</v>
          </cell>
        </row>
      </sheetData>
      <sheetData sheetId="1268">
        <row r="1">
          <cell r="J1">
            <v>1.7453292519943295E-2</v>
          </cell>
        </row>
      </sheetData>
      <sheetData sheetId="1269">
        <row r="1">
          <cell r="J1">
            <v>1.7453292519943295E-2</v>
          </cell>
        </row>
      </sheetData>
      <sheetData sheetId="1270">
        <row r="1">
          <cell r="J1">
            <v>1.7453292519943295E-2</v>
          </cell>
        </row>
      </sheetData>
      <sheetData sheetId="1271">
        <row r="1">
          <cell r="J1">
            <v>1.7453292519943295E-2</v>
          </cell>
        </row>
      </sheetData>
      <sheetData sheetId="1272">
        <row r="1">
          <cell r="J1">
            <v>1.7453292519943295E-2</v>
          </cell>
        </row>
      </sheetData>
      <sheetData sheetId="1273">
        <row r="1">
          <cell r="J1">
            <v>1.7453292519943295E-2</v>
          </cell>
        </row>
      </sheetData>
      <sheetData sheetId="1274">
        <row r="1">
          <cell r="J1">
            <v>1.7453292519943295E-2</v>
          </cell>
        </row>
      </sheetData>
      <sheetData sheetId="1275">
        <row r="1">
          <cell r="J1">
            <v>1.7453292519943295E-2</v>
          </cell>
        </row>
      </sheetData>
      <sheetData sheetId="1276">
        <row r="1">
          <cell r="J1">
            <v>1.7453292519943295E-2</v>
          </cell>
        </row>
      </sheetData>
      <sheetData sheetId="1277">
        <row r="1">
          <cell r="J1">
            <v>1.7453292519943295E-2</v>
          </cell>
        </row>
      </sheetData>
      <sheetData sheetId="1278">
        <row r="1">
          <cell r="J1">
            <v>1.7453292519943295E-2</v>
          </cell>
        </row>
      </sheetData>
      <sheetData sheetId="1279">
        <row r="1">
          <cell r="J1">
            <v>1.7453292519943295E-2</v>
          </cell>
        </row>
      </sheetData>
      <sheetData sheetId="1280">
        <row r="1">
          <cell r="J1">
            <v>1.7453292519943295E-2</v>
          </cell>
        </row>
      </sheetData>
      <sheetData sheetId="1281">
        <row r="1">
          <cell r="J1">
            <v>1.7453292519943295E-2</v>
          </cell>
        </row>
      </sheetData>
      <sheetData sheetId="1282">
        <row r="1">
          <cell r="J1">
            <v>1.7453292519943295E-2</v>
          </cell>
        </row>
      </sheetData>
      <sheetData sheetId="1283">
        <row r="1">
          <cell r="J1">
            <v>1.7453292519943295E-2</v>
          </cell>
        </row>
      </sheetData>
      <sheetData sheetId="1284">
        <row r="1">
          <cell r="J1">
            <v>1.7453292519943295E-2</v>
          </cell>
        </row>
      </sheetData>
      <sheetData sheetId="1285">
        <row r="1">
          <cell r="J1">
            <v>1.7453292519943295E-2</v>
          </cell>
        </row>
      </sheetData>
      <sheetData sheetId="1286">
        <row r="1">
          <cell r="J1">
            <v>1.7453292519943295E-2</v>
          </cell>
        </row>
      </sheetData>
      <sheetData sheetId="1287">
        <row r="1">
          <cell r="J1">
            <v>1.7453292519943295E-2</v>
          </cell>
        </row>
      </sheetData>
      <sheetData sheetId="1288">
        <row r="1">
          <cell r="J1">
            <v>1.7453292519943295E-2</v>
          </cell>
        </row>
      </sheetData>
      <sheetData sheetId="1289">
        <row r="1">
          <cell r="J1">
            <v>1.7453292519943295E-2</v>
          </cell>
        </row>
      </sheetData>
      <sheetData sheetId="1290">
        <row r="1">
          <cell r="J1">
            <v>1.7453292519943295E-2</v>
          </cell>
        </row>
      </sheetData>
      <sheetData sheetId="1291">
        <row r="1">
          <cell r="J1">
            <v>1.7453292519943295E-2</v>
          </cell>
        </row>
      </sheetData>
      <sheetData sheetId="1292">
        <row r="1">
          <cell r="J1">
            <v>1.7453292519943295E-2</v>
          </cell>
        </row>
      </sheetData>
      <sheetData sheetId="1293">
        <row r="1">
          <cell r="J1">
            <v>1.7453292519943295E-2</v>
          </cell>
        </row>
      </sheetData>
      <sheetData sheetId="1294">
        <row r="1">
          <cell r="J1">
            <v>1.7453292519943295E-2</v>
          </cell>
        </row>
      </sheetData>
      <sheetData sheetId="1295">
        <row r="1">
          <cell r="J1">
            <v>1.7453292519943295E-2</v>
          </cell>
        </row>
      </sheetData>
      <sheetData sheetId="1296">
        <row r="1">
          <cell r="J1">
            <v>1.7453292519943295E-2</v>
          </cell>
        </row>
      </sheetData>
      <sheetData sheetId="1297">
        <row r="1">
          <cell r="J1">
            <v>1.7453292519943295E-2</v>
          </cell>
        </row>
      </sheetData>
      <sheetData sheetId="1298">
        <row r="1">
          <cell r="J1">
            <v>1.7453292519943295E-2</v>
          </cell>
        </row>
      </sheetData>
      <sheetData sheetId="1299">
        <row r="1">
          <cell r="J1">
            <v>1.7453292519943295E-2</v>
          </cell>
        </row>
      </sheetData>
      <sheetData sheetId="1300">
        <row r="1">
          <cell r="J1">
            <v>1.7453292519943295E-2</v>
          </cell>
        </row>
      </sheetData>
      <sheetData sheetId="1301">
        <row r="1">
          <cell r="J1">
            <v>1.7453292519943295E-2</v>
          </cell>
        </row>
      </sheetData>
      <sheetData sheetId="1302">
        <row r="1">
          <cell r="J1">
            <v>1.7453292519943295E-2</v>
          </cell>
        </row>
      </sheetData>
      <sheetData sheetId="1303" refreshError="1"/>
      <sheetData sheetId="1304" refreshError="1"/>
      <sheetData sheetId="1305">
        <row r="1">
          <cell r="J1">
            <v>1.7453292519943295E-2</v>
          </cell>
        </row>
      </sheetData>
      <sheetData sheetId="1306">
        <row r="1">
          <cell r="J1">
            <v>1.7453292519943295E-2</v>
          </cell>
        </row>
      </sheetData>
      <sheetData sheetId="1307">
        <row r="1">
          <cell r="J1">
            <v>1.7453292519943295E-2</v>
          </cell>
        </row>
      </sheetData>
      <sheetData sheetId="1308">
        <row r="1">
          <cell r="J1">
            <v>1.7453292519943295E-2</v>
          </cell>
        </row>
      </sheetData>
      <sheetData sheetId="1309" refreshError="1"/>
      <sheetData sheetId="1310" refreshError="1"/>
      <sheetData sheetId="1311" refreshError="1"/>
      <sheetData sheetId="1312">
        <row r="1">
          <cell r="J1">
            <v>1.7453292519943295E-2</v>
          </cell>
        </row>
      </sheetData>
      <sheetData sheetId="1313">
        <row r="1">
          <cell r="J1">
            <v>1.7453292519943295E-2</v>
          </cell>
        </row>
      </sheetData>
      <sheetData sheetId="1314">
        <row r="1">
          <cell r="J1">
            <v>1.7453292519943295E-2</v>
          </cell>
        </row>
      </sheetData>
      <sheetData sheetId="1315">
        <row r="1">
          <cell r="J1">
            <v>1.7453292519943295E-2</v>
          </cell>
        </row>
      </sheetData>
      <sheetData sheetId="1316">
        <row r="1">
          <cell r="J1">
            <v>1.7453292519943295E-2</v>
          </cell>
        </row>
      </sheetData>
      <sheetData sheetId="1317">
        <row r="1">
          <cell r="J1">
            <v>1.7453292519943295E-2</v>
          </cell>
        </row>
      </sheetData>
      <sheetData sheetId="1318">
        <row r="1">
          <cell r="J1">
            <v>1.7453292519943295E-2</v>
          </cell>
        </row>
      </sheetData>
      <sheetData sheetId="1319">
        <row r="1">
          <cell r="J1">
            <v>1.7453292519943295E-2</v>
          </cell>
        </row>
      </sheetData>
      <sheetData sheetId="1320">
        <row r="1">
          <cell r="J1">
            <v>1.7453292519943295E-2</v>
          </cell>
        </row>
      </sheetData>
      <sheetData sheetId="1321">
        <row r="1">
          <cell r="J1">
            <v>1.7453292519943295E-2</v>
          </cell>
        </row>
      </sheetData>
      <sheetData sheetId="1322">
        <row r="1">
          <cell r="J1">
            <v>1.7453292519943295E-2</v>
          </cell>
        </row>
      </sheetData>
      <sheetData sheetId="1323">
        <row r="1">
          <cell r="J1">
            <v>1.7453292519943295E-2</v>
          </cell>
        </row>
      </sheetData>
      <sheetData sheetId="1324">
        <row r="1">
          <cell r="J1">
            <v>1.7453292519943295E-2</v>
          </cell>
        </row>
      </sheetData>
      <sheetData sheetId="1325">
        <row r="1">
          <cell r="J1">
            <v>1.7453292519943295E-2</v>
          </cell>
        </row>
      </sheetData>
      <sheetData sheetId="1326">
        <row r="1">
          <cell r="J1">
            <v>1.7453292519943295E-2</v>
          </cell>
        </row>
      </sheetData>
      <sheetData sheetId="1327">
        <row r="1">
          <cell r="J1">
            <v>1.7453292519943295E-2</v>
          </cell>
        </row>
      </sheetData>
      <sheetData sheetId="1328"/>
      <sheetData sheetId="1329"/>
      <sheetData sheetId="1330">
        <row r="1">
          <cell r="J1">
            <v>1.7453292519943295E-2</v>
          </cell>
        </row>
      </sheetData>
      <sheetData sheetId="1331">
        <row r="1">
          <cell r="J1">
            <v>1.7453292519943295E-2</v>
          </cell>
        </row>
      </sheetData>
      <sheetData sheetId="1332">
        <row r="1">
          <cell r="J1">
            <v>1.7453292519943295E-2</v>
          </cell>
        </row>
      </sheetData>
      <sheetData sheetId="1333">
        <row r="1">
          <cell r="J1">
            <v>1.7453292519943295E-2</v>
          </cell>
        </row>
      </sheetData>
      <sheetData sheetId="1334">
        <row r="1">
          <cell r="J1">
            <v>1.7453292519943295E-2</v>
          </cell>
        </row>
      </sheetData>
      <sheetData sheetId="1335">
        <row r="1">
          <cell r="J1">
            <v>1.7453292519943295E-2</v>
          </cell>
        </row>
      </sheetData>
      <sheetData sheetId="1336">
        <row r="1">
          <cell r="J1">
            <v>1.7453292519943295E-2</v>
          </cell>
        </row>
      </sheetData>
      <sheetData sheetId="1337">
        <row r="1">
          <cell r="J1">
            <v>1.7453292519943295E-2</v>
          </cell>
        </row>
      </sheetData>
      <sheetData sheetId="1338">
        <row r="1">
          <cell r="J1">
            <v>1.7453292519943295E-2</v>
          </cell>
        </row>
      </sheetData>
      <sheetData sheetId="1339">
        <row r="1">
          <cell r="J1">
            <v>1.7453292519943295E-2</v>
          </cell>
        </row>
      </sheetData>
      <sheetData sheetId="1340">
        <row r="1">
          <cell r="J1">
            <v>1.7453292519943295E-2</v>
          </cell>
        </row>
      </sheetData>
      <sheetData sheetId="1341">
        <row r="1">
          <cell r="J1">
            <v>1.7453292519943295E-2</v>
          </cell>
        </row>
      </sheetData>
      <sheetData sheetId="1342">
        <row r="1">
          <cell r="J1">
            <v>1.7453292519943295E-2</v>
          </cell>
        </row>
      </sheetData>
      <sheetData sheetId="1343">
        <row r="1">
          <cell r="J1">
            <v>1.7453292519943295E-2</v>
          </cell>
        </row>
      </sheetData>
      <sheetData sheetId="1344">
        <row r="1">
          <cell r="J1">
            <v>1.7453292519943295E-2</v>
          </cell>
        </row>
      </sheetData>
      <sheetData sheetId="1345">
        <row r="1">
          <cell r="J1">
            <v>1.7453292519943295E-2</v>
          </cell>
        </row>
      </sheetData>
      <sheetData sheetId="1346">
        <row r="1">
          <cell r="J1">
            <v>1.7453292519943295E-2</v>
          </cell>
        </row>
      </sheetData>
      <sheetData sheetId="1347">
        <row r="1">
          <cell r="J1">
            <v>1.7453292519943295E-2</v>
          </cell>
        </row>
      </sheetData>
      <sheetData sheetId="1348">
        <row r="1">
          <cell r="J1">
            <v>1.7453292519943295E-2</v>
          </cell>
        </row>
      </sheetData>
      <sheetData sheetId="1349">
        <row r="1">
          <cell r="J1">
            <v>1.7453292519943295E-2</v>
          </cell>
        </row>
      </sheetData>
      <sheetData sheetId="1350">
        <row r="1">
          <cell r="J1">
            <v>1.7453292519943295E-2</v>
          </cell>
        </row>
      </sheetData>
      <sheetData sheetId="1351">
        <row r="1">
          <cell r="J1">
            <v>1.7453292519943295E-2</v>
          </cell>
        </row>
      </sheetData>
      <sheetData sheetId="1352">
        <row r="1">
          <cell r="J1">
            <v>1.7453292519943295E-2</v>
          </cell>
        </row>
      </sheetData>
      <sheetData sheetId="1353">
        <row r="1">
          <cell r="J1">
            <v>1.7453292519943295E-2</v>
          </cell>
        </row>
      </sheetData>
      <sheetData sheetId="1354">
        <row r="1">
          <cell r="J1">
            <v>1.7453292519943295E-2</v>
          </cell>
        </row>
      </sheetData>
      <sheetData sheetId="1355">
        <row r="1">
          <cell r="J1">
            <v>1.7453292519943295E-2</v>
          </cell>
        </row>
      </sheetData>
      <sheetData sheetId="1356">
        <row r="1">
          <cell r="J1">
            <v>1.7453292519943295E-2</v>
          </cell>
        </row>
      </sheetData>
      <sheetData sheetId="1357">
        <row r="1">
          <cell r="J1">
            <v>1.7453292519943295E-2</v>
          </cell>
        </row>
      </sheetData>
      <sheetData sheetId="1358">
        <row r="1">
          <cell r="J1">
            <v>1.7453292519943295E-2</v>
          </cell>
        </row>
      </sheetData>
      <sheetData sheetId="1359">
        <row r="1">
          <cell r="J1">
            <v>1.7453292519943295E-2</v>
          </cell>
        </row>
      </sheetData>
      <sheetData sheetId="1360">
        <row r="1">
          <cell r="J1">
            <v>1.7453292519943295E-2</v>
          </cell>
        </row>
      </sheetData>
      <sheetData sheetId="1361">
        <row r="1">
          <cell r="J1">
            <v>1.7453292519943295E-2</v>
          </cell>
        </row>
      </sheetData>
      <sheetData sheetId="1362">
        <row r="1">
          <cell r="J1">
            <v>1.7453292519943295E-2</v>
          </cell>
        </row>
      </sheetData>
      <sheetData sheetId="1363">
        <row r="1">
          <cell r="J1">
            <v>1.7453292519943295E-2</v>
          </cell>
        </row>
      </sheetData>
      <sheetData sheetId="1364">
        <row r="1">
          <cell r="J1">
            <v>1.7453292519943295E-2</v>
          </cell>
        </row>
      </sheetData>
      <sheetData sheetId="1365">
        <row r="1">
          <cell r="J1">
            <v>1.7453292519943295E-2</v>
          </cell>
        </row>
      </sheetData>
      <sheetData sheetId="1366">
        <row r="1">
          <cell r="J1">
            <v>1.7453292519943295E-2</v>
          </cell>
        </row>
      </sheetData>
      <sheetData sheetId="1367">
        <row r="1">
          <cell r="J1">
            <v>1.7453292519943295E-2</v>
          </cell>
        </row>
      </sheetData>
      <sheetData sheetId="1368">
        <row r="1">
          <cell r="J1">
            <v>1.7453292519943295E-2</v>
          </cell>
        </row>
      </sheetData>
      <sheetData sheetId="1369">
        <row r="1">
          <cell r="J1">
            <v>1.7453292519943295E-2</v>
          </cell>
        </row>
      </sheetData>
      <sheetData sheetId="1370">
        <row r="1">
          <cell r="J1">
            <v>1.7453292519943295E-2</v>
          </cell>
        </row>
      </sheetData>
      <sheetData sheetId="1371">
        <row r="1">
          <cell r="J1">
            <v>1.7453292519943295E-2</v>
          </cell>
        </row>
      </sheetData>
      <sheetData sheetId="1372">
        <row r="1">
          <cell r="J1">
            <v>1.7453292519943295E-2</v>
          </cell>
        </row>
      </sheetData>
      <sheetData sheetId="1373">
        <row r="1">
          <cell r="J1">
            <v>1.7453292519943295E-2</v>
          </cell>
        </row>
      </sheetData>
      <sheetData sheetId="1374">
        <row r="1">
          <cell r="J1">
            <v>1.7453292519943295E-2</v>
          </cell>
        </row>
      </sheetData>
      <sheetData sheetId="1375">
        <row r="1">
          <cell r="J1">
            <v>1.7453292519943295E-2</v>
          </cell>
        </row>
      </sheetData>
      <sheetData sheetId="1376">
        <row r="1">
          <cell r="J1">
            <v>1.7453292519943295E-2</v>
          </cell>
        </row>
      </sheetData>
      <sheetData sheetId="1377">
        <row r="1">
          <cell r="J1">
            <v>1.7453292519943295E-2</v>
          </cell>
        </row>
      </sheetData>
      <sheetData sheetId="1378">
        <row r="1">
          <cell r="J1">
            <v>1.7453292519943295E-2</v>
          </cell>
        </row>
      </sheetData>
      <sheetData sheetId="1379">
        <row r="1">
          <cell r="J1">
            <v>1.7453292519943295E-2</v>
          </cell>
        </row>
      </sheetData>
      <sheetData sheetId="1380">
        <row r="1">
          <cell r="J1">
            <v>1.7453292519943295E-2</v>
          </cell>
        </row>
      </sheetData>
      <sheetData sheetId="1381">
        <row r="1">
          <cell r="J1">
            <v>1.7453292519943295E-2</v>
          </cell>
        </row>
      </sheetData>
      <sheetData sheetId="1382">
        <row r="1">
          <cell r="J1">
            <v>1.7453292519943295E-2</v>
          </cell>
        </row>
      </sheetData>
      <sheetData sheetId="1383">
        <row r="1">
          <cell r="J1">
            <v>1.7453292519943295E-2</v>
          </cell>
        </row>
      </sheetData>
      <sheetData sheetId="1384">
        <row r="1">
          <cell r="J1">
            <v>1.7453292519943295E-2</v>
          </cell>
        </row>
      </sheetData>
      <sheetData sheetId="1385">
        <row r="1">
          <cell r="J1">
            <v>1.7453292519943295E-2</v>
          </cell>
        </row>
      </sheetData>
      <sheetData sheetId="1386">
        <row r="1">
          <cell r="J1">
            <v>1.7453292519943295E-2</v>
          </cell>
        </row>
      </sheetData>
      <sheetData sheetId="1387">
        <row r="1">
          <cell r="J1">
            <v>1.7453292519943295E-2</v>
          </cell>
        </row>
      </sheetData>
      <sheetData sheetId="1388">
        <row r="1">
          <cell r="J1">
            <v>1.7453292519943295E-2</v>
          </cell>
        </row>
      </sheetData>
      <sheetData sheetId="1389">
        <row r="1">
          <cell r="J1">
            <v>1.7453292519943295E-2</v>
          </cell>
        </row>
      </sheetData>
      <sheetData sheetId="1390">
        <row r="1">
          <cell r="J1">
            <v>1.7453292519943295E-2</v>
          </cell>
        </row>
      </sheetData>
      <sheetData sheetId="1391">
        <row r="1">
          <cell r="J1">
            <v>1.7453292519943295E-2</v>
          </cell>
        </row>
      </sheetData>
      <sheetData sheetId="1392">
        <row r="1">
          <cell r="J1">
            <v>1.7453292519943295E-2</v>
          </cell>
        </row>
      </sheetData>
      <sheetData sheetId="1393">
        <row r="1">
          <cell r="J1">
            <v>1.7453292519943295E-2</v>
          </cell>
        </row>
      </sheetData>
      <sheetData sheetId="1394">
        <row r="1">
          <cell r="J1">
            <v>1.7453292519943295E-2</v>
          </cell>
        </row>
      </sheetData>
      <sheetData sheetId="1395">
        <row r="1">
          <cell r="J1">
            <v>1.7453292519943295E-2</v>
          </cell>
        </row>
      </sheetData>
      <sheetData sheetId="1396">
        <row r="1">
          <cell r="J1">
            <v>1.7453292519943295E-2</v>
          </cell>
        </row>
      </sheetData>
      <sheetData sheetId="1397">
        <row r="1">
          <cell r="J1">
            <v>1.7453292519943295E-2</v>
          </cell>
        </row>
      </sheetData>
      <sheetData sheetId="1398">
        <row r="1">
          <cell r="J1">
            <v>1.7453292519943295E-2</v>
          </cell>
        </row>
      </sheetData>
      <sheetData sheetId="1399">
        <row r="1">
          <cell r="J1">
            <v>1.7453292519943295E-2</v>
          </cell>
        </row>
      </sheetData>
      <sheetData sheetId="1400">
        <row r="1">
          <cell r="J1">
            <v>1.7453292519943295E-2</v>
          </cell>
        </row>
      </sheetData>
      <sheetData sheetId="1401">
        <row r="1">
          <cell r="J1">
            <v>1.7453292519943295E-2</v>
          </cell>
        </row>
      </sheetData>
      <sheetData sheetId="1402">
        <row r="1">
          <cell r="J1">
            <v>1.7453292519943295E-2</v>
          </cell>
        </row>
      </sheetData>
      <sheetData sheetId="1403">
        <row r="1">
          <cell r="J1">
            <v>1.7453292519943295E-2</v>
          </cell>
        </row>
      </sheetData>
      <sheetData sheetId="1404">
        <row r="1">
          <cell r="J1">
            <v>1.7453292519943295E-2</v>
          </cell>
        </row>
      </sheetData>
      <sheetData sheetId="1405">
        <row r="1">
          <cell r="J1">
            <v>1.7453292519943295E-2</v>
          </cell>
        </row>
      </sheetData>
      <sheetData sheetId="1406">
        <row r="1">
          <cell r="J1">
            <v>1.7453292519943295E-2</v>
          </cell>
        </row>
      </sheetData>
      <sheetData sheetId="1407">
        <row r="1">
          <cell r="J1">
            <v>1.7453292519943295E-2</v>
          </cell>
        </row>
      </sheetData>
      <sheetData sheetId="1408">
        <row r="1">
          <cell r="J1">
            <v>1.7453292519943295E-2</v>
          </cell>
        </row>
      </sheetData>
      <sheetData sheetId="1409">
        <row r="1">
          <cell r="J1">
            <v>1.7453292519943295E-2</v>
          </cell>
        </row>
      </sheetData>
      <sheetData sheetId="1410">
        <row r="1">
          <cell r="J1">
            <v>1.7453292519943295E-2</v>
          </cell>
        </row>
      </sheetData>
      <sheetData sheetId="1411">
        <row r="1">
          <cell r="J1">
            <v>1.7453292519943295E-2</v>
          </cell>
        </row>
      </sheetData>
      <sheetData sheetId="1412">
        <row r="1">
          <cell r="J1">
            <v>1.7453292519943295E-2</v>
          </cell>
        </row>
      </sheetData>
      <sheetData sheetId="1413">
        <row r="1">
          <cell r="J1">
            <v>1.7453292519943295E-2</v>
          </cell>
        </row>
      </sheetData>
      <sheetData sheetId="1414">
        <row r="1">
          <cell r="J1">
            <v>1.7453292519943295E-2</v>
          </cell>
        </row>
      </sheetData>
      <sheetData sheetId="1415">
        <row r="1">
          <cell r="J1">
            <v>1.7453292519943295E-2</v>
          </cell>
        </row>
      </sheetData>
      <sheetData sheetId="1416">
        <row r="1">
          <cell r="J1">
            <v>1.7453292519943295E-2</v>
          </cell>
        </row>
      </sheetData>
      <sheetData sheetId="1417">
        <row r="1">
          <cell r="J1">
            <v>1.7453292519943295E-2</v>
          </cell>
        </row>
      </sheetData>
      <sheetData sheetId="1418">
        <row r="1">
          <cell r="J1">
            <v>1.7453292519943295E-2</v>
          </cell>
        </row>
      </sheetData>
      <sheetData sheetId="1419">
        <row r="1">
          <cell r="J1">
            <v>1.7453292519943295E-2</v>
          </cell>
        </row>
      </sheetData>
      <sheetData sheetId="1420">
        <row r="1">
          <cell r="J1">
            <v>1.7453292519943295E-2</v>
          </cell>
        </row>
      </sheetData>
      <sheetData sheetId="1421">
        <row r="1">
          <cell r="J1">
            <v>1.7453292519943295E-2</v>
          </cell>
        </row>
      </sheetData>
      <sheetData sheetId="1422">
        <row r="1">
          <cell r="J1">
            <v>1.7453292519943295E-2</v>
          </cell>
        </row>
      </sheetData>
      <sheetData sheetId="1423">
        <row r="1">
          <cell r="J1">
            <v>1.7453292519943295E-2</v>
          </cell>
        </row>
      </sheetData>
      <sheetData sheetId="1424">
        <row r="1">
          <cell r="J1">
            <v>1.7453292519943295E-2</v>
          </cell>
        </row>
      </sheetData>
      <sheetData sheetId="1425">
        <row r="1">
          <cell r="J1">
            <v>1.7453292519943295E-2</v>
          </cell>
        </row>
      </sheetData>
      <sheetData sheetId="1426">
        <row r="1">
          <cell r="J1">
            <v>1.7453292519943295E-2</v>
          </cell>
        </row>
      </sheetData>
      <sheetData sheetId="1427">
        <row r="1">
          <cell r="J1">
            <v>1.7453292519943295E-2</v>
          </cell>
        </row>
      </sheetData>
      <sheetData sheetId="1428">
        <row r="1">
          <cell r="J1">
            <v>1.7453292519943295E-2</v>
          </cell>
        </row>
      </sheetData>
      <sheetData sheetId="1429">
        <row r="1">
          <cell r="J1">
            <v>1.7453292519943295E-2</v>
          </cell>
        </row>
      </sheetData>
      <sheetData sheetId="1430">
        <row r="1">
          <cell r="J1">
            <v>1.7453292519943295E-2</v>
          </cell>
        </row>
      </sheetData>
      <sheetData sheetId="1431">
        <row r="1">
          <cell r="J1">
            <v>1.7453292519943295E-2</v>
          </cell>
        </row>
      </sheetData>
      <sheetData sheetId="1432">
        <row r="1">
          <cell r="J1">
            <v>1.7453292519943295E-2</v>
          </cell>
        </row>
      </sheetData>
      <sheetData sheetId="1433">
        <row r="1">
          <cell r="J1">
            <v>1.7453292519943295E-2</v>
          </cell>
        </row>
      </sheetData>
      <sheetData sheetId="1434">
        <row r="1">
          <cell r="J1">
            <v>1.7453292519943295E-2</v>
          </cell>
        </row>
      </sheetData>
      <sheetData sheetId="1435">
        <row r="1">
          <cell r="J1">
            <v>1.7453292519943295E-2</v>
          </cell>
        </row>
      </sheetData>
      <sheetData sheetId="1436">
        <row r="1">
          <cell r="J1">
            <v>1.7453292519943295E-2</v>
          </cell>
        </row>
      </sheetData>
      <sheetData sheetId="1437">
        <row r="1">
          <cell r="J1">
            <v>1.7453292519943295E-2</v>
          </cell>
        </row>
      </sheetData>
      <sheetData sheetId="1438">
        <row r="1">
          <cell r="J1">
            <v>1.7453292519943295E-2</v>
          </cell>
        </row>
      </sheetData>
      <sheetData sheetId="1439">
        <row r="1">
          <cell r="J1">
            <v>1.7453292519943295E-2</v>
          </cell>
        </row>
      </sheetData>
      <sheetData sheetId="1440">
        <row r="1">
          <cell r="J1">
            <v>1.7453292519943295E-2</v>
          </cell>
        </row>
      </sheetData>
      <sheetData sheetId="1441">
        <row r="1">
          <cell r="J1">
            <v>1.7453292519943295E-2</v>
          </cell>
        </row>
      </sheetData>
      <sheetData sheetId="1442">
        <row r="1">
          <cell r="J1">
            <v>1.7453292519943295E-2</v>
          </cell>
        </row>
      </sheetData>
      <sheetData sheetId="1443">
        <row r="1">
          <cell r="J1">
            <v>1.7453292519943295E-2</v>
          </cell>
        </row>
      </sheetData>
      <sheetData sheetId="1444">
        <row r="1">
          <cell r="J1">
            <v>1.7453292519943295E-2</v>
          </cell>
        </row>
      </sheetData>
      <sheetData sheetId="1445">
        <row r="1">
          <cell r="J1">
            <v>1.7453292519943295E-2</v>
          </cell>
        </row>
      </sheetData>
      <sheetData sheetId="1446">
        <row r="1">
          <cell r="J1">
            <v>1.7453292519943295E-2</v>
          </cell>
        </row>
      </sheetData>
      <sheetData sheetId="1447">
        <row r="1">
          <cell r="J1">
            <v>1.7453292519943295E-2</v>
          </cell>
        </row>
      </sheetData>
      <sheetData sheetId="1448">
        <row r="1">
          <cell r="J1">
            <v>1.7453292519943295E-2</v>
          </cell>
        </row>
      </sheetData>
      <sheetData sheetId="1449">
        <row r="1">
          <cell r="J1">
            <v>1.7453292519943295E-2</v>
          </cell>
        </row>
      </sheetData>
      <sheetData sheetId="1450">
        <row r="1">
          <cell r="J1">
            <v>1.7453292519943295E-2</v>
          </cell>
        </row>
      </sheetData>
      <sheetData sheetId="1451">
        <row r="1">
          <cell r="J1">
            <v>1.7453292519943295E-2</v>
          </cell>
        </row>
      </sheetData>
      <sheetData sheetId="1452">
        <row r="1">
          <cell r="J1">
            <v>1.7453292519943295E-2</v>
          </cell>
        </row>
      </sheetData>
      <sheetData sheetId="1453">
        <row r="1">
          <cell r="J1">
            <v>1.7453292519943295E-2</v>
          </cell>
        </row>
      </sheetData>
      <sheetData sheetId="1454">
        <row r="1">
          <cell r="J1">
            <v>1.7453292519943295E-2</v>
          </cell>
        </row>
      </sheetData>
      <sheetData sheetId="1455">
        <row r="1">
          <cell r="J1">
            <v>1.7453292519943295E-2</v>
          </cell>
        </row>
      </sheetData>
      <sheetData sheetId="1456">
        <row r="1">
          <cell r="J1">
            <v>1.7453292519943295E-2</v>
          </cell>
        </row>
      </sheetData>
      <sheetData sheetId="1457">
        <row r="1">
          <cell r="J1">
            <v>1.7453292519943295E-2</v>
          </cell>
        </row>
      </sheetData>
      <sheetData sheetId="1458">
        <row r="1">
          <cell r="J1">
            <v>1.7453292519943295E-2</v>
          </cell>
        </row>
      </sheetData>
      <sheetData sheetId="1459">
        <row r="1">
          <cell r="J1">
            <v>1.7453292519943295E-2</v>
          </cell>
        </row>
      </sheetData>
      <sheetData sheetId="1460">
        <row r="1">
          <cell r="J1">
            <v>1.7453292519943295E-2</v>
          </cell>
        </row>
      </sheetData>
      <sheetData sheetId="1461">
        <row r="1">
          <cell r="J1">
            <v>1.7453292519943295E-2</v>
          </cell>
        </row>
      </sheetData>
      <sheetData sheetId="1462">
        <row r="1">
          <cell r="J1">
            <v>1.7453292519943295E-2</v>
          </cell>
        </row>
      </sheetData>
      <sheetData sheetId="1463">
        <row r="1">
          <cell r="J1">
            <v>1.7453292519943295E-2</v>
          </cell>
        </row>
      </sheetData>
      <sheetData sheetId="1464">
        <row r="1">
          <cell r="J1">
            <v>1.7453292519943295E-2</v>
          </cell>
        </row>
      </sheetData>
      <sheetData sheetId="1465">
        <row r="1">
          <cell r="J1">
            <v>1.7453292519943295E-2</v>
          </cell>
        </row>
      </sheetData>
      <sheetData sheetId="1466">
        <row r="1">
          <cell r="J1">
            <v>1.7453292519943295E-2</v>
          </cell>
        </row>
      </sheetData>
      <sheetData sheetId="1467">
        <row r="1">
          <cell r="J1">
            <v>1.7453292519943295E-2</v>
          </cell>
        </row>
      </sheetData>
      <sheetData sheetId="1468">
        <row r="1">
          <cell r="J1">
            <v>1.7453292519943295E-2</v>
          </cell>
        </row>
      </sheetData>
      <sheetData sheetId="1469">
        <row r="1">
          <cell r="J1">
            <v>1.7453292519943295E-2</v>
          </cell>
        </row>
      </sheetData>
      <sheetData sheetId="1470">
        <row r="1">
          <cell r="J1">
            <v>1.7453292519943295E-2</v>
          </cell>
        </row>
      </sheetData>
      <sheetData sheetId="1471">
        <row r="1">
          <cell r="J1">
            <v>1.7453292519943295E-2</v>
          </cell>
        </row>
      </sheetData>
      <sheetData sheetId="1472">
        <row r="1">
          <cell r="J1">
            <v>1.7453292519943295E-2</v>
          </cell>
        </row>
      </sheetData>
      <sheetData sheetId="1473">
        <row r="1">
          <cell r="J1">
            <v>1.7453292519943295E-2</v>
          </cell>
        </row>
      </sheetData>
      <sheetData sheetId="1474">
        <row r="1">
          <cell r="J1">
            <v>1.7453292519943295E-2</v>
          </cell>
        </row>
      </sheetData>
      <sheetData sheetId="1475">
        <row r="1">
          <cell r="J1">
            <v>1.7453292519943295E-2</v>
          </cell>
        </row>
      </sheetData>
      <sheetData sheetId="1476">
        <row r="1">
          <cell r="J1">
            <v>1.7453292519943295E-2</v>
          </cell>
        </row>
      </sheetData>
      <sheetData sheetId="1477">
        <row r="1">
          <cell r="J1">
            <v>1.7453292519943295E-2</v>
          </cell>
        </row>
      </sheetData>
      <sheetData sheetId="1478">
        <row r="1">
          <cell r="J1">
            <v>1.7453292519943295E-2</v>
          </cell>
        </row>
      </sheetData>
      <sheetData sheetId="1479">
        <row r="1">
          <cell r="J1">
            <v>1.7453292519943295E-2</v>
          </cell>
        </row>
      </sheetData>
      <sheetData sheetId="1480">
        <row r="1">
          <cell r="J1">
            <v>1.7453292519943295E-2</v>
          </cell>
        </row>
      </sheetData>
      <sheetData sheetId="1481">
        <row r="1">
          <cell r="J1">
            <v>1.7453292519943295E-2</v>
          </cell>
        </row>
      </sheetData>
      <sheetData sheetId="1482">
        <row r="1">
          <cell r="J1">
            <v>1.7453292519943295E-2</v>
          </cell>
        </row>
      </sheetData>
      <sheetData sheetId="1483">
        <row r="1">
          <cell r="J1">
            <v>1.7453292519943295E-2</v>
          </cell>
        </row>
      </sheetData>
      <sheetData sheetId="1484">
        <row r="1">
          <cell r="J1">
            <v>1.7453292519943295E-2</v>
          </cell>
        </row>
      </sheetData>
      <sheetData sheetId="1485">
        <row r="1">
          <cell r="J1">
            <v>1.7453292519943295E-2</v>
          </cell>
        </row>
      </sheetData>
      <sheetData sheetId="1486">
        <row r="1">
          <cell r="J1">
            <v>1.7453292519943295E-2</v>
          </cell>
        </row>
      </sheetData>
      <sheetData sheetId="1487">
        <row r="1">
          <cell r="J1">
            <v>1.7453292519943295E-2</v>
          </cell>
        </row>
      </sheetData>
      <sheetData sheetId="1488">
        <row r="1">
          <cell r="J1">
            <v>1.7453292519943295E-2</v>
          </cell>
        </row>
      </sheetData>
      <sheetData sheetId="1489">
        <row r="1">
          <cell r="J1">
            <v>1.7453292519943295E-2</v>
          </cell>
        </row>
      </sheetData>
      <sheetData sheetId="1490">
        <row r="1">
          <cell r="J1">
            <v>1.7453292519943295E-2</v>
          </cell>
        </row>
      </sheetData>
      <sheetData sheetId="1491">
        <row r="1">
          <cell r="J1">
            <v>1.7453292519943295E-2</v>
          </cell>
        </row>
      </sheetData>
      <sheetData sheetId="1492">
        <row r="1">
          <cell r="J1">
            <v>1.7453292519943295E-2</v>
          </cell>
        </row>
      </sheetData>
      <sheetData sheetId="1493">
        <row r="1">
          <cell r="J1">
            <v>1.7453292519943295E-2</v>
          </cell>
        </row>
      </sheetData>
      <sheetData sheetId="1494">
        <row r="1">
          <cell r="J1">
            <v>1.7453292519943295E-2</v>
          </cell>
        </row>
      </sheetData>
      <sheetData sheetId="1495">
        <row r="1">
          <cell r="J1">
            <v>1.7453292519943295E-2</v>
          </cell>
        </row>
      </sheetData>
      <sheetData sheetId="1496">
        <row r="1">
          <cell r="J1">
            <v>1.7453292519943295E-2</v>
          </cell>
        </row>
      </sheetData>
      <sheetData sheetId="1497">
        <row r="1">
          <cell r="J1">
            <v>1.7453292519943295E-2</v>
          </cell>
        </row>
      </sheetData>
      <sheetData sheetId="1498">
        <row r="1">
          <cell r="J1">
            <v>1.7453292519943295E-2</v>
          </cell>
        </row>
      </sheetData>
      <sheetData sheetId="1499">
        <row r="1">
          <cell r="J1">
            <v>1.7453292519943295E-2</v>
          </cell>
        </row>
      </sheetData>
      <sheetData sheetId="1500">
        <row r="1">
          <cell r="J1">
            <v>1.7453292519943295E-2</v>
          </cell>
        </row>
      </sheetData>
      <sheetData sheetId="1501">
        <row r="1">
          <cell r="J1">
            <v>1.7453292519943295E-2</v>
          </cell>
        </row>
      </sheetData>
      <sheetData sheetId="1502">
        <row r="1">
          <cell r="J1">
            <v>1.7453292519943295E-2</v>
          </cell>
        </row>
      </sheetData>
      <sheetData sheetId="1503">
        <row r="1">
          <cell r="J1">
            <v>1.7453292519943295E-2</v>
          </cell>
        </row>
      </sheetData>
      <sheetData sheetId="1504">
        <row r="1">
          <cell r="J1">
            <v>1.7453292519943295E-2</v>
          </cell>
        </row>
      </sheetData>
      <sheetData sheetId="1505">
        <row r="1">
          <cell r="J1">
            <v>1.7453292519943295E-2</v>
          </cell>
        </row>
      </sheetData>
      <sheetData sheetId="1506">
        <row r="1">
          <cell r="J1">
            <v>1.7453292519943295E-2</v>
          </cell>
        </row>
      </sheetData>
      <sheetData sheetId="1507">
        <row r="1">
          <cell r="J1">
            <v>1.7453292519943295E-2</v>
          </cell>
        </row>
      </sheetData>
      <sheetData sheetId="1508">
        <row r="1">
          <cell r="J1">
            <v>1.7453292519943295E-2</v>
          </cell>
        </row>
      </sheetData>
      <sheetData sheetId="1509">
        <row r="1">
          <cell r="J1">
            <v>1.7453292519943295E-2</v>
          </cell>
        </row>
      </sheetData>
      <sheetData sheetId="1510">
        <row r="1">
          <cell r="J1">
            <v>1.7453292519943295E-2</v>
          </cell>
        </row>
      </sheetData>
      <sheetData sheetId="1511">
        <row r="1">
          <cell r="J1">
            <v>1.7453292519943295E-2</v>
          </cell>
        </row>
      </sheetData>
      <sheetData sheetId="1512">
        <row r="1">
          <cell r="J1">
            <v>1.7453292519943295E-2</v>
          </cell>
        </row>
      </sheetData>
      <sheetData sheetId="1513">
        <row r="1">
          <cell r="J1">
            <v>1.7453292519943295E-2</v>
          </cell>
        </row>
      </sheetData>
      <sheetData sheetId="1514">
        <row r="1">
          <cell r="J1">
            <v>1.7453292519943295E-2</v>
          </cell>
        </row>
      </sheetData>
      <sheetData sheetId="1515">
        <row r="1">
          <cell r="J1">
            <v>1.7453292519943295E-2</v>
          </cell>
        </row>
      </sheetData>
      <sheetData sheetId="1516">
        <row r="1">
          <cell r="J1">
            <v>1.7453292519943295E-2</v>
          </cell>
        </row>
      </sheetData>
      <sheetData sheetId="1517">
        <row r="1">
          <cell r="J1">
            <v>1.7453292519943295E-2</v>
          </cell>
        </row>
      </sheetData>
      <sheetData sheetId="1518">
        <row r="1">
          <cell r="J1">
            <v>1.7453292519943295E-2</v>
          </cell>
        </row>
      </sheetData>
      <sheetData sheetId="1519">
        <row r="1">
          <cell r="J1">
            <v>1.7453292519943295E-2</v>
          </cell>
        </row>
      </sheetData>
      <sheetData sheetId="1520">
        <row r="1">
          <cell r="J1">
            <v>1.7453292519943295E-2</v>
          </cell>
        </row>
      </sheetData>
      <sheetData sheetId="1521">
        <row r="1">
          <cell r="J1">
            <v>1.7453292519943295E-2</v>
          </cell>
        </row>
      </sheetData>
      <sheetData sheetId="1522">
        <row r="1">
          <cell r="J1">
            <v>1.7453292519943295E-2</v>
          </cell>
        </row>
      </sheetData>
      <sheetData sheetId="1523">
        <row r="1">
          <cell r="J1">
            <v>1.7453292519943295E-2</v>
          </cell>
        </row>
      </sheetData>
      <sheetData sheetId="1524">
        <row r="1">
          <cell r="J1">
            <v>1.7453292519943295E-2</v>
          </cell>
        </row>
      </sheetData>
      <sheetData sheetId="1525">
        <row r="1">
          <cell r="J1">
            <v>1.7453292519943295E-2</v>
          </cell>
        </row>
      </sheetData>
      <sheetData sheetId="1526">
        <row r="1">
          <cell r="J1">
            <v>1.7453292519943295E-2</v>
          </cell>
        </row>
      </sheetData>
      <sheetData sheetId="1527">
        <row r="1">
          <cell r="J1">
            <v>1.7453292519943295E-2</v>
          </cell>
        </row>
      </sheetData>
      <sheetData sheetId="1528">
        <row r="1">
          <cell r="J1">
            <v>1.7453292519943295E-2</v>
          </cell>
        </row>
      </sheetData>
      <sheetData sheetId="1529">
        <row r="1">
          <cell r="J1">
            <v>1.7453292519943295E-2</v>
          </cell>
        </row>
      </sheetData>
      <sheetData sheetId="1530">
        <row r="1">
          <cell r="J1">
            <v>1.7453292519943295E-2</v>
          </cell>
        </row>
      </sheetData>
      <sheetData sheetId="1531">
        <row r="1">
          <cell r="J1">
            <v>1.7453292519943295E-2</v>
          </cell>
        </row>
      </sheetData>
      <sheetData sheetId="1532">
        <row r="1">
          <cell r="J1">
            <v>1.7453292519943295E-2</v>
          </cell>
        </row>
      </sheetData>
      <sheetData sheetId="1533">
        <row r="1">
          <cell r="J1">
            <v>1.7453292519943295E-2</v>
          </cell>
        </row>
      </sheetData>
      <sheetData sheetId="1534">
        <row r="1">
          <cell r="J1">
            <v>1.7453292519943295E-2</v>
          </cell>
        </row>
      </sheetData>
      <sheetData sheetId="1535">
        <row r="1">
          <cell r="J1">
            <v>1.7453292519943295E-2</v>
          </cell>
        </row>
      </sheetData>
      <sheetData sheetId="1536">
        <row r="1">
          <cell r="J1">
            <v>1.7453292519943295E-2</v>
          </cell>
        </row>
      </sheetData>
      <sheetData sheetId="1537">
        <row r="1">
          <cell r="J1">
            <v>1.7453292519943295E-2</v>
          </cell>
        </row>
      </sheetData>
      <sheetData sheetId="1538">
        <row r="1">
          <cell r="J1">
            <v>1.7453292519943295E-2</v>
          </cell>
        </row>
      </sheetData>
      <sheetData sheetId="1539">
        <row r="1">
          <cell r="J1">
            <v>1.7453292519943295E-2</v>
          </cell>
        </row>
      </sheetData>
      <sheetData sheetId="1540">
        <row r="1">
          <cell r="J1">
            <v>1.7453292519943295E-2</v>
          </cell>
        </row>
      </sheetData>
      <sheetData sheetId="1541">
        <row r="1">
          <cell r="J1">
            <v>1.7453292519943295E-2</v>
          </cell>
        </row>
      </sheetData>
      <sheetData sheetId="1542">
        <row r="1">
          <cell r="J1">
            <v>1.7453292519943295E-2</v>
          </cell>
        </row>
      </sheetData>
      <sheetData sheetId="1543">
        <row r="1">
          <cell r="J1">
            <v>1.7453292519943295E-2</v>
          </cell>
        </row>
      </sheetData>
      <sheetData sheetId="1544">
        <row r="1">
          <cell r="J1">
            <v>1.7453292519943295E-2</v>
          </cell>
        </row>
      </sheetData>
      <sheetData sheetId="1545">
        <row r="1">
          <cell r="J1">
            <v>1.7453292519943295E-2</v>
          </cell>
        </row>
      </sheetData>
      <sheetData sheetId="1546">
        <row r="1">
          <cell r="J1">
            <v>1.7453292519943295E-2</v>
          </cell>
        </row>
      </sheetData>
      <sheetData sheetId="1547">
        <row r="1">
          <cell r="J1">
            <v>1.7453292519943295E-2</v>
          </cell>
        </row>
      </sheetData>
      <sheetData sheetId="1548">
        <row r="1">
          <cell r="J1">
            <v>1.7453292519943295E-2</v>
          </cell>
        </row>
      </sheetData>
      <sheetData sheetId="1549">
        <row r="1">
          <cell r="J1">
            <v>1.7453292519943295E-2</v>
          </cell>
        </row>
      </sheetData>
      <sheetData sheetId="1550">
        <row r="1">
          <cell r="J1">
            <v>1.7453292519943295E-2</v>
          </cell>
        </row>
      </sheetData>
      <sheetData sheetId="1551">
        <row r="1">
          <cell r="J1">
            <v>1.7453292519943295E-2</v>
          </cell>
        </row>
      </sheetData>
      <sheetData sheetId="1552">
        <row r="1">
          <cell r="J1">
            <v>1.7453292519943295E-2</v>
          </cell>
        </row>
      </sheetData>
      <sheetData sheetId="1553">
        <row r="1">
          <cell r="J1">
            <v>1.7453292519943295E-2</v>
          </cell>
        </row>
      </sheetData>
      <sheetData sheetId="1554">
        <row r="1">
          <cell r="J1">
            <v>1.7453292519943295E-2</v>
          </cell>
        </row>
      </sheetData>
      <sheetData sheetId="1555">
        <row r="1">
          <cell r="J1">
            <v>1.7453292519943295E-2</v>
          </cell>
        </row>
      </sheetData>
      <sheetData sheetId="1556">
        <row r="1">
          <cell r="J1">
            <v>1.7453292519943295E-2</v>
          </cell>
        </row>
      </sheetData>
      <sheetData sheetId="1557">
        <row r="1">
          <cell r="J1">
            <v>1.7453292519943295E-2</v>
          </cell>
        </row>
      </sheetData>
      <sheetData sheetId="1558">
        <row r="1">
          <cell r="J1">
            <v>1.7453292519943295E-2</v>
          </cell>
        </row>
      </sheetData>
      <sheetData sheetId="1559">
        <row r="1">
          <cell r="J1">
            <v>1.7453292519943295E-2</v>
          </cell>
        </row>
      </sheetData>
      <sheetData sheetId="1560">
        <row r="1">
          <cell r="J1">
            <v>1.7453292519943295E-2</v>
          </cell>
        </row>
      </sheetData>
      <sheetData sheetId="1561">
        <row r="1">
          <cell r="J1">
            <v>1.7453292519943295E-2</v>
          </cell>
        </row>
      </sheetData>
      <sheetData sheetId="1562">
        <row r="1">
          <cell r="J1">
            <v>1.7453292519943295E-2</v>
          </cell>
        </row>
      </sheetData>
      <sheetData sheetId="1563">
        <row r="1">
          <cell r="J1">
            <v>1.7453292519943295E-2</v>
          </cell>
        </row>
      </sheetData>
      <sheetData sheetId="1564">
        <row r="1">
          <cell r="J1">
            <v>1.7453292519943295E-2</v>
          </cell>
        </row>
      </sheetData>
      <sheetData sheetId="1565">
        <row r="1">
          <cell r="J1">
            <v>1.7453292519943295E-2</v>
          </cell>
        </row>
      </sheetData>
      <sheetData sheetId="1566">
        <row r="1">
          <cell r="J1">
            <v>1.7453292519943295E-2</v>
          </cell>
        </row>
      </sheetData>
      <sheetData sheetId="1567">
        <row r="1">
          <cell r="J1">
            <v>1.7453292519943295E-2</v>
          </cell>
        </row>
      </sheetData>
      <sheetData sheetId="1568">
        <row r="1">
          <cell r="J1">
            <v>1.7453292519943295E-2</v>
          </cell>
        </row>
      </sheetData>
      <sheetData sheetId="1569">
        <row r="1">
          <cell r="J1">
            <v>1.7453292519943295E-2</v>
          </cell>
        </row>
      </sheetData>
      <sheetData sheetId="1570">
        <row r="1">
          <cell r="J1">
            <v>1.7453292519943295E-2</v>
          </cell>
        </row>
      </sheetData>
      <sheetData sheetId="1571">
        <row r="1">
          <cell r="J1">
            <v>1.7453292519943295E-2</v>
          </cell>
        </row>
      </sheetData>
      <sheetData sheetId="1572">
        <row r="1">
          <cell r="J1">
            <v>1.7453292519943295E-2</v>
          </cell>
        </row>
      </sheetData>
      <sheetData sheetId="1573">
        <row r="1">
          <cell r="J1">
            <v>1.7453292519943295E-2</v>
          </cell>
        </row>
      </sheetData>
      <sheetData sheetId="1574">
        <row r="1">
          <cell r="J1">
            <v>1.7453292519943295E-2</v>
          </cell>
        </row>
      </sheetData>
      <sheetData sheetId="1575">
        <row r="1">
          <cell r="J1">
            <v>1.7453292519943295E-2</v>
          </cell>
        </row>
      </sheetData>
      <sheetData sheetId="1576">
        <row r="1">
          <cell r="J1">
            <v>1.7453292519943295E-2</v>
          </cell>
        </row>
      </sheetData>
      <sheetData sheetId="1577">
        <row r="1">
          <cell r="J1">
            <v>1.7453292519943295E-2</v>
          </cell>
        </row>
      </sheetData>
      <sheetData sheetId="1578">
        <row r="1">
          <cell r="J1">
            <v>1.7453292519943295E-2</v>
          </cell>
        </row>
      </sheetData>
      <sheetData sheetId="1579">
        <row r="1">
          <cell r="J1">
            <v>1.7453292519943295E-2</v>
          </cell>
        </row>
      </sheetData>
      <sheetData sheetId="1580">
        <row r="1">
          <cell r="J1">
            <v>1.7453292519943295E-2</v>
          </cell>
        </row>
      </sheetData>
      <sheetData sheetId="1581">
        <row r="1">
          <cell r="J1">
            <v>1.7453292519943295E-2</v>
          </cell>
        </row>
      </sheetData>
      <sheetData sheetId="1582">
        <row r="1">
          <cell r="J1">
            <v>1.7453292519943295E-2</v>
          </cell>
        </row>
      </sheetData>
      <sheetData sheetId="1583">
        <row r="1">
          <cell r="J1">
            <v>1.7453292519943295E-2</v>
          </cell>
        </row>
      </sheetData>
      <sheetData sheetId="1584">
        <row r="1">
          <cell r="J1">
            <v>1.7453292519943295E-2</v>
          </cell>
        </row>
      </sheetData>
      <sheetData sheetId="1585">
        <row r="1">
          <cell r="J1">
            <v>1.7453292519943295E-2</v>
          </cell>
        </row>
      </sheetData>
      <sheetData sheetId="1586">
        <row r="1">
          <cell r="J1">
            <v>1.7453292519943295E-2</v>
          </cell>
        </row>
      </sheetData>
      <sheetData sheetId="1587">
        <row r="1">
          <cell r="J1">
            <v>1.7453292519943295E-2</v>
          </cell>
        </row>
      </sheetData>
      <sheetData sheetId="1588">
        <row r="1">
          <cell r="J1">
            <v>1.7453292519943295E-2</v>
          </cell>
        </row>
      </sheetData>
      <sheetData sheetId="1589">
        <row r="1">
          <cell r="J1">
            <v>1.7453292519943295E-2</v>
          </cell>
        </row>
      </sheetData>
      <sheetData sheetId="1590">
        <row r="1">
          <cell r="J1">
            <v>1.7453292519943295E-2</v>
          </cell>
        </row>
      </sheetData>
      <sheetData sheetId="1591">
        <row r="1">
          <cell r="J1">
            <v>1.7453292519943295E-2</v>
          </cell>
        </row>
      </sheetData>
      <sheetData sheetId="1592">
        <row r="1">
          <cell r="J1">
            <v>1.7453292519943295E-2</v>
          </cell>
        </row>
      </sheetData>
      <sheetData sheetId="1593">
        <row r="1">
          <cell r="J1">
            <v>1.7453292519943295E-2</v>
          </cell>
        </row>
      </sheetData>
      <sheetData sheetId="1594">
        <row r="1">
          <cell r="J1">
            <v>1.7453292519943295E-2</v>
          </cell>
        </row>
      </sheetData>
      <sheetData sheetId="1595">
        <row r="1">
          <cell r="J1">
            <v>1.7453292519943295E-2</v>
          </cell>
        </row>
      </sheetData>
      <sheetData sheetId="1596">
        <row r="1">
          <cell r="J1">
            <v>1.7453292519943295E-2</v>
          </cell>
        </row>
      </sheetData>
      <sheetData sheetId="1597">
        <row r="1">
          <cell r="J1">
            <v>1.7453292519943295E-2</v>
          </cell>
        </row>
      </sheetData>
      <sheetData sheetId="1598">
        <row r="1">
          <cell r="J1">
            <v>1.7453292519943295E-2</v>
          </cell>
        </row>
      </sheetData>
      <sheetData sheetId="1599">
        <row r="1">
          <cell r="J1">
            <v>1.7453292519943295E-2</v>
          </cell>
        </row>
      </sheetData>
      <sheetData sheetId="1600">
        <row r="1">
          <cell r="J1">
            <v>1.7453292519943295E-2</v>
          </cell>
        </row>
      </sheetData>
      <sheetData sheetId="1601">
        <row r="1">
          <cell r="J1">
            <v>1.7453292519943295E-2</v>
          </cell>
        </row>
      </sheetData>
      <sheetData sheetId="1602">
        <row r="1">
          <cell r="J1">
            <v>1.7453292519943295E-2</v>
          </cell>
        </row>
      </sheetData>
      <sheetData sheetId="1603">
        <row r="1">
          <cell r="J1">
            <v>1.7453292519943295E-2</v>
          </cell>
        </row>
      </sheetData>
      <sheetData sheetId="1604">
        <row r="1">
          <cell r="J1">
            <v>1.7453292519943295E-2</v>
          </cell>
        </row>
      </sheetData>
      <sheetData sheetId="1605">
        <row r="1">
          <cell r="J1">
            <v>1.7453292519943295E-2</v>
          </cell>
        </row>
      </sheetData>
      <sheetData sheetId="1606">
        <row r="1">
          <cell r="J1">
            <v>1.7453292519943295E-2</v>
          </cell>
        </row>
      </sheetData>
      <sheetData sheetId="1607">
        <row r="1">
          <cell r="J1">
            <v>1.7453292519943295E-2</v>
          </cell>
        </row>
      </sheetData>
      <sheetData sheetId="1608">
        <row r="1">
          <cell r="J1">
            <v>1.7453292519943295E-2</v>
          </cell>
        </row>
      </sheetData>
      <sheetData sheetId="1609">
        <row r="1">
          <cell r="J1">
            <v>1.7453292519943295E-2</v>
          </cell>
        </row>
      </sheetData>
      <sheetData sheetId="1610">
        <row r="1">
          <cell r="J1">
            <v>1.7453292519943295E-2</v>
          </cell>
        </row>
      </sheetData>
      <sheetData sheetId="1611">
        <row r="1">
          <cell r="J1">
            <v>1.7453292519943295E-2</v>
          </cell>
        </row>
      </sheetData>
      <sheetData sheetId="1612">
        <row r="1">
          <cell r="J1">
            <v>1.7453292519943295E-2</v>
          </cell>
        </row>
      </sheetData>
      <sheetData sheetId="1613">
        <row r="1">
          <cell r="J1">
            <v>1.7453292519943295E-2</v>
          </cell>
        </row>
      </sheetData>
      <sheetData sheetId="1614">
        <row r="1">
          <cell r="J1">
            <v>1.7453292519943295E-2</v>
          </cell>
        </row>
      </sheetData>
      <sheetData sheetId="1615">
        <row r="1">
          <cell r="J1">
            <v>1.7453292519943295E-2</v>
          </cell>
        </row>
      </sheetData>
      <sheetData sheetId="1616">
        <row r="1">
          <cell r="J1">
            <v>1.7453292519943295E-2</v>
          </cell>
        </row>
      </sheetData>
      <sheetData sheetId="1617">
        <row r="1">
          <cell r="J1">
            <v>1.7453292519943295E-2</v>
          </cell>
        </row>
      </sheetData>
      <sheetData sheetId="1618">
        <row r="1">
          <cell r="J1">
            <v>1.7453292519943295E-2</v>
          </cell>
        </row>
      </sheetData>
      <sheetData sheetId="1619">
        <row r="1">
          <cell r="J1">
            <v>1.7453292519943295E-2</v>
          </cell>
        </row>
      </sheetData>
      <sheetData sheetId="1620">
        <row r="1">
          <cell r="J1">
            <v>1.7453292519943295E-2</v>
          </cell>
        </row>
      </sheetData>
      <sheetData sheetId="1621">
        <row r="1">
          <cell r="J1">
            <v>1.7453292519943295E-2</v>
          </cell>
        </row>
      </sheetData>
      <sheetData sheetId="1622">
        <row r="1">
          <cell r="J1">
            <v>1.7453292519943295E-2</v>
          </cell>
        </row>
      </sheetData>
      <sheetData sheetId="1623">
        <row r="1">
          <cell r="J1">
            <v>1.7453292519943295E-2</v>
          </cell>
        </row>
      </sheetData>
      <sheetData sheetId="1624">
        <row r="1">
          <cell r="J1">
            <v>1.7453292519943295E-2</v>
          </cell>
        </row>
      </sheetData>
      <sheetData sheetId="1625">
        <row r="1">
          <cell r="J1">
            <v>1.7453292519943295E-2</v>
          </cell>
        </row>
      </sheetData>
      <sheetData sheetId="1626">
        <row r="1">
          <cell r="J1">
            <v>1.7453292519943295E-2</v>
          </cell>
        </row>
      </sheetData>
      <sheetData sheetId="1627">
        <row r="1">
          <cell r="J1">
            <v>1.7453292519943295E-2</v>
          </cell>
        </row>
      </sheetData>
      <sheetData sheetId="1628">
        <row r="1">
          <cell r="J1">
            <v>1.7453292519943295E-2</v>
          </cell>
        </row>
      </sheetData>
      <sheetData sheetId="1629">
        <row r="1">
          <cell r="J1">
            <v>1.7453292519943295E-2</v>
          </cell>
        </row>
      </sheetData>
      <sheetData sheetId="1630">
        <row r="1">
          <cell r="J1">
            <v>1.7453292519943295E-2</v>
          </cell>
        </row>
      </sheetData>
      <sheetData sheetId="1631">
        <row r="1">
          <cell r="J1">
            <v>1.7453292519943295E-2</v>
          </cell>
        </row>
      </sheetData>
      <sheetData sheetId="1632">
        <row r="1">
          <cell r="J1">
            <v>1.7453292519943295E-2</v>
          </cell>
        </row>
      </sheetData>
      <sheetData sheetId="1633">
        <row r="1">
          <cell r="J1">
            <v>1.7453292519943295E-2</v>
          </cell>
        </row>
      </sheetData>
      <sheetData sheetId="1634">
        <row r="1">
          <cell r="J1">
            <v>1.7453292519943295E-2</v>
          </cell>
        </row>
      </sheetData>
      <sheetData sheetId="1635">
        <row r="1">
          <cell r="J1">
            <v>1.7453292519943295E-2</v>
          </cell>
        </row>
      </sheetData>
      <sheetData sheetId="1636">
        <row r="1">
          <cell r="J1">
            <v>1.7453292519943295E-2</v>
          </cell>
        </row>
      </sheetData>
      <sheetData sheetId="1637">
        <row r="1">
          <cell r="J1">
            <v>1.7453292519943295E-2</v>
          </cell>
        </row>
      </sheetData>
      <sheetData sheetId="1638">
        <row r="1">
          <cell r="J1">
            <v>1.7453292519943295E-2</v>
          </cell>
        </row>
      </sheetData>
      <sheetData sheetId="1639">
        <row r="1">
          <cell r="J1">
            <v>1.7453292519943295E-2</v>
          </cell>
        </row>
      </sheetData>
      <sheetData sheetId="1640">
        <row r="1">
          <cell r="J1">
            <v>1.7453292519943295E-2</v>
          </cell>
        </row>
      </sheetData>
      <sheetData sheetId="1641">
        <row r="1">
          <cell r="J1">
            <v>1.7453292519943295E-2</v>
          </cell>
        </row>
      </sheetData>
      <sheetData sheetId="1642">
        <row r="1">
          <cell r="J1">
            <v>1.7453292519943295E-2</v>
          </cell>
        </row>
      </sheetData>
      <sheetData sheetId="1643">
        <row r="1">
          <cell r="J1">
            <v>1.7453292519943295E-2</v>
          </cell>
        </row>
      </sheetData>
      <sheetData sheetId="1644">
        <row r="1">
          <cell r="J1">
            <v>1.7453292519943295E-2</v>
          </cell>
        </row>
      </sheetData>
      <sheetData sheetId="1645">
        <row r="1">
          <cell r="J1">
            <v>1.7453292519943295E-2</v>
          </cell>
        </row>
      </sheetData>
      <sheetData sheetId="1646">
        <row r="1">
          <cell r="J1">
            <v>1.7453292519943295E-2</v>
          </cell>
        </row>
      </sheetData>
      <sheetData sheetId="1647">
        <row r="1">
          <cell r="J1">
            <v>1.7453292519943295E-2</v>
          </cell>
        </row>
      </sheetData>
      <sheetData sheetId="1648">
        <row r="1">
          <cell r="J1">
            <v>1.7453292519943295E-2</v>
          </cell>
        </row>
      </sheetData>
      <sheetData sheetId="1649">
        <row r="1">
          <cell r="J1">
            <v>1.7453292519943295E-2</v>
          </cell>
        </row>
      </sheetData>
      <sheetData sheetId="1650">
        <row r="1">
          <cell r="J1">
            <v>1.7453292519943295E-2</v>
          </cell>
        </row>
      </sheetData>
      <sheetData sheetId="1651">
        <row r="1">
          <cell r="J1">
            <v>1.7453292519943295E-2</v>
          </cell>
        </row>
      </sheetData>
      <sheetData sheetId="1652">
        <row r="1">
          <cell r="J1">
            <v>1.7453292519943295E-2</v>
          </cell>
        </row>
      </sheetData>
      <sheetData sheetId="1653">
        <row r="1">
          <cell r="J1">
            <v>1.7453292519943295E-2</v>
          </cell>
        </row>
      </sheetData>
      <sheetData sheetId="1654">
        <row r="1">
          <cell r="J1">
            <v>1.7453292519943295E-2</v>
          </cell>
        </row>
      </sheetData>
      <sheetData sheetId="1655">
        <row r="1">
          <cell r="J1">
            <v>1.7453292519943295E-2</v>
          </cell>
        </row>
      </sheetData>
      <sheetData sheetId="1656">
        <row r="1">
          <cell r="J1">
            <v>1.7453292519943295E-2</v>
          </cell>
        </row>
      </sheetData>
      <sheetData sheetId="1657">
        <row r="1">
          <cell r="J1">
            <v>1.7453292519943295E-2</v>
          </cell>
        </row>
      </sheetData>
      <sheetData sheetId="1658">
        <row r="1">
          <cell r="J1">
            <v>1.7453292519943295E-2</v>
          </cell>
        </row>
      </sheetData>
      <sheetData sheetId="1659">
        <row r="1">
          <cell r="J1">
            <v>1.7453292519943295E-2</v>
          </cell>
        </row>
      </sheetData>
      <sheetData sheetId="1660">
        <row r="1">
          <cell r="J1">
            <v>1.7453292519943295E-2</v>
          </cell>
        </row>
      </sheetData>
      <sheetData sheetId="1661">
        <row r="1">
          <cell r="J1">
            <v>1.7453292519943295E-2</v>
          </cell>
        </row>
      </sheetData>
      <sheetData sheetId="1662">
        <row r="1">
          <cell r="J1">
            <v>1.7453292519943295E-2</v>
          </cell>
        </row>
      </sheetData>
      <sheetData sheetId="1663">
        <row r="1">
          <cell r="J1">
            <v>1.7453292519943295E-2</v>
          </cell>
        </row>
      </sheetData>
      <sheetData sheetId="1664">
        <row r="1">
          <cell r="J1">
            <v>1.7453292519943295E-2</v>
          </cell>
        </row>
      </sheetData>
      <sheetData sheetId="1665">
        <row r="1">
          <cell r="J1">
            <v>1.7453292519943295E-2</v>
          </cell>
        </row>
      </sheetData>
      <sheetData sheetId="1666">
        <row r="1">
          <cell r="J1">
            <v>1.7453292519943295E-2</v>
          </cell>
        </row>
      </sheetData>
      <sheetData sheetId="1667">
        <row r="1">
          <cell r="J1">
            <v>1.7453292519943295E-2</v>
          </cell>
        </row>
      </sheetData>
      <sheetData sheetId="1668">
        <row r="1">
          <cell r="J1">
            <v>1.7453292519943295E-2</v>
          </cell>
        </row>
      </sheetData>
      <sheetData sheetId="1669">
        <row r="1">
          <cell r="J1">
            <v>1.7453292519943295E-2</v>
          </cell>
        </row>
      </sheetData>
      <sheetData sheetId="1670">
        <row r="1">
          <cell r="J1">
            <v>1.7453292519943295E-2</v>
          </cell>
        </row>
      </sheetData>
      <sheetData sheetId="1671">
        <row r="1">
          <cell r="J1">
            <v>1.7453292519943295E-2</v>
          </cell>
        </row>
      </sheetData>
      <sheetData sheetId="1672">
        <row r="1">
          <cell r="J1">
            <v>1.7453292519943295E-2</v>
          </cell>
        </row>
      </sheetData>
      <sheetData sheetId="1673">
        <row r="1">
          <cell r="J1">
            <v>1.7453292519943295E-2</v>
          </cell>
        </row>
      </sheetData>
      <sheetData sheetId="1674">
        <row r="1">
          <cell r="J1">
            <v>1.7453292519943295E-2</v>
          </cell>
        </row>
      </sheetData>
      <sheetData sheetId="1675">
        <row r="1">
          <cell r="J1">
            <v>1.7453292519943295E-2</v>
          </cell>
        </row>
      </sheetData>
      <sheetData sheetId="1676">
        <row r="1">
          <cell r="J1">
            <v>1.7453292519943295E-2</v>
          </cell>
        </row>
      </sheetData>
      <sheetData sheetId="1677">
        <row r="1">
          <cell r="J1">
            <v>1.7453292519943295E-2</v>
          </cell>
        </row>
      </sheetData>
      <sheetData sheetId="1678">
        <row r="1">
          <cell r="J1">
            <v>1.7453292519943295E-2</v>
          </cell>
        </row>
      </sheetData>
      <sheetData sheetId="1679">
        <row r="1">
          <cell r="J1">
            <v>1.7453292519943295E-2</v>
          </cell>
        </row>
      </sheetData>
      <sheetData sheetId="1680">
        <row r="1">
          <cell r="J1">
            <v>1.7453292519943295E-2</v>
          </cell>
        </row>
      </sheetData>
      <sheetData sheetId="1681">
        <row r="1">
          <cell r="J1">
            <v>1.7453292519943295E-2</v>
          </cell>
        </row>
      </sheetData>
      <sheetData sheetId="1682">
        <row r="1">
          <cell r="J1">
            <v>1.7453292519943295E-2</v>
          </cell>
        </row>
      </sheetData>
      <sheetData sheetId="1683">
        <row r="1">
          <cell r="J1">
            <v>1.7453292519943295E-2</v>
          </cell>
        </row>
      </sheetData>
      <sheetData sheetId="1684">
        <row r="1">
          <cell r="J1">
            <v>1.7453292519943295E-2</v>
          </cell>
        </row>
      </sheetData>
      <sheetData sheetId="1685">
        <row r="1">
          <cell r="J1">
            <v>1.7453292519943295E-2</v>
          </cell>
        </row>
      </sheetData>
      <sheetData sheetId="1686">
        <row r="1">
          <cell r="J1">
            <v>1.7453292519943295E-2</v>
          </cell>
        </row>
      </sheetData>
      <sheetData sheetId="1687">
        <row r="1">
          <cell r="J1">
            <v>1.7453292519943295E-2</v>
          </cell>
        </row>
      </sheetData>
      <sheetData sheetId="1688">
        <row r="1">
          <cell r="J1">
            <v>1.7453292519943295E-2</v>
          </cell>
        </row>
      </sheetData>
      <sheetData sheetId="1689">
        <row r="1">
          <cell r="J1">
            <v>1.7453292519943295E-2</v>
          </cell>
        </row>
      </sheetData>
      <sheetData sheetId="1690">
        <row r="1">
          <cell r="J1">
            <v>1.7453292519943295E-2</v>
          </cell>
        </row>
      </sheetData>
      <sheetData sheetId="1691">
        <row r="1">
          <cell r="J1">
            <v>1.7453292519943295E-2</v>
          </cell>
        </row>
      </sheetData>
      <sheetData sheetId="1692">
        <row r="1">
          <cell r="J1">
            <v>1.7453292519943295E-2</v>
          </cell>
        </row>
      </sheetData>
      <sheetData sheetId="1693">
        <row r="1">
          <cell r="J1">
            <v>1.7453292519943295E-2</v>
          </cell>
        </row>
      </sheetData>
      <sheetData sheetId="1694">
        <row r="1">
          <cell r="J1">
            <v>1.7453292519943295E-2</v>
          </cell>
        </row>
      </sheetData>
      <sheetData sheetId="1695">
        <row r="1">
          <cell r="J1">
            <v>1.7453292519943295E-2</v>
          </cell>
        </row>
      </sheetData>
      <sheetData sheetId="1696">
        <row r="1">
          <cell r="J1">
            <v>1.7453292519943295E-2</v>
          </cell>
        </row>
      </sheetData>
      <sheetData sheetId="1697">
        <row r="1">
          <cell r="J1">
            <v>1.7453292519943295E-2</v>
          </cell>
        </row>
      </sheetData>
      <sheetData sheetId="1698">
        <row r="1">
          <cell r="J1">
            <v>1.7453292519943295E-2</v>
          </cell>
        </row>
      </sheetData>
      <sheetData sheetId="1699">
        <row r="1">
          <cell r="J1">
            <v>1.7453292519943295E-2</v>
          </cell>
        </row>
      </sheetData>
      <sheetData sheetId="1700">
        <row r="1">
          <cell r="J1">
            <v>1.7453292519943295E-2</v>
          </cell>
        </row>
      </sheetData>
      <sheetData sheetId="1701">
        <row r="1">
          <cell r="J1">
            <v>1.7453292519943295E-2</v>
          </cell>
        </row>
      </sheetData>
      <sheetData sheetId="1702">
        <row r="1">
          <cell r="J1">
            <v>1.7453292519943295E-2</v>
          </cell>
        </row>
      </sheetData>
      <sheetData sheetId="1703">
        <row r="1">
          <cell r="J1">
            <v>1.7453292519943295E-2</v>
          </cell>
        </row>
      </sheetData>
      <sheetData sheetId="1704">
        <row r="1">
          <cell r="J1">
            <v>1.7453292519943295E-2</v>
          </cell>
        </row>
      </sheetData>
      <sheetData sheetId="1705">
        <row r="1">
          <cell r="J1">
            <v>1.7453292519943295E-2</v>
          </cell>
        </row>
      </sheetData>
      <sheetData sheetId="1706">
        <row r="1">
          <cell r="J1">
            <v>1.7453292519943295E-2</v>
          </cell>
        </row>
      </sheetData>
      <sheetData sheetId="1707">
        <row r="1">
          <cell r="J1">
            <v>1.7453292519943295E-2</v>
          </cell>
        </row>
      </sheetData>
      <sheetData sheetId="1708">
        <row r="1">
          <cell r="J1">
            <v>1.7453292519943295E-2</v>
          </cell>
        </row>
      </sheetData>
      <sheetData sheetId="1709">
        <row r="1">
          <cell r="J1">
            <v>1.7453292519943295E-2</v>
          </cell>
        </row>
      </sheetData>
      <sheetData sheetId="1710">
        <row r="1">
          <cell r="J1">
            <v>1.7453292519943295E-2</v>
          </cell>
        </row>
      </sheetData>
      <sheetData sheetId="1711">
        <row r="1">
          <cell r="J1">
            <v>1.7453292519943295E-2</v>
          </cell>
        </row>
      </sheetData>
      <sheetData sheetId="1712">
        <row r="1">
          <cell r="J1">
            <v>1.7453292519943295E-2</v>
          </cell>
        </row>
      </sheetData>
      <sheetData sheetId="1713">
        <row r="1">
          <cell r="J1">
            <v>1.7453292519943295E-2</v>
          </cell>
        </row>
      </sheetData>
      <sheetData sheetId="1714">
        <row r="1">
          <cell r="J1">
            <v>1.7453292519943295E-2</v>
          </cell>
        </row>
      </sheetData>
      <sheetData sheetId="1715">
        <row r="1">
          <cell r="J1">
            <v>1.7453292519943295E-2</v>
          </cell>
        </row>
      </sheetData>
      <sheetData sheetId="1716">
        <row r="1">
          <cell r="J1">
            <v>1.7453292519943295E-2</v>
          </cell>
        </row>
      </sheetData>
      <sheetData sheetId="1717">
        <row r="1">
          <cell r="J1">
            <v>1.7453292519943295E-2</v>
          </cell>
        </row>
      </sheetData>
      <sheetData sheetId="1718">
        <row r="1">
          <cell r="J1">
            <v>1.7453292519943295E-2</v>
          </cell>
        </row>
      </sheetData>
      <sheetData sheetId="1719">
        <row r="1">
          <cell r="J1">
            <v>1.7453292519943295E-2</v>
          </cell>
        </row>
      </sheetData>
      <sheetData sheetId="1720">
        <row r="1">
          <cell r="J1">
            <v>1.7453292519943295E-2</v>
          </cell>
        </row>
      </sheetData>
      <sheetData sheetId="1721">
        <row r="1">
          <cell r="J1">
            <v>1.7453292519943295E-2</v>
          </cell>
        </row>
      </sheetData>
      <sheetData sheetId="1722">
        <row r="1">
          <cell r="J1">
            <v>1.7453292519943295E-2</v>
          </cell>
        </row>
      </sheetData>
      <sheetData sheetId="1723">
        <row r="1">
          <cell r="J1">
            <v>1.7453292519943295E-2</v>
          </cell>
        </row>
      </sheetData>
      <sheetData sheetId="1724">
        <row r="1">
          <cell r="J1">
            <v>1.7453292519943295E-2</v>
          </cell>
        </row>
      </sheetData>
      <sheetData sheetId="1725">
        <row r="1">
          <cell r="J1">
            <v>1.7453292519943295E-2</v>
          </cell>
        </row>
      </sheetData>
      <sheetData sheetId="1726">
        <row r="1">
          <cell r="J1">
            <v>1.7453292519943295E-2</v>
          </cell>
        </row>
      </sheetData>
      <sheetData sheetId="1727">
        <row r="1">
          <cell r="J1">
            <v>1.7453292519943295E-2</v>
          </cell>
        </row>
      </sheetData>
      <sheetData sheetId="1728">
        <row r="1">
          <cell r="J1">
            <v>1.7453292519943295E-2</v>
          </cell>
        </row>
      </sheetData>
      <sheetData sheetId="1729">
        <row r="1">
          <cell r="J1">
            <v>1.7453292519943295E-2</v>
          </cell>
        </row>
      </sheetData>
      <sheetData sheetId="1730">
        <row r="1">
          <cell r="J1">
            <v>1.7453292519943295E-2</v>
          </cell>
        </row>
      </sheetData>
      <sheetData sheetId="1731">
        <row r="1">
          <cell r="J1">
            <v>1.7453292519943295E-2</v>
          </cell>
        </row>
      </sheetData>
      <sheetData sheetId="1732">
        <row r="1">
          <cell r="J1">
            <v>1.7453292519943295E-2</v>
          </cell>
        </row>
      </sheetData>
      <sheetData sheetId="1733">
        <row r="1">
          <cell r="J1">
            <v>1.7453292519943295E-2</v>
          </cell>
        </row>
      </sheetData>
      <sheetData sheetId="1734">
        <row r="1">
          <cell r="J1">
            <v>1.7453292519943295E-2</v>
          </cell>
        </row>
      </sheetData>
      <sheetData sheetId="1735">
        <row r="1">
          <cell r="J1">
            <v>1.7453292519943295E-2</v>
          </cell>
        </row>
      </sheetData>
      <sheetData sheetId="1736">
        <row r="1">
          <cell r="J1">
            <v>1.7453292519943295E-2</v>
          </cell>
        </row>
      </sheetData>
      <sheetData sheetId="1737">
        <row r="1">
          <cell r="J1">
            <v>1.7453292519943295E-2</v>
          </cell>
        </row>
      </sheetData>
      <sheetData sheetId="1738">
        <row r="1">
          <cell r="J1">
            <v>1.7453292519943295E-2</v>
          </cell>
        </row>
      </sheetData>
      <sheetData sheetId="1739">
        <row r="1">
          <cell r="J1">
            <v>1.7453292519943295E-2</v>
          </cell>
        </row>
      </sheetData>
      <sheetData sheetId="1740">
        <row r="1">
          <cell r="J1">
            <v>1.7453292519943295E-2</v>
          </cell>
        </row>
      </sheetData>
      <sheetData sheetId="1741">
        <row r="1">
          <cell r="J1">
            <v>1.7453292519943295E-2</v>
          </cell>
        </row>
      </sheetData>
      <sheetData sheetId="1742">
        <row r="1">
          <cell r="J1">
            <v>1.7453292519943295E-2</v>
          </cell>
        </row>
      </sheetData>
      <sheetData sheetId="1743">
        <row r="1">
          <cell r="J1">
            <v>1.7453292519943295E-2</v>
          </cell>
        </row>
      </sheetData>
      <sheetData sheetId="1744">
        <row r="1">
          <cell r="J1">
            <v>1.7453292519943295E-2</v>
          </cell>
        </row>
      </sheetData>
      <sheetData sheetId="1745">
        <row r="1">
          <cell r="J1">
            <v>1.7453292519943295E-2</v>
          </cell>
        </row>
      </sheetData>
      <sheetData sheetId="1746">
        <row r="1">
          <cell r="J1">
            <v>1.7453292519943295E-2</v>
          </cell>
        </row>
      </sheetData>
      <sheetData sheetId="1747">
        <row r="1">
          <cell r="J1">
            <v>1.7453292519943295E-2</v>
          </cell>
        </row>
      </sheetData>
      <sheetData sheetId="1748">
        <row r="1">
          <cell r="J1">
            <v>1.7453292519943295E-2</v>
          </cell>
        </row>
      </sheetData>
      <sheetData sheetId="1749">
        <row r="1">
          <cell r="J1">
            <v>1.7453292519943295E-2</v>
          </cell>
        </row>
      </sheetData>
      <sheetData sheetId="1750">
        <row r="1">
          <cell r="J1">
            <v>1.7453292519943295E-2</v>
          </cell>
        </row>
      </sheetData>
      <sheetData sheetId="1751">
        <row r="1">
          <cell r="J1">
            <v>1.7453292519943295E-2</v>
          </cell>
        </row>
      </sheetData>
      <sheetData sheetId="1752">
        <row r="1">
          <cell r="J1">
            <v>1.7453292519943295E-2</v>
          </cell>
        </row>
      </sheetData>
      <sheetData sheetId="1753">
        <row r="1">
          <cell r="J1">
            <v>1.7453292519943295E-2</v>
          </cell>
        </row>
      </sheetData>
      <sheetData sheetId="1754">
        <row r="1">
          <cell r="J1">
            <v>1.7453292519943295E-2</v>
          </cell>
        </row>
      </sheetData>
      <sheetData sheetId="1755">
        <row r="1">
          <cell r="J1">
            <v>1.7453292519943295E-2</v>
          </cell>
        </row>
      </sheetData>
      <sheetData sheetId="1756">
        <row r="1">
          <cell r="J1">
            <v>1.7453292519943295E-2</v>
          </cell>
        </row>
      </sheetData>
      <sheetData sheetId="1757">
        <row r="1">
          <cell r="J1">
            <v>1.7453292519943295E-2</v>
          </cell>
        </row>
      </sheetData>
      <sheetData sheetId="1758">
        <row r="1">
          <cell r="J1">
            <v>1.7453292519943295E-2</v>
          </cell>
        </row>
      </sheetData>
      <sheetData sheetId="1759">
        <row r="1">
          <cell r="J1">
            <v>1.7453292519943295E-2</v>
          </cell>
        </row>
      </sheetData>
      <sheetData sheetId="1760">
        <row r="1">
          <cell r="J1">
            <v>1.7453292519943295E-2</v>
          </cell>
        </row>
      </sheetData>
      <sheetData sheetId="1761">
        <row r="1">
          <cell r="J1">
            <v>1.7453292519943295E-2</v>
          </cell>
        </row>
      </sheetData>
      <sheetData sheetId="1762">
        <row r="1">
          <cell r="J1">
            <v>1.7453292519943295E-2</v>
          </cell>
        </row>
      </sheetData>
      <sheetData sheetId="1763">
        <row r="1">
          <cell r="J1">
            <v>1.7453292519943295E-2</v>
          </cell>
        </row>
      </sheetData>
      <sheetData sheetId="1764">
        <row r="1">
          <cell r="J1">
            <v>1.7453292519943295E-2</v>
          </cell>
        </row>
      </sheetData>
      <sheetData sheetId="1765">
        <row r="1">
          <cell r="J1">
            <v>1.7453292519943295E-2</v>
          </cell>
        </row>
      </sheetData>
      <sheetData sheetId="1766">
        <row r="1">
          <cell r="J1">
            <v>1.7453292519943295E-2</v>
          </cell>
        </row>
      </sheetData>
      <sheetData sheetId="1767">
        <row r="1">
          <cell r="J1">
            <v>1.7453292519943295E-2</v>
          </cell>
        </row>
      </sheetData>
      <sheetData sheetId="1768">
        <row r="1">
          <cell r="J1">
            <v>1.7453292519943295E-2</v>
          </cell>
        </row>
      </sheetData>
      <sheetData sheetId="1769">
        <row r="1">
          <cell r="J1">
            <v>1.7453292519943295E-2</v>
          </cell>
        </row>
      </sheetData>
      <sheetData sheetId="1770">
        <row r="1">
          <cell r="J1">
            <v>1.7453292519943295E-2</v>
          </cell>
        </row>
      </sheetData>
      <sheetData sheetId="1771">
        <row r="1">
          <cell r="J1">
            <v>1.7453292519943295E-2</v>
          </cell>
        </row>
      </sheetData>
      <sheetData sheetId="1772">
        <row r="1">
          <cell r="J1">
            <v>1.7453292519943295E-2</v>
          </cell>
        </row>
      </sheetData>
      <sheetData sheetId="1773">
        <row r="1">
          <cell r="J1">
            <v>1.7453292519943295E-2</v>
          </cell>
        </row>
      </sheetData>
      <sheetData sheetId="1774">
        <row r="1">
          <cell r="J1">
            <v>1.7453292519943295E-2</v>
          </cell>
        </row>
      </sheetData>
      <sheetData sheetId="1775">
        <row r="1">
          <cell r="J1">
            <v>1.7453292519943295E-2</v>
          </cell>
        </row>
      </sheetData>
      <sheetData sheetId="1776">
        <row r="1">
          <cell r="J1">
            <v>1.7453292519943295E-2</v>
          </cell>
        </row>
      </sheetData>
      <sheetData sheetId="1777">
        <row r="1">
          <cell r="J1">
            <v>1.7453292519943295E-2</v>
          </cell>
        </row>
      </sheetData>
      <sheetData sheetId="1778">
        <row r="1">
          <cell r="J1">
            <v>1.7453292519943295E-2</v>
          </cell>
        </row>
      </sheetData>
      <sheetData sheetId="1779">
        <row r="1">
          <cell r="J1">
            <v>1.7453292519943295E-2</v>
          </cell>
        </row>
      </sheetData>
      <sheetData sheetId="1780">
        <row r="1">
          <cell r="J1">
            <v>1.7453292519943295E-2</v>
          </cell>
        </row>
      </sheetData>
      <sheetData sheetId="1781">
        <row r="1">
          <cell r="J1">
            <v>1.7453292519943295E-2</v>
          </cell>
        </row>
      </sheetData>
      <sheetData sheetId="1782">
        <row r="1">
          <cell r="J1">
            <v>1.7453292519943295E-2</v>
          </cell>
        </row>
      </sheetData>
      <sheetData sheetId="1783">
        <row r="1">
          <cell r="J1">
            <v>1.7453292519943295E-2</v>
          </cell>
        </row>
      </sheetData>
      <sheetData sheetId="1784">
        <row r="1">
          <cell r="J1">
            <v>1.7453292519943295E-2</v>
          </cell>
        </row>
      </sheetData>
      <sheetData sheetId="1785">
        <row r="1">
          <cell r="J1">
            <v>1.7453292519943295E-2</v>
          </cell>
        </row>
      </sheetData>
      <sheetData sheetId="1786">
        <row r="1">
          <cell r="J1">
            <v>1.7453292519943295E-2</v>
          </cell>
        </row>
      </sheetData>
      <sheetData sheetId="1787">
        <row r="1">
          <cell r="J1">
            <v>1.7453292519943295E-2</v>
          </cell>
        </row>
      </sheetData>
      <sheetData sheetId="1788">
        <row r="1">
          <cell r="J1">
            <v>1.7453292519943295E-2</v>
          </cell>
        </row>
      </sheetData>
      <sheetData sheetId="1789">
        <row r="1">
          <cell r="J1">
            <v>1.7453292519943295E-2</v>
          </cell>
        </row>
      </sheetData>
      <sheetData sheetId="1790">
        <row r="1">
          <cell r="J1">
            <v>1.7453292519943295E-2</v>
          </cell>
        </row>
      </sheetData>
      <sheetData sheetId="1791">
        <row r="1">
          <cell r="J1">
            <v>1.7453292519943295E-2</v>
          </cell>
        </row>
      </sheetData>
      <sheetData sheetId="1792">
        <row r="1">
          <cell r="J1">
            <v>1.7453292519943295E-2</v>
          </cell>
        </row>
      </sheetData>
      <sheetData sheetId="1793">
        <row r="1">
          <cell r="J1">
            <v>1.7453292519943295E-2</v>
          </cell>
        </row>
      </sheetData>
      <sheetData sheetId="1794">
        <row r="1">
          <cell r="J1">
            <v>1.7453292519943295E-2</v>
          </cell>
        </row>
      </sheetData>
      <sheetData sheetId="1795">
        <row r="1">
          <cell r="J1">
            <v>1.7453292519943295E-2</v>
          </cell>
        </row>
      </sheetData>
      <sheetData sheetId="1796">
        <row r="1">
          <cell r="J1">
            <v>1.7453292519943295E-2</v>
          </cell>
        </row>
      </sheetData>
      <sheetData sheetId="1797">
        <row r="1">
          <cell r="J1">
            <v>1.7453292519943295E-2</v>
          </cell>
        </row>
      </sheetData>
      <sheetData sheetId="1798">
        <row r="1">
          <cell r="J1">
            <v>1.7453292519943295E-2</v>
          </cell>
        </row>
      </sheetData>
      <sheetData sheetId="1799">
        <row r="1">
          <cell r="J1">
            <v>1.7453292519943295E-2</v>
          </cell>
        </row>
      </sheetData>
      <sheetData sheetId="1800">
        <row r="1">
          <cell r="J1">
            <v>1.7453292519943295E-2</v>
          </cell>
        </row>
      </sheetData>
      <sheetData sheetId="1801">
        <row r="1">
          <cell r="J1">
            <v>1.7453292519943295E-2</v>
          </cell>
        </row>
      </sheetData>
      <sheetData sheetId="1802">
        <row r="1">
          <cell r="J1">
            <v>1.7453292519943295E-2</v>
          </cell>
        </row>
      </sheetData>
      <sheetData sheetId="1803">
        <row r="1">
          <cell r="J1">
            <v>1.7453292519943295E-2</v>
          </cell>
        </row>
      </sheetData>
      <sheetData sheetId="1804">
        <row r="1">
          <cell r="J1">
            <v>1.7453292519943295E-2</v>
          </cell>
        </row>
      </sheetData>
      <sheetData sheetId="1805">
        <row r="1">
          <cell r="J1">
            <v>1.7453292519943295E-2</v>
          </cell>
        </row>
      </sheetData>
      <sheetData sheetId="1806">
        <row r="1">
          <cell r="J1">
            <v>1.7453292519943295E-2</v>
          </cell>
        </row>
      </sheetData>
      <sheetData sheetId="1807">
        <row r="1">
          <cell r="J1">
            <v>1.7453292519943295E-2</v>
          </cell>
        </row>
      </sheetData>
      <sheetData sheetId="1808">
        <row r="1">
          <cell r="J1">
            <v>1.7453292519943295E-2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>
        <row r="1">
          <cell r="J1">
            <v>1.7453292519943295E-2</v>
          </cell>
        </row>
      </sheetData>
      <sheetData sheetId="1859">
        <row r="1">
          <cell r="J1">
            <v>1.7453292519943295E-2</v>
          </cell>
        </row>
      </sheetData>
      <sheetData sheetId="1860">
        <row r="1">
          <cell r="J1">
            <v>1.7453292519943295E-2</v>
          </cell>
        </row>
      </sheetData>
      <sheetData sheetId="1861">
        <row r="1">
          <cell r="J1">
            <v>1.7453292519943295E-2</v>
          </cell>
        </row>
      </sheetData>
      <sheetData sheetId="1862">
        <row r="1">
          <cell r="J1">
            <v>1.7453292519943295E-2</v>
          </cell>
        </row>
      </sheetData>
      <sheetData sheetId="1863">
        <row r="1">
          <cell r="J1">
            <v>1.7453292519943295E-2</v>
          </cell>
        </row>
      </sheetData>
      <sheetData sheetId="1864">
        <row r="1">
          <cell r="J1">
            <v>1.7453292519943295E-2</v>
          </cell>
        </row>
      </sheetData>
      <sheetData sheetId="1865">
        <row r="1">
          <cell r="J1">
            <v>1.7453292519943295E-2</v>
          </cell>
        </row>
      </sheetData>
      <sheetData sheetId="1866">
        <row r="1">
          <cell r="J1">
            <v>1.7453292519943295E-2</v>
          </cell>
        </row>
      </sheetData>
      <sheetData sheetId="1867">
        <row r="1">
          <cell r="J1">
            <v>1.7453292519943295E-2</v>
          </cell>
        </row>
      </sheetData>
      <sheetData sheetId="1868">
        <row r="1">
          <cell r="J1">
            <v>1.7453292519943295E-2</v>
          </cell>
        </row>
      </sheetData>
      <sheetData sheetId="1869">
        <row r="1">
          <cell r="J1">
            <v>1.7453292519943295E-2</v>
          </cell>
        </row>
      </sheetData>
      <sheetData sheetId="1870">
        <row r="1">
          <cell r="J1">
            <v>1.7453292519943295E-2</v>
          </cell>
        </row>
      </sheetData>
      <sheetData sheetId="1871">
        <row r="1">
          <cell r="J1">
            <v>1.7453292519943295E-2</v>
          </cell>
        </row>
      </sheetData>
      <sheetData sheetId="1872">
        <row r="1">
          <cell r="J1">
            <v>1.7453292519943295E-2</v>
          </cell>
        </row>
      </sheetData>
      <sheetData sheetId="1873">
        <row r="1">
          <cell r="J1">
            <v>1.7453292519943295E-2</v>
          </cell>
        </row>
      </sheetData>
      <sheetData sheetId="1874">
        <row r="1">
          <cell r="J1">
            <v>1.7453292519943295E-2</v>
          </cell>
        </row>
      </sheetData>
      <sheetData sheetId="1875">
        <row r="1">
          <cell r="J1">
            <v>1.7453292519943295E-2</v>
          </cell>
        </row>
      </sheetData>
      <sheetData sheetId="1876">
        <row r="1">
          <cell r="J1">
            <v>1.7453292519943295E-2</v>
          </cell>
        </row>
      </sheetData>
      <sheetData sheetId="1877">
        <row r="1">
          <cell r="J1">
            <v>1.7453292519943295E-2</v>
          </cell>
        </row>
      </sheetData>
      <sheetData sheetId="1878">
        <row r="1">
          <cell r="J1">
            <v>1.7453292519943295E-2</v>
          </cell>
        </row>
      </sheetData>
      <sheetData sheetId="1879">
        <row r="1">
          <cell r="J1">
            <v>1.7453292519943295E-2</v>
          </cell>
        </row>
      </sheetData>
      <sheetData sheetId="1880">
        <row r="1">
          <cell r="J1">
            <v>1.7453292519943295E-2</v>
          </cell>
        </row>
      </sheetData>
      <sheetData sheetId="1881">
        <row r="1">
          <cell r="J1">
            <v>1.7453292519943295E-2</v>
          </cell>
        </row>
      </sheetData>
      <sheetData sheetId="1882">
        <row r="1">
          <cell r="J1">
            <v>1.7453292519943295E-2</v>
          </cell>
        </row>
      </sheetData>
      <sheetData sheetId="1883">
        <row r="1">
          <cell r="J1">
            <v>1.7453292519943295E-2</v>
          </cell>
        </row>
      </sheetData>
      <sheetData sheetId="1884">
        <row r="1">
          <cell r="J1">
            <v>1.7453292519943295E-2</v>
          </cell>
        </row>
      </sheetData>
      <sheetData sheetId="1885">
        <row r="1">
          <cell r="J1">
            <v>1.7453292519943295E-2</v>
          </cell>
        </row>
      </sheetData>
      <sheetData sheetId="1886">
        <row r="1">
          <cell r="J1">
            <v>1.7453292519943295E-2</v>
          </cell>
        </row>
      </sheetData>
      <sheetData sheetId="1887">
        <row r="1">
          <cell r="J1">
            <v>1.7453292519943295E-2</v>
          </cell>
        </row>
      </sheetData>
      <sheetData sheetId="1888">
        <row r="1">
          <cell r="J1">
            <v>1.7453292519943295E-2</v>
          </cell>
        </row>
      </sheetData>
      <sheetData sheetId="1889">
        <row r="1">
          <cell r="J1">
            <v>1.7453292519943295E-2</v>
          </cell>
        </row>
      </sheetData>
      <sheetData sheetId="1890">
        <row r="1">
          <cell r="J1">
            <v>1.7453292519943295E-2</v>
          </cell>
        </row>
      </sheetData>
      <sheetData sheetId="1891">
        <row r="1">
          <cell r="J1">
            <v>1.7453292519943295E-2</v>
          </cell>
        </row>
      </sheetData>
      <sheetData sheetId="1892">
        <row r="1">
          <cell r="J1">
            <v>1.7453292519943295E-2</v>
          </cell>
        </row>
      </sheetData>
      <sheetData sheetId="1893">
        <row r="1">
          <cell r="J1">
            <v>1.7453292519943295E-2</v>
          </cell>
        </row>
      </sheetData>
      <sheetData sheetId="1894">
        <row r="1">
          <cell r="J1">
            <v>1.7453292519943295E-2</v>
          </cell>
        </row>
      </sheetData>
      <sheetData sheetId="1895">
        <row r="1">
          <cell r="J1">
            <v>1.7453292519943295E-2</v>
          </cell>
        </row>
      </sheetData>
      <sheetData sheetId="1896">
        <row r="1">
          <cell r="J1">
            <v>1.7453292519943295E-2</v>
          </cell>
        </row>
      </sheetData>
      <sheetData sheetId="1897">
        <row r="1">
          <cell r="J1">
            <v>1.7453292519943295E-2</v>
          </cell>
        </row>
      </sheetData>
      <sheetData sheetId="1898">
        <row r="1">
          <cell r="J1">
            <v>1.7453292519943295E-2</v>
          </cell>
        </row>
      </sheetData>
      <sheetData sheetId="1899">
        <row r="1">
          <cell r="J1">
            <v>1.7453292519943295E-2</v>
          </cell>
        </row>
      </sheetData>
      <sheetData sheetId="1900">
        <row r="1">
          <cell r="J1">
            <v>1.7453292519943295E-2</v>
          </cell>
        </row>
      </sheetData>
      <sheetData sheetId="1901">
        <row r="1">
          <cell r="J1">
            <v>1.7453292519943295E-2</v>
          </cell>
        </row>
      </sheetData>
      <sheetData sheetId="1902">
        <row r="1">
          <cell r="J1">
            <v>1.7453292519943295E-2</v>
          </cell>
        </row>
      </sheetData>
      <sheetData sheetId="1903">
        <row r="1">
          <cell r="J1">
            <v>1.7453292519943295E-2</v>
          </cell>
        </row>
      </sheetData>
      <sheetData sheetId="1904">
        <row r="1">
          <cell r="J1">
            <v>1.7453292519943295E-2</v>
          </cell>
        </row>
      </sheetData>
      <sheetData sheetId="1905">
        <row r="1">
          <cell r="J1">
            <v>1.7453292519943295E-2</v>
          </cell>
        </row>
      </sheetData>
      <sheetData sheetId="1906">
        <row r="1">
          <cell r="J1">
            <v>1.7453292519943295E-2</v>
          </cell>
        </row>
      </sheetData>
      <sheetData sheetId="1907">
        <row r="1">
          <cell r="J1">
            <v>1.7453292519943295E-2</v>
          </cell>
        </row>
      </sheetData>
      <sheetData sheetId="1908">
        <row r="1">
          <cell r="J1">
            <v>1.7453292519943295E-2</v>
          </cell>
        </row>
      </sheetData>
      <sheetData sheetId="1909">
        <row r="1">
          <cell r="J1">
            <v>1.7453292519943295E-2</v>
          </cell>
        </row>
      </sheetData>
      <sheetData sheetId="1910">
        <row r="1">
          <cell r="J1">
            <v>1.7453292519943295E-2</v>
          </cell>
        </row>
      </sheetData>
      <sheetData sheetId="1911">
        <row r="1">
          <cell r="J1">
            <v>1.7453292519943295E-2</v>
          </cell>
        </row>
      </sheetData>
      <sheetData sheetId="1912">
        <row r="1">
          <cell r="J1">
            <v>1.7453292519943295E-2</v>
          </cell>
        </row>
      </sheetData>
      <sheetData sheetId="1913">
        <row r="1">
          <cell r="J1">
            <v>1.7453292519943295E-2</v>
          </cell>
        </row>
      </sheetData>
      <sheetData sheetId="1914">
        <row r="1">
          <cell r="J1">
            <v>1.7453292519943295E-2</v>
          </cell>
        </row>
      </sheetData>
      <sheetData sheetId="1915">
        <row r="1">
          <cell r="J1">
            <v>1.7453292519943295E-2</v>
          </cell>
        </row>
      </sheetData>
      <sheetData sheetId="1916">
        <row r="1">
          <cell r="J1">
            <v>1.7453292519943295E-2</v>
          </cell>
        </row>
      </sheetData>
      <sheetData sheetId="1917">
        <row r="1">
          <cell r="J1">
            <v>1.7453292519943295E-2</v>
          </cell>
        </row>
      </sheetData>
      <sheetData sheetId="1918">
        <row r="1">
          <cell r="J1">
            <v>1.7453292519943295E-2</v>
          </cell>
        </row>
      </sheetData>
      <sheetData sheetId="1919">
        <row r="1">
          <cell r="J1">
            <v>1.7453292519943295E-2</v>
          </cell>
        </row>
      </sheetData>
      <sheetData sheetId="1920">
        <row r="1">
          <cell r="J1">
            <v>1.7453292519943295E-2</v>
          </cell>
        </row>
      </sheetData>
      <sheetData sheetId="1921">
        <row r="1">
          <cell r="J1">
            <v>1.7453292519943295E-2</v>
          </cell>
        </row>
      </sheetData>
      <sheetData sheetId="1922">
        <row r="1">
          <cell r="J1">
            <v>1.7453292519943295E-2</v>
          </cell>
        </row>
      </sheetData>
      <sheetData sheetId="1923">
        <row r="1">
          <cell r="J1">
            <v>1.7453292519943295E-2</v>
          </cell>
        </row>
      </sheetData>
      <sheetData sheetId="1924">
        <row r="1">
          <cell r="J1">
            <v>1.7453292519943295E-2</v>
          </cell>
        </row>
      </sheetData>
      <sheetData sheetId="1925">
        <row r="1">
          <cell r="J1">
            <v>1.7453292519943295E-2</v>
          </cell>
        </row>
      </sheetData>
      <sheetData sheetId="1926">
        <row r="1">
          <cell r="J1">
            <v>1.7453292519943295E-2</v>
          </cell>
        </row>
      </sheetData>
      <sheetData sheetId="1927">
        <row r="1">
          <cell r="J1">
            <v>1.7453292519943295E-2</v>
          </cell>
        </row>
      </sheetData>
      <sheetData sheetId="1928">
        <row r="1">
          <cell r="J1">
            <v>1.7453292519943295E-2</v>
          </cell>
        </row>
      </sheetData>
      <sheetData sheetId="1929">
        <row r="1">
          <cell r="J1">
            <v>1.7453292519943295E-2</v>
          </cell>
        </row>
      </sheetData>
      <sheetData sheetId="1930">
        <row r="1">
          <cell r="J1">
            <v>1.7453292519943295E-2</v>
          </cell>
        </row>
      </sheetData>
      <sheetData sheetId="1931">
        <row r="1">
          <cell r="J1">
            <v>1.7453292519943295E-2</v>
          </cell>
        </row>
      </sheetData>
      <sheetData sheetId="1932">
        <row r="1">
          <cell r="J1">
            <v>1.7453292519943295E-2</v>
          </cell>
        </row>
      </sheetData>
      <sheetData sheetId="1933">
        <row r="1">
          <cell r="J1">
            <v>1.7453292519943295E-2</v>
          </cell>
        </row>
      </sheetData>
      <sheetData sheetId="1934">
        <row r="1">
          <cell r="J1">
            <v>1.7453292519943295E-2</v>
          </cell>
        </row>
      </sheetData>
      <sheetData sheetId="1935">
        <row r="1">
          <cell r="J1">
            <v>1.7453292519943295E-2</v>
          </cell>
        </row>
      </sheetData>
      <sheetData sheetId="1936">
        <row r="1">
          <cell r="J1">
            <v>1.7453292519943295E-2</v>
          </cell>
        </row>
      </sheetData>
      <sheetData sheetId="1937">
        <row r="1">
          <cell r="J1">
            <v>1.7453292519943295E-2</v>
          </cell>
        </row>
      </sheetData>
      <sheetData sheetId="1938">
        <row r="1">
          <cell r="J1">
            <v>1.7453292519943295E-2</v>
          </cell>
        </row>
      </sheetData>
      <sheetData sheetId="1939">
        <row r="1">
          <cell r="J1">
            <v>1.7453292519943295E-2</v>
          </cell>
        </row>
      </sheetData>
      <sheetData sheetId="1940">
        <row r="1">
          <cell r="J1">
            <v>1.7453292519943295E-2</v>
          </cell>
        </row>
      </sheetData>
      <sheetData sheetId="1941">
        <row r="1">
          <cell r="J1">
            <v>1.7453292519943295E-2</v>
          </cell>
        </row>
      </sheetData>
      <sheetData sheetId="1942">
        <row r="1">
          <cell r="J1">
            <v>1.7453292519943295E-2</v>
          </cell>
        </row>
      </sheetData>
      <sheetData sheetId="1943">
        <row r="1">
          <cell r="J1">
            <v>1.7453292519943295E-2</v>
          </cell>
        </row>
      </sheetData>
      <sheetData sheetId="1944">
        <row r="1">
          <cell r="J1">
            <v>1.7453292519943295E-2</v>
          </cell>
        </row>
      </sheetData>
      <sheetData sheetId="1945">
        <row r="1">
          <cell r="J1">
            <v>1.7453292519943295E-2</v>
          </cell>
        </row>
      </sheetData>
      <sheetData sheetId="1946">
        <row r="1">
          <cell r="J1">
            <v>1.7453292519943295E-2</v>
          </cell>
        </row>
      </sheetData>
      <sheetData sheetId="1947">
        <row r="1">
          <cell r="J1">
            <v>1.7453292519943295E-2</v>
          </cell>
        </row>
      </sheetData>
      <sheetData sheetId="1948">
        <row r="1">
          <cell r="J1">
            <v>1.7453292519943295E-2</v>
          </cell>
        </row>
      </sheetData>
      <sheetData sheetId="1949">
        <row r="1">
          <cell r="J1">
            <v>1.7453292519943295E-2</v>
          </cell>
        </row>
      </sheetData>
      <sheetData sheetId="1950">
        <row r="1">
          <cell r="J1">
            <v>1.7453292519943295E-2</v>
          </cell>
        </row>
      </sheetData>
      <sheetData sheetId="1951">
        <row r="1">
          <cell r="J1">
            <v>1.7453292519943295E-2</v>
          </cell>
        </row>
      </sheetData>
      <sheetData sheetId="1952">
        <row r="1">
          <cell r="J1">
            <v>1.7453292519943295E-2</v>
          </cell>
        </row>
      </sheetData>
      <sheetData sheetId="1953">
        <row r="1">
          <cell r="J1">
            <v>1.7453292519943295E-2</v>
          </cell>
        </row>
      </sheetData>
      <sheetData sheetId="1954">
        <row r="1">
          <cell r="J1">
            <v>1.7453292519943295E-2</v>
          </cell>
        </row>
      </sheetData>
      <sheetData sheetId="1955">
        <row r="1">
          <cell r="J1">
            <v>1.7453292519943295E-2</v>
          </cell>
        </row>
      </sheetData>
      <sheetData sheetId="1956">
        <row r="1">
          <cell r="J1">
            <v>1.7453292519943295E-2</v>
          </cell>
        </row>
      </sheetData>
      <sheetData sheetId="1957">
        <row r="1">
          <cell r="J1">
            <v>1.7453292519943295E-2</v>
          </cell>
        </row>
      </sheetData>
      <sheetData sheetId="1958">
        <row r="1">
          <cell r="J1">
            <v>1.7453292519943295E-2</v>
          </cell>
        </row>
      </sheetData>
      <sheetData sheetId="1959">
        <row r="1">
          <cell r="J1">
            <v>1.7453292519943295E-2</v>
          </cell>
        </row>
      </sheetData>
      <sheetData sheetId="1960">
        <row r="1">
          <cell r="J1">
            <v>1.7453292519943295E-2</v>
          </cell>
        </row>
      </sheetData>
      <sheetData sheetId="1961">
        <row r="1">
          <cell r="J1">
            <v>1.7453292519943295E-2</v>
          </cell>
        </row>
      </sheetData>
      <sheetData sheetId="1962">
        <row r="1">
          <cell r="J1">
            <v>1.7453292519943295E-2</v>
          </cell>
        </row>
      </sheetData>
      <sheetData sheetId="1963">
        <row r="1">
          <cell r="J1">
            <v>1.7453292519943295E-2</v>
          </cell>
        </row>
      </sheetData>
      <sheetData sheetId="1964">
        <row r="1">
          <cell r="J1">
            <v>1.7453292519943295E-2</v>
          </cell>
        </row>
      </sheetData>
      <sheetData sheetId="1965">
        <row r="1">
          <cell r="J1">
            <v>1.7453292519943295E-2</v>
          </cell>
        </row>
      </sheetData>
      <sheetData sheetId="1966">
        <row r="1">
          <cell r="J1">
            <v>1.7453292519943295E-2</v>
          </cell>
        </row>
      </sheetData>
      <sheetData sheetId="1967">
        <row r="1">
          <cell r="J1">
            <v>1.7453292519943295E-2</v>
          </cell>
        </row>
      </sheetData>
      <sheetData sheetId="1968">
        <row r="1">
          <cell r="J1">
            <v>1.7453292519943295E-2</v>
          </cell>
        </row>
      </sheetData>
      <sheetData sheetId="1969">
        <row r="1">
          <cell r="J1">
            <v>1.7453292519943295E-2</v>
          </cell>
        </row>
      </sheetData>
      <sheetData sheetId="1970">
        <row r="1">
          <cell r="J1">
            <v>1.7453292519943295E-2</v>
          </cell>
        </row>
      </sheetData>
      <sheetData sheetId="1971">
        <row r="1">
          <cell r="J1">
            <v>1.7453292519943295E-2</v>
          </cell>
        </row>
      </sheetData>
      <sheetData sheetId="1972">
        <row r="1">
          <cell r="J1">
            <v>1.7453292519943295E-2</v>
          </cell>
        </row>
      </sheetData>
      <sheetData sheetId="1973">
        <row r="1">
          <cell r="J1">
            <v>1.7453292519943295E-2</v>
          </cell>
        </row>
      </sheetData>
      <sheetData sheetId="1974">
        <row r="1">
          <cell r="J1">
            <v>1.7453292519943295E-2</v>
          </cell>
        </row>
      </sheetData>
      <sheetData sheetId="1975">
        <row r="1">
          <cell r="J1">
            <v>1.7453292519943295E-2</v>
          </cell>
        </row>
      </sheetData>
      <sheetData sheetId="1976">
        <row r="1">
          <cell r="J1">
            <v>1.7453292519943295E-2</v>
          </cell>
        </row>
      </sheetData>
      <sheetData sheetId="1977">
        <row r="1">
          <cell r="J1">
            <v>1.7453292519943295E-2</v>
          </cell>
        </row>
      </sheetData>
      <sheetData sheetId="1978">
        <row r="1">
          <cell r="J1">
            <v>1.7453292519943295E-2</v>
          </cell>
        </row>
      </sheetData>
      <sheetData sheetId="1979">
        <row r="1">
          <cell r="J1">
            <v>1.7453292519943295E-2</v>
          </cell>
        </row>
      </sheetData>
      <sheetData sheetId="1980">
        <row r="1">
          <cell r="J1">
            <v>1.7453292519943295E-2</v>
          </cell>
        </row>
      </sheetData>
      <sheetData sheetId="1981">
        <row r="1">
          <cell r="J1">
            <v>1.7453292519943295E-2</v>
          </cell>
        </row>
      </sheetData>
      <sheetData sheetId="1982">
        <row r="1">
          <cell r="J1">
            <v>1.7453292519943295E-2</v>
          </cell>
        </row>
      </sheetData>
      <sheetData sheetId="1983">
        <row r="1">
          <cell r="J1">
            <v>1.7453292519943295E-2</v>
          </cell>
        </row>
      </sheetData>
      <sheetData sheetId="1984">
        <row r="1">
          <cell r="J1">
            <v>1.7453292519943295E-2</v>
          </cell>
        </row>
      </sheetData>
      <sheetData sheetId="1985">
        <row r="1">
          <cell r="J1">
            <v>1.7453292519943295E-2</v>
          </cell>
        </row>
      </sheetData>
      <sheetData sheetId="1986">
        <row r="1">
          <cell r="J1">
            <v>1.7453292519943295E-2</v>
          </cell>
        </row>
      </sheetData>
      <sheetData sheetId="1987">
        <row r="1">
          <cell r="J1">
            <v>1.7453292519943295E-2</v>
          </cell>
        </row>
      </sheetData>
      <sheetData sheetId="1988">
        <row r="1">
          <cell r="J1">
            <v>1.7453292519943295E-2</v>
          </cell>
        </row>
      </sheetData>
      <sheetData sheetId="1989">
        <row r="1">
          <cell r="J1">
            <v>1.7453292519943295E-2</v>
          </cell>
        </row>
      </sheetData>
      <sheetData sheetId="1990">
        <row r="1">
          <cell r="J1">
            <v>1.7453292519943295E-2</v>
          </cell>
        </row>
      </sheetData>
      <sheetData sheetId="1991">
        <row r="1">
          <cell r="J1">
            <v>1.7453292519943295E-2</v>
          </cell>
        </row>
      </sheetData>
      <sheetData sheetId="1992">
        <row r="1">
          <cell r="J1">
            <v>1.7453292519943295E-2</v>
          </cell>
        </row>
      </sheetData>
      <sheetData sheetId="1993">
        <row r="1">
          <cell r="J1">
            <v>1.7453292519943295E-2</v>
          </cell>
        </row>
      </sheetData>
      <sheetData sheetId="1994">
        <row r="1">
          <cell r="J1">
            <v>1.7453292519943295E-2</v>
          </cell>
        </row>
      </sheetData>
      <sheetData sheetId="1995">
        <row r="1">
          <cell r="J1">
            <v>1.7453292519943295E-2</v>
          </cell>
        </row>
      </sheetData>
      <sheetData sheetId="1996">
        <row r="1">
          <cell r="J1">
            <v>1.7453292519943295E-2</v>
          </cell>
        </row>
      </sheetData>
      <sheetData sheetId="1997">
        <row r="1">
          <cell r="J1">
            <v>1.7453292519943295E-2</v>
          </cell>
        </row>
      </sheetData>
      <sheetData sheetId="1998">
        <row r="1">
          <cell r="J1">
            <v>1.7453292519943295E-2</v>
          </cell>
        </row>
      </sheetData>
      <sheetData sheetId="1999">
        <row r="1">
          <cell r="J1">
            <v>1.7453292519943295E-2</v>
          </cell>
        </row>
      </sheetData>
      <sheetData sheetId="2000">
        <row r="1">
          <cell r="J1">
            <v>1.7453292519943295E-2</v>
          </cell>
        </row>
      </sheetData>
      <sheetData sheetId="2001">
        <row r="1">
          <cell r="J1">
            <v>1.7453292519943295E-2</v>
          </cell>
        </row>
      </sheetData>
      <sheetData sheetId="2002">
        <row r="1">
          <cell r="J1">
            <v>1.7453292519943295E-2</v>
          </cell>
        </row>
      </sheetData>
      <sheetData sheetId="2003">
        <row r="1">
          <cell r="J1">
            <v>1.7453292519943295E-2</v>
          </cell>
        </row>
      </sheetData>
      <sheetData sheetId="2004">
        <row r="1">
          <cell r="J1">
            <v>1.7453292519943295E-2</v>
          </cell>
        </row>
      </sheetData>
      <sheetData sheetId="2005">
        <row r="1">
          <cell r="J1">
            <v>1.7453292519943295E-2</v>
          </cell>
        </row>
      </sheetData>
      <sheetData sheetId="2006">
        <row r="1">
          <cell r="J1">
            <v>1.7453292519943295E-2</v>
          </cell>
        </row>
      </sheetData>
      <sheetData sheetId="2007">
        <row r="1">
          <cell r="J1">
            <v>1.7453292519943295E-2</v>
          </cell>
        </row>
      </sheetData>
      <sheetData sheetId="2008">
        <row r="1">
          <cell r="J1">
            <v>1.7453292519943295E-2</v>
          </cell>
        </row>
      </sheetData>
      <sheetData sheetId="2009">
        <row r="1">
          <cell r="J1">
            <v>1.7453292519943295E-2</v>
          </cell>
        </row>
      </sheetData>
      <sheetData sheetId="2010">
        <row r="1">
          <cell r="J1">
            <v>1.7453292519943295E-2</v>
          </cell>
        </row>
      </sheetData>
      <sheetData sheetId="2011">
        <row r="1">
          <cell r="J1">
            <v>1.7453292519943295E-2</v>
          </cell>
        </row>
      </sheetData>
      <sheetData sheetId="2012">
        <row r="1">
          <cell r="J1">
            <v>1.7453292519943295E-2</v>
          </cell>
        </row>
      </sheetData>
      <sheetData sheetId="2013">
        <row r="1">
          <cell r="J1">
            <v>1.7453292519943295E-2</v>
          </cell>
        </row>
      </sheetData>
      <sheetData sheetId="2014">
        <row r="1">
          <cell r="J1">
            <v>1.7453292519943295E-2</v>
          </cell>
        </row>
      </sheetData>
      <sheetData sheetId="2015">
        <row r="1">
          <cell r="J1">
            <v>1.7453292519943295E-2</v>
          </cell>
        </row>
      </sheetData>
      <sheetData sheetId="2016">
        <row r="1">
          <cell r="J1">
            <v>1.7453292519943295E-2</v>
          </cell>
        </row>
      </sheetData>
      <sheetData sheetId="2017">
        <row r="1">
          <cell r="J1">
            <v>1.7453292519943295E-2</v>
          </cell>
        </row>
      </sheetData>
      <sheetData sheetId="2018">
        <row r="1">
          <cell r="J1">
            <v>1.7453292519943295E-2</v>
          </cell>
        </row>
      </sheetData>
      <sheetData sheetId="2019">
        <row r="1">
          <cell r="J1">
            <v>1.7453292519943295E-2</v>
          </cell>
        </row>
      </sheetData>
      <sheetData sheetId="2020">
        <row r="1">
          <cell r="J1">
            <v>1.7453292519943295E-2</v>
          </cell>
        </row>
      </sheetData>
      <sheetData sheetId="2021">
        <row r="1">
          <cell r="J1">
            <v>1.7453292519943295E-2</v>
          </cell>
        </row>
      </sheetData>
      <sheetData sheetId="2022">
        <row r="1">
          <cell r="J1">
            <v>1.7453292519943295E-2</v>
          </cell>
        </row>
      </sheetData>
      <sheetData sheetId="2023">
        <row r="1">
          <cell r="J1">
            <v>1.7453292519943295E-2</v>
          </cell>
        </row>
      </sheetData>
      <sheetData sheetId="2024">
        <row r="1">
          <cell r="J1">
            <v>1.7453292519943295E-2</v>
          </cell>
        </row>
      </sheetData>
      <sheetData sheetId="2025">
        <row r="1">
          <cell r="J1">
            <v>1.7453292519943295E-2</v>
          </cell>
        </row>
      </sheetData>
      <sheetData sheetId="2026">
        <row r="1">
          <cell r="J1">
            <v>1.7453292519943295E-2</v>
          </cell>
        </row>
      </sheetData>
      <sheetData sheetId="2027">
        <row r="1">
          <cell r="J1">
            <v>1.7453292519943295E-2</v>
          </cell>
        </row>
      </sheetData>
      <sheetData sheetId="2028">
        <row r="1">
          <cell r="J1">
            <v>1.7453292519943295E-2</v>
          </cell>
        </row>
      </sheetData>
      <sheetData sheetId="2029">
        <row r="1">
          <cell r="J1">
            <v>1.7453292519943295E-2</v>
          </cell>
        </row>
      </sheetData>
      <sheetData sheetId="2030">
        <row r="1">
          <cell r="J1">
            <v>1.7453292519943295E-2</v>
          </cell>
        </row>
      </sheetData>
      <sheetData sheetId="2031">
        <row r="1">
          <cell r="J1">
            <v>1.7453292519943295E-2</v>
          </cell>
        </row>
      </sheetData>
      <sheetData sheetId="2032">
        <row r="1">
          <cell r="J1">
            <v>1.7453292519943295E-2</v>
          </cell>
        </row>
      </sheetData>
      <sheetData sheetId="2033">
        <row r="1">
          <cell r="J1">
            <v>1.7453292519943295E-2</v>
          </cell>
        </row>
      </sheetData>
      <sheetData sheetId="2034">
        <row r="1">
          <cell r="J1">
            <v>1.7453292519943295E-2</v>
          </cell>
        </row>
      </sheetData>
      <sheetData sheetId="2035">
        <row r="1">
          <cell r="J1">
            <v>1.7453292519943295E-2</v>
          </cell>
        </row>
      </sheetData>
      <sheetData sheetId="2036">
        <row r="1">
          <cell r="J1">
            <v>1.7453292519943295E-2</v>
          </cell>
        </row>
      </sheetData>
      <sheetData sheetId="2037">
        <row r="1">
          <cell r="J1">
            <v>1.7453292519943295E-2</v>
          </cell>
        </row>
      </sheetData>
      <sheetData sheetId="2038">
        <row r="1">
          <cell r="J1">
            <v>1.7453292519943295E-2</v>
          </cell>
        </row>
      </sheetData>
      <sheetData sheetId="2039">
        <row r="1">
          <cell r="J1">
            <v>1.7453292519943295E-2</v>
          </cell>
        </row>
      </sheetData>
      <sheetData sheetId="2040">
        <row r="1">
          <cell r="J1">
            <v>1.7453292519943295E-2</v>
          </cell>
        </row>
      </sheetData>
      <sheetData sheetId="2041">
        <row r="1">
          <cell r="J1">
            <v>1.7453292519943295E-2</v>
          </cell>
        </row>
      </sheetData>
      <sheetData sheetId="2042">
        <row r="1">
          <cell r="J1">
            <v>1.7453292519943295E-2</v>
          </cell>
        </row>
      </sheetData>
      <sheetData sheetId="2043">
        <row r="1">
          <cell r="J1">
            <v>1.7453292519943295E-2</v>
          </cell>
        </row>
      </sheetData>
      <sheetData sheetId="2044">
        <row r="1">
          <cell r="J1">
            <v>1.7453292519943295E-2</v>
          </cell>
        </row>
      </sheetData>
      <sheetData sheetId="2045">
        <row r="1">
          <cell r="J1">
            <v>1.7453292519943295E-2</v>
          </cell>
        </row>
      </sheetData>
      <sheetData sheetId="2046">
        <row r="1">
          <cell r="J1">
            <v>1.7453292519943295E-2</v>
          </cell>
        </row>
      </sheetData>
      <sheetData sheetId="2047">
        <row r="1">
          <cell r="J1">
            <v>1.7453292519943295E-2</v>
          </cell>
        </row>
      </sheetData>
      <sheetData sheetId="2048">
        <row r="1">
          <cell r="J1">
            <v>1.7453292519943295E-2</v>
          </cell>
        </row>
      </sheetData>
      <sheetData sheetId="2049">
        <row r="1">
          <cell r="J1">
            <v>1.7453292519943295E-2</v>
          </cell>
        </row>
      </sheetData>
      <sheetData sheetId="2050">
        <row r="1">
          <cell r="J1">
            <v>1.7453292519943295E-2</v>
          </cell>
        </row>
      </sheetData>
      <sheetData sheetId="2051">
        <row r="1">
          <cell r="J1">
            <v>1.7453292519943295E-2</v>
          </cell>
        </row>
      </sheetData>
      <sheetData sheetId="2052">
        <row r="1">
          <cell r="J1">
            <v>1.7453292519943295E-2</v>
          </cell>
        </row>
      </sheetData>
      <sheetData sheetId="2053">
        <row r="1">
          <cell r="J1">
            <v>1.7453292519943295E-2</v>
          </cell>
        </row>
      </sheetData>
      <sheetData sheetId="2054">
        <row r="1">
          <cell r="J1">
            <v>1.7453292519943295E-2</v>
          </cell>
        </row>
      </sheetData>
      <sheetData sheetId="2055">
        <row r="1">
          <cell r="J1">
            <v>1.7453292519943295E-2</v>
          </cell>
        </row>
      </sheetData>
      <sheetData sheetId="2056">
        <row r="1">
          <cell r="J1">
            <v>1.7453292519943295E-2</v>
          </cell>
        </row>
      </sheetData>
      <sheetData sheetId="2057">
        <row r="1">
          <cell r="J1">
            <v>1.7453292519943295E-2</v>
          </cell>
        </row>
      </sheetData>
      <sheetData sheetId="2058">
        <row r="1">
          <cell r="J1">
            <v>1.7453292519943295E-2</v>
          </cell>
        </row>
      </sheetData>
      <sheetData sheetId="2059">
        <row r="1">
          <cell r="J1">
            <v>1.7453292519943295E-2</v>
          </cell>
        </row>
      </sheetData>
      <sheetData sheetId="2060">
        <row r="1">
          <cell r="J1">
            <v>1.7453292519943295E-2</v>
          </cell>
        </row>
      </sheetData>
      <sheetData sheetId="2061">
        <row r="1">
          <cell r="J1">
            <v>1.7453292519943295E-2</v>
          </cell>
        </row>
      </sheetData>
      <sheetData sheetId="2062">
        <row r="1">
          <cell r="J1">
            <v>1.7453292519943295E-2</v>
          </cell>
        </row>
      </sheetData>
      <sheetData sheetId="2063">
        <row r="1">
          <cell r="J1">
            <v>1.7453292519943295E-2</v>
          </cell>
        </row>
      </sheetData>
      <sheetData sheetId="2064">
        <row r="1">
          <cell r="J1">
            <v>1.7453292519943295E-2</v>
          </cell>
        </row>
      </sheetData>
      <sheetData sheetId="2065">
        <row r="1">
          <cell r="J1">
            <v>1.7453292519943295E-2</v>
          </cell>
        </row>
      </sheetData>
      <sheetData sheetId="2066">
        <row r="1">
          <cell r="J1">
            <v>1.7453292519943295E-2</v>
          </cell>
        </row>
      </sheetData>
      <sheetData sheetId="2067">
        <row r="1">
          <cell r="J1">
            <v>1.7453292519943295E-2</v>
          </cell>
        </row>
      </sheetData>
      <sheetData sheetId="2068">
        <row r="1">
          <cell r="J1">
            <v>1.7453292519943295E-2</v>
          </cell>
        </row>
      </sheetData>
      <sheetData sheetId="2069">
        <row r="1">
          <cell r="J1">
            <v>1.7453292519943295E-2</v>
          </cell>
        </row>
      </sheetData>
      <sheetData sheetId="2070">
        <row r="1">
          <cell r="J1">
            <v>1.7453292519943295E-2</v>
          </cell>
        </row>
      </sheetData>
      <sheetData sheetId="2071">
        <row r="1">
          <cell r="J1">
            <v>1.7453292519943295E-2</v>
          </cell>
        </row>
      </sheetData>
      <sheetData sheetId="2072">
        <row r="1">
          <cell r="J1">
            <v>1.7453292519943295E-2</v>
          </cell>
        </row>
      </sheetData>
      <sheetData sheetId="2073">
        <row r="1">
          <cell r="J1">
            <v>1.7453292519943295E-2</v>
          </cell>
        </row>
      </sheetData>
      <sheetData sheetId="2074">
        <row r="1">
          <cell r="J1">
            <v>1.7453292519943295E-2</v>
          </cell>
        </row>
      </sheetData>
      <sheetData sheetId="2075">
        <row r="1">
          <cell r="J1">
            <v>1.7453292519943295E-2</v>
          </cell>
        </row>
      </sheetData>
      <sheetData sheetId="2076">
        <row r="1">
          <cell r="J1">
            <v>1.7453292519943295E-2</v>
          </cell>
        </row>
      </sheetData>
      <sheetData sheetId="2077">
        <row r="1">
          <cell r="J1">
            <v>1.7453292519943295E-2</v>
          </cell>
        </row>
      </sheetData>
      <sheetData sheetId="2078">
        <row r="1">
          <cell r="J1">
            <v>1.7453292519943295E-2</v>
          </cell>
        </row>
      </sheetData>
      <sheetData sheetId="2079">
        <row r="1">
          <cell r="J1">
            <v>1.7453292519943295E-2</v>
          </cell>
        </row>
      </sheetData>
      <sheetData sheetId="2080">
        <row r="1">
          <cell r="J1">
            <v>1.7453292519943295E-2</v>
          </cell>
        </row>
      </sheetData>
      <sheetData sheetId="2081">
        <row r="1">
          <cell r="J1">
            <v>1.7453292519943295E-2</v>
          </cell>
        </row>
      </sheetData>
      <sheetData sheetId="2082">
        <row r="1">
          <cell r="J1">
            <v>1.7453292519943295E-2</v>
          </cell>
        </row>
      </sheetData>
      <sheetData sheetId="2083">
        <row r="1">
          <cell r="J1">
            <v>1.7453292519943295E-2</v>
          </cell>
        </row>
      </sheetData>
      <sheetData sheetId="2084">
        <row r="1">
          <cell r="J1">
            <v>1.7453292519943295E-2</v>
          </cell>
        </row>
      </sheetData>
      <sheetData sheetId="2085">
        <row r="1">
          <cell r="J1">
            <v>1.7453292519943295E-2</v>
          </cell>
        </row>
      </sheetData>
      <sheetData sheetId="2086">
        <row r="1">
          <cell r="J1">
            <v>1.7453292519943295E-2</v>
          </cell>
        </row>
      </sheetData>
      <sheetData sheetId="2087">
        <row r="1">
          <cell r="J1">
            <v>1.7453292519943295E-2</v>
          </cell>
        </row>
      </sheetData>
      <sheetData sheetId="2088">
        <row r="1">
          <cell r="J1">
            <v>1.7453292519943295E-2</v>
          </cell>
        </row>
      </sheetData>
      <sheetData sheetId="2089">
        <row r="1">
          <cell r="J1">
            <v>1.7453292519943295E-2</v>
          </cell>
        </row>
      </sheetData>
      <sheetData sheetId="2090">
        <row r="1">
          <cell r="J1">
            <v>1.7453292519943295E-2</v>
          </cell>
        </row>
      </sheetData>
      <sheetData sheetId="2091">
        <row r="1">
          <cell r="J1">
            <v>1.7453292519943295E-2</v>
          </cell>
        </row>
      </sheetData>
      <sheetData sheetId="2092">
        <row r="1">
          <cell r="J1">
            <v>1.7453292519943295E-2</v>
          </cell>
        </row>
      </sheetData>
      <sheetData sheetId="2093">
        <row r="1">
          <cell r="J1">
            <v>1.7453292519943295E-2</v>
          </cell>
        </row>
      </sheetData>
      <sheetData sheetId="2094">
        <row r="1">
          <cell r="J1">
            <v>1.7453292519943295E-2</v>
          </cell>
        </row>
      </sheetData>
      <sheetData sheetId="2095">
        <row r="1">
          <cell r="J1">
            <v>1.7453292519943295E-2</v>
          </cell>
        </row>
      </sheetData>
      <sheetData sheetId="2096">
        <row r="1">
          <cell r="J1">
            <v>1.7453292519943295E-2</v>
          </cell>
        </row>
      </sheetData>
      <sheetData sheetId="2097">
        <row r="1">
          <cell r="J1">
            <v>1.7453292519943295E-2</v>
          </cell>
        </row>
      </sheetData>
      <sheetData sheetId="2098">
        <row r="1">
          <cell r="J1">
            <v>1.7453292519943295E-2</v>
          </cell>
        </row>
      </sheetData>
      <sheetData sheetId="2099">
        <row r="1">
          <cell r="J1">
            <v>1.7453292519943295E-2</v>
          </cell>
        </row>
      </sheetData>
      <sheetData sheetId="2100">
        <row r="1">
          <cell r="J1">
            <v>1.7453292519943295E-2</v>
          </cell>
        </row>
      </sheetData>
      <sheetData sheetId="2101">
        <row r="1">
          <cell r="J1">
            <v>1.7453292519943295E-2</v>
          </cell>
        </row>
      </sheetData>
      <sheetData sheetId="2102">
        <row r="1">
          <cell r="J1">
            <v>1.7453292519943295E-2</v>
          </cell>
        </row>
      </sheetData>
      <sheetData sheetId="2103">
        <row r="1">
          <cell r="J1">
            <v>1.7453292519943295E-2</v>
          </cell>
        </row>
      </sheetData>
      <sheetData sheetId="2104">
        <row r="1">
          <cell r="J1">
            <v>1.7453292519943295E-2</v>
          </cell>
        </row>
      </sheetData>
      <sheetData sheetId="2105">
        <row r="1">
          <cell r="J1">
            <v>1.7453292519943295E-2</v>
          </cell>
        </row>
      </sheetData>
      <sheetData sheetId="2106">
        <row r="1">
          <cell r="J1">
            <v>1.7453292519943295E-2</v>
          </cell>
        </row>
      </sheetData>
      <sheetData sheetId="2107">
        <row r="1">
          <cell r="J1">
            <v>1.7453292519943295E-2</v>
          </cell>
        </row>
      </sheetData>
      <sheetData sheetId="2108">
        <row r="1">
          <cell r="J1">
            <v>1.7453292519943295E-2</v>
          </cell>
        </row>
      </sheetData>
      <sheetData sheetId="2109">
        <row r="1">
          <cell r="J1">
            <v>1.7453292519943295E-2</v>
          </cell>
        </row>
      </sheetData>
      <sheetData sheetId="2110">
        <row r="1">
          <cell r="J1">
            <v>1.7453292519943295E-2</v>
          </cell>
        </row>
      </sheetData>
      <sheetData sheetId="2111">
        <row r="1">
          <cell r="J1">
            <v>1.7453292519943295E-2</v>
          </cell>
        </row>
      </sheetData>
      <sheetData sheetId="2112">
        <row r="1">
          <cell r="J1">
            <v>1.7453292519943295E-2</v>
          </cell>
        </row>
      </sheetData>
      <sheetData sheetId="2113">
        <row r="1">
          <cell r="J1">
            <v>1.7453292519943295E-2</v>
          </cell>
        </row>
      </sheetData>
      <sheetData sheetId="2114">
        <row r="1">
          <cell r="J1">
            <v>1.7453292519943295E-2</v>
          </cell>
        </row>
      </sheetData>
      <sheetData sheetId="2115">
        <row r="1">
          <cell r="J1">
            <v>1.7453292519943295E-2</v>
          </cell>
        </row>
      </sheetData>
      <sheetData sheetId="2116">
        <row r="1">
          <cell r="J1">
            <v>1.7453292519943295E-2</v>
          </cell>
        </row>
      </sheetData>
      <sheetData sheetId="2117">
        <row r="1">
          <cell r="J1">
            <v>1.7453292519943295E-2</v>
          </cell>
        </row>
      </sheetData>
      <sheetData sheetId="2118">
        <row r="1">
          <cell r="J1">
            <v>1.7453292519943295E-2</v>
          </cell>
        </row>
      </sheetData>
      <sheetData sheetId="2119">
        <row r="1">
          <cell r="J1">
            <v>1.7453292519943295E-2</v>
          </cell>
        </row>
      </sheetData>
      <sheetData sheetId="2120">
        <row r="1">
          <cell r="J1">
            <v>1.7453292519943295E-2</v>
          </cell>
        </row>
      </sheetData>
      <sheetData sheetId="2121">
        <row r="1">
          <cell r="J1">
            <v>1.7453292519943295E-2</v>
          </cell>
        </row>
      </sheetData>
      <sheetData sheetId="2122">
        <row r="1">
          <cell r="J1">
            <v>1.7453292519943295E-2</v>
          </cell>
        </row>
      </sheetData>
      <sheetData sheetId="2123">
        <row r="1">
          <cell r="J1">
            <v>1.7453292519943295E-2</v>
          </cell>
        </row>
      </sheetData>
      <sheetData sheetId="2124">
        <row r="1">
          <cell r="J1">
            <v>1.7453292519943295E-2</v>
          </cell>
        </row>
      </sheetData>
      <sheetData sheetId="2125">
        <row r="1">
          <cell r="J1">
            <v>1.7453292519943295E-2</v>
          </cell>
        </row>
      </sheetData>
      <sheetData sheetId="2126">
        <row r="1">
          <cell r="J1">
            <v>1.7453292519943295E-2</v>
          </cell>
        </row>
      </sheetData>
      <sheetData sheetId="2127">
        <row r="1">
          <cell r="J1">
            <v>1.7453292519943295E-2</v>
          </cell>
        </row>
      </sheetData>
      <sheetData sheetId="2128">
        <row r="1">
          <cell r="J1">
            <v>1.7453292519943295E-2</v>
          </cell>
        </row>
      </sheetData>
      <sheetData sheetId="2129">
        <row r="1">
          <cell r="J1">
            <v>1.7453292519943295E-2</v>
          </cell>
        </row>
      </sheetData>
      <sheetData sheetId="2130">
        <row r="1">
          <cell r="J1">
            <v>1.7453292519943295E-2</v>
          </cell>
        </row>
      </sheetData>
      <sheetData sheetId="2131">
        <row r="1">
          <cell r="J1">
            <v>1.7453292519943295E-2</v>
          </cell>
        </row>
      </sheetData>
      <sheetData sheetId="2132">
        <row r="1">
          <cell r="J1">
            <v>1.7453292519943295E-2</v>
          </cell>
        </row>
      </sheetData>
      <sheetData sheetId="2133">
        <row r="1">
          <cell r="J1">
            <v>1.7453292519943295E-2</v>
          </cell>
        </row>
      </sheetData>
      <sheetData sheetId="2134">
        <row r="1">
          <cell r="J1">
            <v>1.7453292519943295E-2</v>
          </cell>
        </row>
      </sheetData>
      <sheetData sheetId="2135">
        <row r="1">
          <cell r="J1">
            <v>1.7453292519943295E-2</v>
          </cell>
        </row>
      </sheetData>
      <sheetData sheetId="2136">
        <row r="1">
          <cell r="J1">
            <v>1.7453292519943295E-2</v>
          </cell>
        </row>
      </sheetData>
      <sheetData sheetId="2137">
        <row r="1">
          <cell r="J1">
            <v>1.7453292519943295E-2</v>
          </cell>
        </row>
      </sheetData>
      <sheetData sheetId="2138">
        <row r="1">
          <cell r="J1">
            <v>1.7453292519943295E-2</v>
          </cell>
        </row>
      </sheetData>
      <sheetData sheetId="2139">
        <row r="1">
          <cell r="J1">
            <v>1.7453292519943295E-2</v>
          </cell>
        </row>
      </sheetData>
      <sheetData sheetId="2140">
        <row r="1">
          <cell r="J1">
            <v>1.7453292519943295E-2</v>
          </cell>
        </row>
      </sheetData>
      <sheetData sheetId="2141">
        <row r="1">
          <cell r="J1">
            <v>1.7453292519943295E-2</v>
          </cell>
        </row>
      </sheetData>
      <sheetData sheetId="2142">
        <row r="1">
          <cell r="J1">
            <v>1.7453292519943295E-2</v>
          </cell>
        </row>
      </sheetData>
      <sheetData sheetId="2143">
        <row r="1">
          <cell r="J1">
            <v>1.7453292519943295E-2</v>
          </cell>
        </row>
      </sheetData>
      <sheetData sheetId="2144">
        <row r="1">
          <cell r="J1">
            <v>1.7453292519943295E-2</v>
          </cell>
        </row>
      </sheetData>
      <sheetData sheetId="2145">
        <row r="1">
          <cell r="J1">
            <v>1.7453292519943295E-2</v>
          </cell>
        </row>
      </sheetData>
      <sheetData sheetId="2146">
        <row r="1">
          <cell r="J1">
            <v>1.7453292519943295E-2</v>
          </cell>
        </row>
      </sheetData>
      <sheetData sheetId="2147">
        <row r="1">
          <cell r="J1">
            <v>1.7453292519943295E-2</v>
          </cell>
        </row>
      </sheetData>
      <sheetData sheetId="2148">
        <row r="1">
          <cell r="J1">
            <v>1.7453292519943295E-2</v>
          </cell>
        </row>
      </sheetData>
      <sheetData sheetId="2149">
        <row r="1">
          <cell r="J1">
            <v>1.7453292519943295E-2</v>
          </cell>
        </row>
      </sheetData>
      <sheetData sheetId="2150">
        <row r="1">
          <cell r="J1">
            <v>1.7453292519943295E-2</v>
          </cell>
        </row>
      </sheetData>
      <sheetData sheetId="2151">
        <row r="1">
          <cell r="J1">
            <v>1.7453292519943295E-2</v>
          </cell>
        </row>
      </sheetData>
      <sheetData sheetId="2152">
        <row r="1">
          <cell r="J1">
            <v>1.7453292519943295E-2</v>
          </cell>
        </row>
      </sheetData>
      <sheetData sheetId="2153">
        <row r="1">
          <cell r="J1">
            <v>1.7453292519943295E-2</v>
          </cell>
        </row>
      </sheetData>
      <sheetData sheetId="2154">
        <row r="1">
          <cell r="J1">
            <v>1.7453292519943295E-2</v>
          </cell>
        </row>
      </sheetData>
      <sheetData sheetId="2155">
        <row r="1">
          <cell r="J1">
            <v>1.7453292519943295E-2</v>
          </cell>
        </row>
      </sheetData>
      <sheetData sheetId="2156">
        <row r="1">
          <cell r="J1">
            <v>1.7453292519943295E-2</v>
          </cell>
        </row>
      </sheetData>
      <sheetData sheetId="2157">
        <row r="1">
          <cell r="J1">
            <v>1.7453292519943295E-2</v>
          </cell>
        </row>
      </sheetData>
      <sheetData sheetId="2158">
        <row r="1">
          <cell r="J1">
            <v>1.7453292519943295E-2</v>
          </cell>
        </row>
      </sheetData>
      <sheetData sheetId="2159">
        <row r="1">
          <cell r="J1">
            <v>1.7453292519943295E-2</v>
          </cell>
        </row>
      </sheetData>
      <sheetData sheetId="2160">
        <row r="1">
          <cell r="J1">
            <v>1.7453292519943295E-2</v>
          </cell>
        </row>
      </sheetData>
      <sheetData sheetId="2161">
        <row r="1">
          <cell r="J1">
            <v>1.7453292519943295E-2</v>
          </cell>
        </row>
      </sheetData>
      <sheetData sheetId="2162">
        <row r="1">
          <cell r="J1">
            <v>1.7453292519943295E-2</v>
          </cell>
        </row>
      </sheetData>
      <sheetData sheetId="2163">
        <row r="1">
          <cell r="J1">
            <v>1.7453292519943295E-2</v>
          </cell>
        </row>
      </sheetData>
      <sheetData sheetId="2164">
        <row r="1">
          <cell r="J1">
            <v>1.7453292519943295E-2</v>
          </cell>
        </row>
      </sheetData>
      <sheetData sheetId="2165">
        <row r="1">
          <cell r="J1">
            <v>1.7453292519943295E-2</v>
          </cell>
        </row>
      </sheetData>
      <sheetData sheetId="2166">
        <row r="1">
          <cell r="J1">
            <v>1.7453292519943295E-2</v>
          </cell>
        </row>
      </sheetData>
      <sheetData sheetId="2167">
        <row r="1">
          <cell r="J1">
            <v>1.7453292519943295E-2</v>
          </cell>
        </row>
      </sheetData>
      <sheetData sheetId="2168">
        <row r="1">
          <cell r="J1">
            <v>1.7453292519943295E-2</v>
          </cell>
        </row>
      </sheetData>
      <sheetData sheetId="2169">
        <row r="1">
          <cell r="J1">
            <v>1.7453292519943295E-2</v>
          </cell>
        </row>
      </sheetData>
      <sheetData sheetId="2170">
        <row r="1">
          <cell r="J1">
            <v>1.7453292519943295E-2</v>
          </cell>
        </row>
      </sheetData>
      <sheetData sheetId="2171">
        <row r="1">
          <cell r="J1">
            <v>1.7453292519943295E-2</v>
          </cell>
        </row>
      </sheetData>
      <sheetData sheetId="2172">
        <row r="1">
          <cell r="J1">
            <v>1.7453292519943295E-2</v>
          </cell>
        </row>
      </sheetData>
      <sheetData sheetId="2173">
        <row r="1">
          <cell r="J1">
            <v>1.7453292519943295E-2</v>
          </cell>
        </row>
      </sheetData>
      <sheetData sheetId="2174">
        <row r="1">
          <cell r="J1">
            <v>1.7453292519943295E-2</v>
          </cell>
        </row>
      </sheetData>
      <sheetData sheetId="2175">
        <row r="1">
          <cell r="J1">
            <v>1.7453292519943295E-2</v>
          </cell>
        </row>
      </sheetData>
      <sheetData sheetId="2176">
        <row r="1">
          <cell r="J1">
            <v>1.7453292519943295E-2</v>
          </cell>
        </row>
      </sheetData>
      <sheetData sheetId="2177">
        <row r="1">
          <cell r="J1">
            <v>1.7453292519943295E-2</v>
          </cell>
        </row>
      </sheetData>
      <sheetData sheetId="2178">
        <row r="1">
          <cell r="J1">
            <v>1.7453292519943295E-2</v>
          </cell>
        </row>
      </sheetData>
      <sheetData sheetId="2179">
        <row r="1">
          <cell r="J1">
            <v>1.7453292519943295E-2</v>
          </cell>
        </row>
      </sheetData>
      <sheetData sheetId="2180">
        <row r="1">
          <cell r="J1">
            <v>1.7453292519943295E-2</v>
          </cell>
        </row>
      </sheetData>
      <sheetData sheetId="2181">
        <row r="1">
          <cell r="J1">
            <v>1.7453292519943295E-2</v>
          </cell>
        </row>
      </sheetData>
      <sheetData sheetId="2182">
        <row r="1">
          <cell r="J1">
            <v>1.7453292519943295E-2</v>
          </cell>
        </row>
      </sheetData>
      <sheetData sheetId="2183">
        <row r="1">
          <cell r="J1">
            <v>1.7453292519943295E-2</v>
          </cell>
        </row>
      </sheetData>
      <sheetData sheetId="2184">
        <row r="1">
          <cell r="J1">
            <v>1.7453292519943295E-2</v>
          </cell>
        </row>
      </sheetData>
      <sheetData sheetId="2185">
        <row r="1">
          <cell r="J1">
            <v>1.7453292519943295E-2</v>
          </cell>
        </row>
      </sheetData>
      <sheetData sheetId="2186">
        <row r="1">
          <cell r="J1">
            <v>1.7453292519943295E-2</v>
          </cell>
        </row>
      </sheetData>
      <sheetData sheetId="2187">
        <row r="1">
          <cell r="J1">
            <v>1.7453292519943295E-2</v>
          </cell>
        </row>
      </sheetData>
      <sheetData sheetId="2188">
        <row r="1">
          <cell r="J1">
            <v>1.7453292519943295E-2</v>
          </cell>
        </row>
      </sheetData>
      <sheetData sheetId="2189">
        <row r="1">
          <cell r="J1">
            <v>1.7453292519943295E-2</v>
          </cell>
        </row>
      </sheetData>
      <sheetData sheetId="2190">
        <row r="1">
          <cell r="J1">
            <v>1.7453292519943295E-2</v>
          </cell>
        </row>
      </sheetData>
      <sheetData sheetId="2191">
        <row r="1">
          <cell r="J1">
            <v>1.7453292519943295E-2</v>
          </cell>
        </row>
      </sheetData>
      <sheetData sheetId="2192">
        <row r="1">
          <cell r="J1">
            <v>1.7453292519943295E-2</v>
          </cell>
        </row>
      </sheetData>
      <sheetData sheetId="2193">
        <row r="1">
          <cell r="J1">
            <v>1.7453292519943295E-2</v>
          </cell>
        </row>
      </sheetData>
      <sheetData sheetId="2194">
        <row r="1">
          <cell r="J1">
            <v>1.7453292519943295E-2</v>
          </cell>
        </row>
      </sheetData>
      <sheetData sheetId="2195">
        <row r="1">
          <cell r="J1">
            <v>1.7453292519943295E-2</v>
          </cell>
        </row>
      </sheetData>
      <sheetData sheetId="2196">
        <row r="1">
          <cell r="J1">
            <v>1.7453292519943295E-2</v>
          </cell>
        </row>
      </sheetData>
      <sheetData sheetId="2197">
        <row r="1">
          <cell r="J1">
            <v>1.7453292519943295E-2</v>
          </cell>
        </row>
      </sheetData>
      <sheetData sheetId="2198">
        <row r="1">
          <cell r="J1">
            <v>1.7453292519943295E-2</v>
          </cell>
        </row>
      </sheetData>
      <sheetData sheetId="2199">
        <row r="1">
          <cell r="J1">
            <v>1.7453292519943295E-2</v>
          </cell>
        </row>
      </sheetData>
      <sheetData sheetId="2200">
        <row r="1">
          <cell r="J1">
            <v>1.7453292519943295E-2</v>
          </cell>
        </row>
      </sheetData>
      <sheetData sheetId="2201">
        <row r="1">
          <cell r="J1">
            <v>1.7453292519943295E-2</v>
          </cell>
        </row>
      </sheetData>
      <sheetData sheetId="2202">
        <row r="1">
          <cell r="J1">
            <v>1.7453292519943295E-2</v>
          </cell>
        </row>
      </sheetData>
      <sheetData sheetId="2203">
        <row r="1">
          <cell r="J1">
            <v>1.7453292519943295E-2</v>
          </cell>
        </row>
      </sheetData>
      <sheetData sheetId="2204">
        <row r="1">
          <cell r="J1">
            <v>1.7453292519943295E-2</v>
          </cell>
        </row>
      </sheetData>
      <sheetData sheetId="2205">
        <row r="1">
          <cell r="J1">
            <v>1.7453292519943295E-2</v>
          </cell>
        </row>
      </sheetData>
      <sheetData sheetId="2206">
        <row r="1">
          <cell r="J1">
            <v>1.7453292519943295E-2</v>
          </cell>
        </row>
      </sheetData>
      <sheetData sheetId="2207">
        <row r="1">
          <cell r="J1">
            <v>1.7453292519943295E-2</v>
          </cell>
        </row>
      </sheetData>
      <sheetData sheetId="2208">
        <row r="1">
          <cell r="J1">
            <v>1.7453292519943295E-2</v>
          </cell>
        </row>
      </sheetData>
      <sheetData sheetId="2209">
        <row r="1">
          <cell r="J1">
            <v>1.7453292519943295E-2</v>
          </cell>
        </row>
      </sheetData>
      <sheetData sheetId="2210">
        <row r="1">
          <cell r="J1">
            <v>1.7453292519943295E-2</v>
          </cell>
        </row>
      </sheetData>
      <sheetData sheetId="2211">
        <row r="1">
          <cell r="J1">
            <v>1.7453292519943295E-2</v>
          </cell>
        </row>
      </sheetData>
      <sheetData sheetId="2212">
        <row r="1">
          <cell r="J1">
            <v>1.7453292519943295E-2</v>
          </cell>
        </row>
      </sheetData>
      <sheetData sheetId="2213">
        <row r="1">
          <cell r="J1">
            <v>1.7453292519943295E-2</v>
          </cell>
        </row>
      </sheetData>
      <sheetData sheetId="2214">
        <row r="1">
          <cell r="J1">
            <v>1.7453292519943295E-2</v>
          </cell>
        </row>
      </sheetData>
      <sheetData sheetId="2215">
        <row r="1">
          <cell r="J1">
            <v>1.7453292519943295E-2</v>
          </cell>
        </row>
      </sheetData>
      <sheetData sheetId="2216">
        <row r="1">
          <cell r="J1">
            <v>1.7453292519943295E-2</v>
          </cell>
        </row>
      </sheetData>
      <sheetData sheetId="2217">
        <row r="1">
          <cell r="J1">
            <v>1.7453292519943295E-2</v>
          </cell>
        </row>
      </sheetData>
      <sheetData sheetId="2218">
        <row r="1">
          <cell r="J1">
            <v>1.7453292519943295E-2</v>
          </cell>
        </row>
      </sheetData>
      <sheetData sheetId="2219">
        <row r="1">
          <cell r="J1">
            <v>1.7453292519943295E-2</v>
          </cell>
        </row>
      </sheetData>
      <sheetData sheetId="2220">
        <row r="1">
          <cell r="J1">
            <v>1.7453292519943295E-2</v>
          </cell>
        </row>
      </sheetData>
      <sheetData sheetId="2221">
        <row r="1">
          <cell r="J1">
            <v>1.7453292519943295E-2</v>
          </cell>
        </row>
      </sheetData>
      <sheetData sheetId="2222">
        <row r="1">
          <cell r="J1">
            <v>1.7453292519943295E-2</v>
          </cell>
        </row>
      </sheetData>
      <sheetData sheetId="2223">
        <row r="1">
          <cell r="J1">
            <v>1.7453292519943295E-2</v>
          </cell>
        </row>
      </sheetData>
      <sheetData sheetId="2224">
        <row r="1">
          <cell r="J1">
            <v>1.7453292519943295E-2</v>
          </cell>
        </row>
      </sheetData>
      <sheetData sheetId="2225">
        <row r="1">
          <cell r="J1">
            <v>1.7453292519943295E-2</v>
          </cell>
        </row>
      </sheetData>
      <sheetData sheetId="2226">
        <row r="1">
          <cell r="J1">
            <v>1.7453292519943295E-2</v>
          </cell>
        </row>
      </sheetData>
      <sheetData sheetId="2227">
        <row r="1">
          <cell r="J1">
            <v>1.7453292519943295E-2</v>
          </cell>
        </row>
      </sheetData>
      <sheetData sheetId="2228">
        <row r="1">
          <cell r="J1">
            <v>1.7453292519943295E-2</v>
          </cell>
        </row>
      </sheetData>
      <sheetData sheetId="2229">
        <row r="1">
          <cell r="J1">
            <v>1.7453292519943295E-2</v>
          </cell>
        </row>
      </sheetData>
      <sheetData sheetId="2230">
        <row r="1">
          <cell r="J1">
            <v>1.7453292519943295E-2</v>
          </cell>
        </row>
      </sheetData>
      <sheetData sheetId="2231">
        <row r="1">
          <cell r="J1">
            <v>1.7453292519943295E-2</v>
          </cell>
        </row>
      </sheetData>
      <sheetData sheetId="2232">
        <row r="1">
          <cell r="J1">
            <v>1.7453292519943295E-2</v>
          </cell>
        </row>
      </sheetData>
      <sheetData sheetId="2233">
        <row r="1">
          <cell r="J1">
            <v>1.7453292519943295E-2</v>
          </cell>
        </row>
      </sheetData>
      <sheetData sheetId="2234">
        <row r="1">
          <cell r="J1">
            <v>1.7453292519943295E-2</v>
          </cell>
        </row>
      </sheetData>
      <sheetData sheetId="2235">
        <row r="1">
          <cell r="J1">
            <v>1.7453292519943295E-2</v>
          </cell>
        </row>
      </sheetData>
      <sheetData sheetId="2236">
        <row r="1">
          <cell r="J1">
            <v>1.7453292519943295E-2</v>
          </cell>
        </row>
      </sheetData>
      <sheetData sheetId="2237">
        <row r="1">
          <cell r="J1">
            <v>1.7453292519943295E-2</v>
          </cell>
        </row>
      </sheetData>
      <sheetData sheetId="2238">
        <row r="1">
          <cell r="J1">
            <v>1.7453292519943295E-2</v>
          </cell>
        </row>
      </sheetData>
      <sheetData sheetId="2239">
        <row r="1">
          <cell r="J1">
            <v>1.7453292519943295E-2</v>
          </cell>
        </row>
      </sheetData>
      <sheetData sheetId="2240">
        <row r="1">
          <cell r="J1">
            <v>1.7453292519943295E-2</v>
          </cell>
        </row>
      </sheetData>
      <sheetData sheetId="2241">
        <row r="1">
          <cell r="J1">
            <v>1.7453292519943295E-2</v>
          </cell>
        </row>
      </sheetData>
      <sheetData sheetId="2242">
        <row r="1">
          <cell r="J1">
            <v>1.7453292519943295E-2</v>
          </cell>
        </row>
      </sheetData>
      <sheetData sheetId="2243">
        <row r="1">
          <cell r="J1">
            <v>1.7453292519943295E-2</v>
          </cell>
        </row>
      </sheetData>
      <sheetData sheetId="2244">
        <row r="1">
          <cell r="J1">
            <v>1.7453292519943295E-2</v>
          </cell>
        </row>
      </sheetData>
      <sheetData sheetId="2245">
        <row r="1">
          <cell r="J1">
            <v>1.7453292519943295E-2</v>
          </cell>
        </row>
      </sheetData>
      <sheetData sheetId="2246">
        <row r="1">
          <cell r="J1">
            <v>1.7453292519943295E-2</v>
          </cell>
        </row>
      </sheetData>
      <sheetData sheetId="2247">
        <row r="1">
          <cell r="J1">
            <v>1.7453292519943295E-2</v>
          </cell>
        </row>
      </sheetData>
      <sheetData sheetId="2248">
        <row r="1">
          <cell r="J1">
            <v>1.7453292519943295E-2</v>
          </cell>
        </row>
      </sheetData>
      <sheetData sheetId="2249">
        <row r="1">
          <cell r="J1">
            <v>1.7453292519943295E-2</v>
          </cell>
        </row>
      </sheetData>
      <sheetData sheetId="2250">
        <row r="1">
          <cell r="J1">
            <v>1.7453292519943295E-2</v>
          </cell>
        </row>
      </sheetData>
      <sheetData sheetId="2251">
        <row r="1">
          <cell r="J1">
            <v>1.7453292519943295E-2</v>
          </cell>
        </row>
      </sheetData>
      <sheetData sheetId="2252">
        <row r="1">
          <cell r="J1">
            <v>1.7453292519943295E-2</v>
          </cell>
        </row>
      </sheetData>
      <sheetData sheetId="2253">
        <row r="1">
          <cell r="J1">
            <v>1.7453292519943295E-2</v>
          </cell>
        </row>
      </sheetData>
      <sheetData sheetId="2254">
        <row r="1">
          <cell r="J1">
            <v>1.7453292519943295E-2</v>
          </cell>
        </row>
      </sheetData>
      <sheetData sheetId="2255">
        <row r="1">
          <cell r="J1">
            <v>1.7453292519943295E-2</v>
          </cell>
        </row>
      </sheetData>
      <sheetData sheetId="2256">
        <row r="1">
          <cell r="J1">
            <v>1.7453292519943295E-2</v>
          </cell>
        </row>
      </sheetData>
      <sheetData sheetId="2257">
        <row r="1">
          <cell r="J1">
            <v>1.7453292519943295E-2</v>
          </cell>
        </row>
      </sheetData>
      <sheetData sheetId="2258">
        <row r="1">
          <cell r="J1">
            <v>1.7453292519943295E-2</v>
          </cell>
        </row>
      </sheetData>
      <sheetData sheetId="2259">
        <row r="1">
          <cell r="J1">
            <v>1.7453292519943295E-2</v>
          </cell>
        </row>
      </sheetData>
      <sheetData sheetId="2260">
        <row r="1">
          <cell r="J1">
            <v>1.7453292519943295E-2</v>
          </cell>
        </row>
      </sheetData>
      <sheetData sheetId="2261">
        <row r="1">
          <cell r="J1">
            <v>1.7453292519943295E-2</v>
          </cell>
        </row>
      </sheetData>
      <sheetData sheetId="2262">
        <row r="1">
          <cell r="J1">
            <v>1.7453292519943295E-2</v>
          </cell>
        </row>
      </sheetData>
      <sheetData sheetId="2263">
        <row r="1">
          <cell r="J1">
            <v>1.7453292519943295E-2</v>
          </cell>
        </row>
      </sheetData>
      <sheetData sheetId="2264">
        <row r="1">
          <cell r="J1">
            <v>1.7453292519943295E-2</v>
          </cell>
        </row>
      </sheetData>
      <sheetData sheetId="2265">
        <row r="1">
          <cell r="J1">
            <v>1.7453292519943295E-2</v>
          </cell>
        </row>
      </sheetData>
      <sheetData sheetId="2266">
        <row r="1">
          <cell r="J1">
            <v>1.7453292519943295E-2</v>
          </cell>
        </row>
      </sheetData>
      <sheetData sheetId="2267">
        <row r="1">
          <cell r="J1">
            <v>1.7453292519943295E-2</v>
          </cell>
        </row>
      </sheetData>
      <sheetData sheetId="2268">
        <row r="1">
          <cell r="J1">
            <v>1.7453292519943295E-2</v>
          </cell>
        </row>
      </sheetData>
      <sheetData sheetId="2269">
        <row r="1">
          <cell r="J1">
            <v>1.7453292519943295E-2</v>
          </cell>
        </row>
      </sheetData>
      <sheetData sheetId="2270">
        <row r="1">
          <cell r="J1">
            <v>1.7453292519943295E-2</v>
          </cell>
        </row>
      </sheetData>
      <sheetData sheetId="2271">
        <row r="1">
          <cell r="J1">
            <v>1.7453292519943295E-2</v>
          </cell>
        </row>
      </sheetData>
      <sheetData sheetId="2272">
        <row r="1">
          <cell r="J1">
            <v>1.7453292519943295E-2</v>
          </cell>
        </row>
      </sheetData>
      <sheetData sheetId="2273">
        <row r="1">
          <cell r="J1">
            <v>1.7453292519943295E-2</v>
          </cell>
        </row>
      </sheetData>
      <sheetData sheetId="2274">
        <row r="1">
          <cell r="J1">
            <v>1.7453292519943295E-2</v>
          </cell>
        </row>
      </sheetData>
      <sheetData sheetId="2275">
        <row r="1">
          <cell r="J1">
            <v>1.7453292519943295E-2</v>
          </cell>
        </row>
      </sheetData>
      <sheetData sheetId="2276">
        <row r="1">
          <cell r="J1">
            <v>1.7453292519943295E-2</v>
          </cell>
        </row>
      </sheetData>
      <sheetData sheetId="2277">
        <row r="1">
          <cell r="J1">
            <v>1.7453292519943295E-2</v>
          </cell>
        </row>
      </sheetData>
      <sheetData sheetId="2278">
        <row r="1">
          <cell r="J1">
            <v>1.7453292519943295E-2</v>
          </cell>
        </row>
      </sheetData>
      <sheetData sheetId="2279">
        <row r="1">
          <cell r="J1">
            <v>1.7453292519943295E-2</v>
          </cell>
        </row>
      </sheetData>
      <sheetData sheetId="2280">
        <row r="1">
          <cell r="J1">
            <v>1.7453292519943295E-2</v>
          </cell>
        </row>
      </sheetData>
      <sheetData sheetId="2281">
        <row r="1">
          <cell r="J1">
            <v>1.7453292519943295E-2</v>
          </cell>
        </row>
      </sheetData>
      <sheetData sheetId="2282">
        <row r="1">
          <cell r="J1">
            <v>1.7453292519943295E-2</v>
          </cell>
        </row>
      </sheetData>
      <sheetData sheetId="2283">
        <row r="1">
          <cell r="J1">
            <v>1.7453292519943295E-2</v>
          </cell>
        </row>
      </sheetData>
      <sheetData sheetId="2284">
        <row r="1">
          <cell r="J1">
            <v>1.7453292519943295E-2</v>
          </cell>
        </row>
      </sheetData>
      <sheetData sheetId="2285">
        <row r="1">
          <cell r="J1">
            <v>1.7453292519943295E-2</v>
          </cell>
        </row>
      </sheetData>
      <sheetData sheetId="2286">
        <row r="1">
          <cell r="J1">
            <v>1.7453292519943295E-2</v>
          </cell>
        </row>
      </sheetData>
      <sheetData sheetId="2287">
        <row r="1">
          <cell r="J1">
            <v>1.7453292519943295E-2</v>
          </cell>
        </row>
      </sheetData>
      <sheetData sheetId="2288">
        <row r="1">
          <cell r="J1">
            <v>1.7453292519943295E-2</v>
          </cell>
        </row>
      </sheetData>
      <sheetData sheetId="2289">
        <row r="1">
          <cell r="J1">
            <v>1.7453292519943295E-2</v>
          </cell>
        </row>
      </sheetData>
      <sheetData sheetId="2290">
        <row r="1">
          <cell r="J1">
            <v>1.7453292519943295E-2</v>
          </cell>
        </row>
      </sheetData>
      <sheetData sheetId="2291">
        <row r="1">
          <cell r="J1">
            <v>1.7453292519943295E-2</v>
          </cell>
        </row>
      </sheetData>
      <sheetData sheetId="2292">
        <row r="1">
          <cell r="J1">
            <v>1.7453292519943295E-2</v>
          </cell>
        </row>
      </sheetData>
      <sheetData sheetId="2293">
        <row r="1">
          <cell r="J1">
            <v>1.7453292519943295E-2</v>
          </cell>
        </row>
      </sheetData>
      <sheetData sheetId="2294">
        <row r="1">
          <cell r="J1">
            <v>1.7453292519943295E-2</v>
          </cell>
        </row>
      </sheetData>
      <sheetData sheetId="2295">
        <row r="1">
          <cell r="J1">
            <v>1.7453292519943295E-2</v>
          </cell>
        </row>
      </sheetData>
      <sheetData sheetId="2296">
        <row r="1">
          <cell r="J1">
            <v>1.7453292519943295E-2</v>
          </cell>
        </row>
      </sheetData>
      <sheetData sheetId="2297">
        <row r="1">
          <cell r="J1">
            <v>1.7453292519943295E-2</v>
          </cell>
        </row>
      </sheetData>
      <sheetData sheetId="2298">
        <row r="1">
          <cell r="J1">
            <v>1.7453292519943295E-2</v>
          </cell>
        </row>
      </sheetData>
      <sheetData sheetId="2299">
        <row r="1">
          <cell r="J1">
            <v>1.7453292519943295E-2</v>
          </cell>
        </row>
      </sheetData>
      <sheetData sheetId="2300">
        <row r="1">
          <cell r="J1">
            <v>1.7453292519943295E-2</v>
          </cell>
        </row>
      </sheetData>
      <sheetData sheetId="2301">
        <row r="1">
          <cell r="J1">
            <v>1.7453292519943295E-2</v>
          </cell>
        </row>
      </sheetData>
      <sheetData sheetId="2302">
        <row r="1">
          <cell r="J1">
            <v>1.7453292519943295E-2</v>
          </cell>
        </row>
      </sheetData>
      <sheetData sheetId="2303">
        <row r="1">
          <cell r="J1">
            <v>1.7453292519943295E-2</v>
          </cell>
        </row>
      </sheetData>
      <sheetData sheetId="2304">
        <row r="1">
          <cell r="J1">
            <v>1.7453292519943295E-2</v>
          </cell>
        </row>
      </sheetData>
      <sheetData sheetId="2305">
        <row r="1">
          <cell r="J1">
            <v>1.7453292519943295E-2</v>
          </cell>
        </row>
      </sheetData>
      <sheetData sheetId="2306">
        <row r="1">
          <cell r="J1">
            <v>1.7453292519943295E-2</v>
          </cell>
        </row>
      </sheetData>
      <sheetData sheetId="2307">
        <row r="1">
          <cell r="J1">
            <v>1.7453292519943295E-2</v>
          </cell>
        </row>
      </sheetData>
      <sheetData sheetId="2308">
        <row r="1">
          <cell r="J1">
            <v>1.7453292519943295E-2</v>
          </cell>
        </row>
      </sheetData>
      <sheetData sheetId="2309">
        <row r="1">
          <cell r="J1">
            <v>1.7453292519943295E-2</v>
          </cell>
        </row>
      </sheetData>
      <sheetData sheetId="2310">
        <row r="1">
          <cell r="J1">
            <v>1.7453292519943295E-2</v>
          </cell>
        </row>
      </sheetData>
      <sheetData sheetId="2311">
        <row r="1">
          <cell r="J1">
            <v>1.7453292519943295E-2</v>
          </cell>
        </row>
      </sheetData>
      <sheetData sheetId="2312">
        <row r="1">
          <cell r="J1">
            <v>1.7453292519943295E-2</v>
          </cell>
        </row>
      </sheetData>
      <sheetData sheetId="2313">
        <row r="1">
          <cell r="J1">
            <v>1.7453292519943295E-2</v>
          </cell>
        </row>
      </sheetData>
      <sheetData sheetId="2314">
        <row r="1">
          <cell r="J1">
            <v>1.7453292519943295E-2</v>
          </cell>
        </row>
      </sheetData>
      <sheetData sheetId="2315">
        <row r="1">
          <cell r="J1">
            <v>1.7453292519943295E-2</v>
          </cell>
        </row>
      </sheetData>
      <sheetData sheetId="2316">
        <row r="1">
          <cell r="J1">
            <v>1.7453292519943295E-2</v>
          </cell>
        </row>
      </sheetData>
      <sheetData sheetId="2317">
        <row r="1">
          <cell r="J1">
            <v>1.7453292519943295E-2</v>
          </cell>
        </row>
      </sheetData>
      <sheetData sheetId="2318">
        <row r="1">
          <cell r="J1">
            <v>1.7453292519943295E-2</v>
          </cell>
        </row>
      </sheetData>
      <sheetData sheetId="2319">
        <row r="1">
          <cell r="J1">
            <v>1.7453292519943295E-2</v>
          </cell>
        </row>
      </sheetData>
      <sheetData sheetId="2320">
        <row r="1">
          <cell r="J1">
            <v>1.7453292519943295E-2</v>
          </cell>
        </row>
      </sheetData>
      <sheetData sheetId="2321">
        <row r="1">
          <cell r="J1">
            <v>1.7453292519943295E-2</v>
          </cell>
        </row>
      </sheetData>
      <sheetData sheetId="2322">
        <row r="1">
          <cell r="J1">
            <v>1.7453292519943295E-2</v>
          </cell>
        </row>
      </sheetData>
      <sheetData sheetId="2323">
        <row r="1">
          <cell r="J1">
            <v>1.7453292519943295E-2</v>
          </cell>
        </row>
      </sheetData>
      <sheetData sheetId="2324">
        <row r="1">
          <cell r="J1">
            <v>1.7453292519943295E-2</v>
          </cell>
        </row>
      </sheetData>
      <sheetData sheetId="2325">
        <row r="1">
          <cell r="J1">
            <v>1.7453292519943295E-2</v>
          </cell>
        </row>
      </sheetData>
      <sheetData sheetId="2326">
        <row r="1">
          <cell r="J1">
            <v>1.7453292519943295E-2</v>
          </cell>
        </row>
      </sheetData>
      <sheetData sheetId="2327">
        <row r="1">
          <cell r="J1">
            <v>1.7453292519943295E-2</v>
          </cell>
        </row>
      </sheetData>
      <sheetData sheetId="2328">
        <row r="1">
          <cell r="J1">
            <v>1.7453292519943295E-2</v>
          </cell>
        </row>
      </sheetData>
      <sheetData sheetId="2329">
        <row r="1">
          <cell r="J1">
            <v>1.7453292519943295E-2</v>
          </cell>
        </row>
      </sheetData>
      <sheetData sheetId="2330">
        <row r="1">
          <cell r="J1">
            <v>1.7453292519943295E-2</v>
          </cell>
        </row>
      </sheetData>
      <sheetData sheetId="2331">
        <row r="1">
          <cell r="J1">
            <v>1.7453292519943295E-2</v>
          </cell>
        </row>
      </sheetData>
      <sheetData sheetId="2332">
        <row r="1">
          <cell r="J1">
            <v>1.7453292519943295E-2</v>
          </cell>
        </row>
      </sheetData>
      <sheetData sheetId="2333">
        <row r="1">
          <cell r="J1">
            <v>1.7453292519943295E-2</v>
          </cell>
        </row>
      </sheetData>
      <sheetData sheetId="2334">
        <row r="1">
          <cell r="J1">
            <v>1.7453292519943295E-2</v>
          </cell>
        </row>
      </sheetData>
      <sheetData sheetId="2335">
        <row r="1">
          <cell r="J1">
            <v>1.7453292519943295E-2</v>
          </cell>
        </row>
      </sheetData>
      <sheetData sheetId="2336">
        <row r="1">
          <cell r="J1">
            <v>1.7453292519943295E-2</v>
          </cell>
        </row>
      </sheetData>
      <sheetData sheetId="2337">
        <row r="1">
          <cell r="J1">
            <v>1.7453292519943295E-2</v>
          </cell>
        </row>
      </sheetData>
      <sheetData sheetId="2338">
        <row r="1">
          <cell r="J1">
            <v>1.7453292519943295E-2</v>
          </cell>
        </row>
      </sheetData>
      <sheetData sheetId="2339">
        <row r="1">
          <cell r="J1">
            <v>1.7453292519943295E-2</v>
          </cell>
        </row>
      </sheetData>
      <sheetData sheetId="2340">
        <row r="1">
          <cell r="J1">
            <v>1.7453292519943295E-2</v>
          </cell>
        </row>
      </sheetData>
      <sheetData sheetId="2341">
        <row r="1">
          <cell r="J1">
            <v>1.7453292519943295E-2</v>
          </cell>
        </row>
      </sheetData>
      <sheetData sheetId="2342">
        <row r="1">
          <cell r="J1">
            <v>1.7453292519943295E-2</v>
          </cell>
        </row>
      </sheetData>
      <sheetData sheetId="2343">
        <row r="1">
          <cell r="J1">
            <v>1.7453292519943295E-2</v>
          </cell>
        </row>
      </sheetData>
      <sheetData sheetId="2344">
        <row r="1">
          <cell r="J1">
            <v>1.7453292519943295E-2</v>
          </cell>
        </row>
      </sheetData>
      <sheetData sheetId="2345">
        <row r="1">
          <cell r="J1">
            <v>1.7453292519943295E-2</v>
          </cell>
        </row>
      </sheetData>
      <sheetData sheetId="2346">
        <row r="1">
          <cell r="J1">
            <v>1.7453292519943295E-2</v>
          </cell>
        </row>
      </sheetData>
      <sheetData sheetId="2347">
        <row r="1">
          <cell r="J1">
            <v>1.7453292519943295E-2</v>
          </cell>
        </row>
      </sheetData>
      <sheetData sheetId="2348">
        <row r="1">
          <cell r="J1">
            <v>1.7453292519943295E-2</v>
          </cell>
        </row>
      </sheetData>
      <sheetData sheetId="2349">
        <row r="1">
          <cell r="J1">
            <v>1.7453292519943295E-2</v>
          </cell>
        </row>
      </sheetData>
      <sheetData sheetId="2350">
        <row r="1">
          <cell r="J1">
            <v>1.7453292519943295E-2</v>
          </cell>
        </row>
      </sheetData>
      <sheetData sheetId="2351">
        <row r="1">
          <cell r="J1">
            <v>1.7453292519943295E-2</v>
          </cell>
        </row>
      </sheetData>
      <sheetData sheetId="2352">
        <row r="1">
          <cell r="J1">
            <v>1.7453292519943295E-2</v>
          </cell>
        </row>
      </sheetData>
      <sheetData sheetId="2353">
        <row r="1">
          <cell r="J1">
            <v>1.7453292519943295E-2</v>
          </cell>
        </row>
      </sheetData>
      <sheetData sheetId="2354">
        <row r="1">
          <cell r="J1">
            <v>1.7453292519943295E-2</v>
          </cell>
        </row>
      </sheetData>
      <sheetData sheetId="2355">
        <row r="1">
          <cell r="J1">
            <v>1.7453292519943295E-2</v>
          </cell>
        </row>
      </sheetData>
      <sheetData sheetId="2356">
        <row r="1">
          <cell r="J1">
            <v>1.7453292519943295E-2</v>
          </cell>
        </row>
      </sheetData>
      <sheetData sheetId="2357">
        <row r="1">
          <cell r="J1">
            <v>1.7453292519943295E-2</v>
          </cell>
        </row>
      </sheetData>
      <sheetData sheetId="2358">
        <row r="1">
          <cell r="J1">
            <v>1.7453292519943295E-2</v>
          </cell>
        </row>
      </sheetData>
      <sheetData sheetId="2359">
        <row r="1">
          <cell r="J1">
            <v>1.7453292519943295E-2</v>
          </cell>
        </row>
      </sheetData>
      <sheetData sheetId="2360">
        <row r="1">
          <cell r="J1">
            <v>1.7453292519943295E-2</v>
          </cell>
        </row>
      </sheetData>
      <sheetData sheetId="2361">
        <row r="1">
          <cell r="J1">
            <v>1.7453292519943295E-2</v>
          </cell>
        </row>
      </sheetData>
      <sheetData sheetId="2362">
        <row r="1">
          <cell r="J1">
            <v>1.7453292519943295E-2</v>
          </cell>
        </row>
      </sheetData>
      <sheetData sheetId="2363">
        <row r="1">
          <cell r="J1">
            <v>1.7453292519943295E-2</v>
          </cell>
        </row>
      </sheetData>
      <sheetData sheetId="2364">
        <row r="1">
          <cell r="J1">
            <v>1.7453292519943295E-2</v>
          </cell>
        </row>
      </sheetData>
      <sheetData sheetId="2365">
        <row r="1">
          <cell r="J1">
            <v>1.7453292519943295E-2</v>
          </cell>
        </row>
      </sheetData>
      <sheetData sheetId="2366">
        <row r="1">
          <cell r="J1">
            <v>1.7453292519943295E-2</v>
          </cell>
        </row>
      </sheetData>
      <sheetData sheetId="2367">
        <row r="1">
          <cell r="J1">
            <v>1.7453292519943295E-2</v>
          </cell>
        </row>
      </sheetData>
      <sheetData sheetId="2368">
        <row r="1">
          <cell r="J1">
            <v>1.7453292519943295E-2</v>
          </cell>
        </row>
      </sheetData>
      <sheetData sheetId="2369">
        <row r="1">
          <cell r="J1">
            <v>1.7453292519943295E-2</v>
          </cell>
        </row>
      </sheetData>
      <sheetData sheetId="2370">
        <row r="1">
          <cell r="J1">
            <v>1.7453292519943295E-2</v>
          </cell>
        </row>
      </sheetData>
      <sheetData sheetId="2371">
        <row r="1">
          <cell r="J1">
            <v>1.7453292519943295E-2</v>
          </cell>
        </row>
      </sheetData>
      <sheetData sheetId="2372">
        <row r="1">
          <cell r="J1">
            <v>1.7453292519943295E-2</v>
          </cell>
        </row>
      </sheetData>
      <sheetData sheetId="2373">
        <row r="1">
          <cell r="J1">
            <v>1.7453292519943295E-2</v>
          </cell>
        </row>
      </sheetData>
      <sheetData sheetId="2374">
        <row r="1">
          <cell r="J1">
            <v>1.7453292519943295E-2</v>
          </cell>
        </row>
      </sheetData>
      <sheetData sheetId="2375">
        <row r="1">
          <cell r="J1">
            <v>1.7453292519943295E-2</v>
          </cell>
        </row>
      </sheetData>
      <sheetData sheetId="2376">
        <row r="1">
          <cell r="J1">
            <v>1.7453292519943295E-2</v>
          </cell>
        </row>
      </sheetData>
      <sheetData sheetId="2377">
        <row r="1">
          <cell r="J1">
            <v>1.7453292519943295E-2</v>
          </cell>
        </row>
      </sheetData>
      <sheetData sheetId="2378">
        <row r="1">
          <cell r="J1">
            <v>1.7453292519943295E-2</v>
          </cell>
        </row>
      </sheetData>
      <sheetData sheetId="2379">
        <row r="1">
          <cell r="J1">
            <v>1.7453292519943295E-2</v>
          </cell>
        </row>
      </sheetData>
      <sheetData sheetId="2380">
        <row r="1">
          <cell r="J1">
            <v>1.7453292519943295E-2</v>
          </cell>
        </row>
      </sheetData>
      <sheetData sheetId="2381">
        <row r="1">
          <cell r="J1">
            <v>1.7453292519943295E-2</v>
          </cell>
        </row>
      </sheetData>
      <sheetData sheetId="2382">
        <row r="1">
          <cell r="J1">
            <v>1.7453292519943295E-2</v>
          </cell>
        </row>
      </sheetData>
      <sheetData sheetId="2383">
        <row r="1">
          <cell r="J1">
            <v>1.7453292519943295E-2</v>
          </cell>
        </row>
      </sheetData>
      <sheetData sheetId="2384">
        <row r="1">
          <cell r="J1">
            <v>1.7453292519943295E-2</v>
          </cell>
        </row>
      </sheetData>
      <sheetData sheetId="2385">
        <row r="1">
          <cell r="J1">
            <v>1.7453292519943295E-2</v>
          </cell>
        </row>
      </sheetData>
      <sheetData sheetId="2386">
        <row r="1">
          <cell r="J1">
            <v>1.7453292519943295E-2</v>
          </cell>
        </row>
      </sheetData>
      <sheetData sheetId="2387">
        <row r="1">
          <cell r="J1">
            <v>1.7453292519943295E-2</v>
          </cell>
        </row>
      </sheetData>
      <sheetData sheetId="2388">
        <row r="1">
          <cell r="J1">
            <v>1.7453292519943295E-2</v>
          </cell>
        </row>
      </sheetData>
      <sheetData sheetId="2389">
        <row r="1">
          <cell r="J1">
            <v>1.7453292519943295E-2</v>
          </cell>
        </row>
      </sheetData>
      <sheetData sheetId="2390">
        <row r="1">
          <cell r="J1">
            <v>1.7453292519943295E-2</v>
          </cell>
        </row>
      </sheetData>
      <sheetData sheetId="2391">
        <row r="1">
          <cell r="J1">
            <v>1.7453292519943295E-2</v>
          </cell>
        </row>
      </sheetData>
      <sheetData sheetId="2392">
        <row r="1">
          <cell r="J1">
            <v>1.7453292519943295E-2</v>
          </cell>
        </row>
      </sheetData>
      <sheetData sheetId="2393">
        <row r="1">
          <cell r="J1">
            <v>1.7453292519943295E-2</v>
          </cell>
        </row>
      </sheetData>
      <sheetData sheetId="2394">
        <row r="1">
          <cell r="J1">
            <v>1.7453292519943295E-2</v>
          </cell>
        </row>
      </sheetData>
      <sheetData sheetId="2395">
        <row r="1">
          <cell r="J1">
            <v>1.7453292519943295E-2</v>
          </cell>
        </row>
      </sheetData>
      <sheetData sheetId="2396">
        <row r="1">
          <cell r="J1">
            <v>1.7453292519943295E-2</v>
          </cell>
        </row>
      </sheetData>
      <sheetData sheetId="2397">
        <row r="1">
          <cell r="J1">
            <v>1.7453292519943295E-2</v>
          </cell>
        </row>
      </sheetData>
      <sheetData sheetId="2398">
        <row r="1">
          <cell r="J1">
            <v>1.7453292519943295E-2</v>
          </cell>
        </row>
      </sheetData>
      <sheetData sheetId="2399">
        <row r="1">
          <cell r="J1">
            <v>1.7453292519943295E-2</v>
          </cell>
        </row>
      </sheetData>
      <sheetData sheetId="2400">
        <row r="1">
          <cell r="J1">
            <v>1.7453292519943295E-2</v>
          </cell>
        </row>
      </sheetData>
      <sheetData sheetId="2401">
        <row r="1">
          <cell r="J1">
            <v>1.7453292519943295E-2</v>
          </cell>
        </row>
      </sheetData>
      <sheetData sheetId="2402">
        <row r="1">
          <cell r="J1">
            <v>1.7453292519943295E-2</v>
          </cell>
        </row>
      </sheetData>
      <sheetData sheetId="2403">
        <row r="1">
          <cell r="J1">
            <v>1.7453292519943295E-2</v>
          </cell>
        </row>
      </sheetData>
      <sheetData sheetId="2404">
        <row r="1">
          <cell r="J1">
            <v>1.7453292519943295E-2</v>
          </cell>
        </row>
      </sheetData>
      <sheetData sheetId="2405">
        <row r="1">
          <cell r="J1">
            <v>1.7453292519943295E-2</v>
          </cell>
        </row>
      </sheetData>
      <sheetData sheetId="2406">
        <row r="1">
          <cell r="J1">
            <v>1.7453292519943295E-2</v>
          </cell>
        </row>
      </sheetData>
      <sheetData sheetId="2407">
        <row r="1">
          <cell r="J1">
            <v>1.7453292519943295E-2</v>
          </cell>
        </row>
      </sheetData>
      <sheetData sheetId="2408">
        <row r="1">
          <cell r="J1">
            <v>1.7453292519943295E-2</v>
          </cell>
        </row>
      </sheetData>
      <sheetData sheetId="2409">
        <row r="1">
          <cell r="J1">
            <v>1.7453292519943295E-2</v>
          </cell>
        </row>
      </sheetData>
      <sheetData sheetId="2410">
        <row r="1">
          <cell r="J1">
            <v>1.7453292519943295E-2</v>
          </cell>
        </row>
      </sheetData>
      <sheetData sheetId="2411">
        <row r="1">
          <cell r="J1">
            <v>1.7453292519943295E-2</v>
          </cell>
        </row>
      </sheetData>
      <sheetData sheetId="2412">
        <row r="1">
          <cell r="J1">
            <v>1.7453292519943295E-2</v>
          </cell>
        </row>
      </sheetData>
      <sheetData sheetId="2413">
        <row r="1">
          <cell r="J1">
            <v>1.7453292519943295E-2</v>
          </cell>
        </row>
      </sheetData>
      <sheetData sheetId="2414">
        <row r="1">
          <cell r="J1">
            <v>1.7453292519943295E-2</v>
          </cell>
        </row>
      </sheetData>
      <sheetData sheetId="2415">
        <row r="1">
          <cell r="J1">
            <v>1.7453292519943295E-2</v>
          </cell>
        </row>
      </sheetData>
      <sheetData sheetId="2416">
        <row r="1">
          <cell r="J1">
            <v>1.7453292519943295E-2</v>
          </cell>
        </row>
      </sheetData>
      <sheetData sheetId="2417">
        <row r="1">
          <cell r="J1">
            <v>1.7453292519943295E-2</v>
          </cell>
        </row>
      </sheetData>
      <sheetData sheetId="2418">
        <row r="1">
          <cell r="J1">
            <v>1.7453292519943295E-2</v>
          </cell>
        </row>
      </sheetData>
      <sheetData sheetId="2419">
        <row r="1">
          <cell r="J1">
            <v>1.7453292519943295E-2</v>
          </cell>
        </row>
      </sheetData>
      <sheetData sheetId="2420">
        <row r="1">
          <cell r="J1">
            <v>1.7453292519943295E-2</v>
          </cell>
        </row>
      </sheetData>
      <sheetData sheetId="2421">
        <row r="1">
          <cell r="J1">
            <v>1.7453292519943295E-2</v>
          </cell>
        </row>
      </sheetData>
      <sheetData sheetId="2422">
        <row r="1">
          <cell r="J1">
            <v>1.7453292519943295E-2</v>
          </cell>
        </row>
      </sheetData>
      <sheetData sheetId="2423">
        <row r="1">
          <cell r="J1">
            <v>1.7453292519943295E-2</v>
          </cell>
        </row>
      </sheetData>
      <sheetData sheetId="2424">
        <row r="1">
          <cell r="J1">
            <v>1.7453292519943295E-2</v>
          </cell>
        </row>
      </sheetData>
      <sheetData sheetId="2425">
        <row r="1">
          <cell r="J1">
            <v>1.7453292519943295E-2</v>
          </cell>
        </row>
      </sheetData>
      <sheetData sheetId="2426">
        <row r="1">
          <cell r="J1">
            <v>1.7453292519943295E-2</v>
          </cell>
        </row>
      </sheetData>
      <sheetData sheetId="2427">
        <row r="1">
          <cell r="J1">
            <v>1.7453292519943295E-2</v>
          </cell>
        </row>
      </sheetData>
      <sheetData sheetId="2428">
        <row r="1">
          <cell r="J1">
            <v>1.7453292519943295E-2</v>
          </cell>
        </row>
      </sheetData>
      <sheetData sheetId="2429">
        <row r="1">
          <cell r="J1">
            <v>1.7453292519943295E-2</v>
          </cell>
        </row>
      </sheetData>
      <sheetData sheetId="2430">
        <row r="1">
          <cell r="J1">
            <v>1.7453292519943295E-2</v>
          </cell>
        </row>
      </sheetData>
      <sheetData sheetId="2431">
        <row r="1">
          <cell r="J1">
            <v>1.7453292519943295E-2</v>
          </cell>
        </row>
      </sheetData>
      <sheetData sheetId="2432">
        <row r="1">
          <cell r="J1">
            <v>1.7453292519943295E-2</v>
          </cell>
        </row>
      </sheetData>
      <sheetData sheetId="2433">
        <row r="1">
          <cell r="J1">
            <v>1.7453292519943295E-2</v>
          </cell>
        </row>
      </sheetData>
      <sheetData sheetId="2434">
        <row r="1">
          <cell r="J1">
            <v>1.7453292519943295E-2</v>
          </cell>
        </row>
      </sheetData>
      <sheetData sheetId="2435">
        <row r="1">
          <cell r="J1">
            <v>1.7453292519943295E-2</v>
          </cell>
        </row>
      </sheetData>
      <sheetData sheetId="2436">
        <row r="1">
          <cell r="J1">
            <v>1.7453292519943295E-2</v>
          </cell>
        </row>
      </sheetData>
      <sheetData sheetId="2437">
        <row r="1">
          <cell r="J1">
            <v>1.7453292519943295E-2</v>
          </cell>
        </row>
      </sheetData>
      <sheetData sheetId="2438">
        <row r="1">
          <cell r="J1">
            <v>1.7453292519943295E-2</v>
          </cell>
        </row>
      </sheetData>
      <sheetData sheetId="2439">
        <row r="1">
          <cell r="J1">
            <v>1.7453292519943295E-2</v>
          </cell>
        </row>
      </sheetData>
      <sheetData sheetId="2440">
        <row r="1">
          <cell r="J1">
            <v>1.7453292519943295E-2</v>
          </cell>
        </row>
      </sheetData>
      <sheetData sheetId="2441">
        <row r="1">
          <cell r="J1">
            <v>1.7453292519943295E-2</v>
          </cell>
        </row>
      </sheetData>
      <sheetData sheetId="2442">
        <row r="1">
          <cell r="J1">
            <v>1.7453292519943295E-2</v>
          </cell>
        </row>
      </sheetData>
      <sheetData sheetId="2443">
        <row r="1">
          <cell r="J1">
            <v>1.7453292519943295E-2</v>
          </cell>
        </row>
      </sheetData>
      <sheetData sheetId="2444">
        <row r="1">
          <cell r="J1">
            <v>1.7453292519943295E-2</v>
          </cell>
        </row>
      </sheetData>
      <sheetData sheetId="2445">
        <row r="1">
          <cell r="J1">
            <v>1.7453292519943295E-2</v>
          </cell>
        </row>
      </sheetData>
      <sheetData sheetId="2446">
        <row r="1">
          <cell r="J1">
            <v>1.7453292519943295E-2</v>
          </cell>
        </row>
      </sheetData>
      <sheetData sheetId="2447">
        <row r="1">
          <cell r="J1">
            <v>1.7453292519943295E-2</v>
          </cell>
        </row>
      </sheetData>
      <sheetData sheetId="2448">
        <row r="1">
          <cell r="J1">
            <v>1.7453292519943295E-2</v>
          </cell>
        </row>
      </sheetData>
      <sheetData sheetId="2449">
        <row r="1">
          <cell r="J1">
            <v>1.7453292519943295E-2</v>
          </cell>
        </row>
      </sheetData>
      <sheetData sheetId="2450">
        <row r="1">
          <cell r="J1">
            <v>1.7453292519943295E-2</v>
          </cell>
        </row>
      </sheetData>
      <sheetData sheetId="2451">
        <row r="1">
          <cell r="J1">
            <v>1.7453292519943295E-2</v>
          </cell>
        </row>
      </sheetData>
      <sheetData sheetId="2452">
        <row r="1">
          <cell r="J1">
            <v>1.7453292519943295E-2</v>
          </cell>
        </row>
      </sheetData>
      <sheetData sheetId="2453">
        <row r="1">
          <cell r="J1">
            <v>1.7453292519943295E-2</v>
          </cell>
        </row>
      </sheetData>
      <sheetData sheetId="2454">
        <row r="1">
          <cell r="J1">
            <v>1.7453292519943295E-2</v>
          </cell>
        </row>
      </sheetData>
      <sheetData sheetId="2455">
        <row r="1">
          <cell r="J1">
            <v>1.7453292519943295E-2</v>
          </cell>
        </row>
      </sheetData>
      <sheetData sheetId="2456">
        <row r="1">
          <cell r="J1">
            <v>1.7453292519943295E-2</v>
          </cell>
        </row>
      </sheetData>
      <sheetData sheetId="2457">
        <row r="1">
          <cell r="J1">
            <v>1.7453292519943295E-2</v>
          </cell>
        </row>
      </sheetData>
      <sheetData sheetId="2458">
        <row r="1">
          <cell r="J1">
            <v>1.7453292519943295E-2</v>
          </cell>
        </row>
      </sheetData>
      <sheetData sheetId="2459">
        <row r="1">
          <cell r="J1">
            <v>1.7453292519943295E-2</v>
          </cell>
        </row>
      </sheetData>
      <sheetData sheetId="2460">
        <row r="1">
          <cell r="J1">
            <v>1.7453292519943295E-2</v>
          </cell>
        </row>
      </sheetData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>
        <row r="1">
          <cell r="J1">
            <v>1.7453292519943295E-2</v>
          </cell>
        </row>
      </sheetData>
      <sheetData sheetId="2514">
        <row r="1">
          <cell r="J1">
            <v>1.7453292519943295E-2</v>
          </cell>
        </row>
      </sheetData>
      <sheetData sheetId="2515">
        <row r="1">
          <cell r="J1">
            <v>1.7453292519943295E-2</v>
          </cell>
        </row>
      </sheetData>
      <sheetData sheetId="2516">
        <row r="1">
          <cell r="J1">
            <v>1.7453292519943295E-2</v>
          </cell>
        </row>
      </sheetData>
      <sheetData sheetId="2517">
        <row r="1">
          <cell r="J1">
            <v>1.7453292519943295E-2</v>
          </cell>
        </row>
      </sheetData>
      <sheetData sheetId="2518">
        <row r="1">
          <cell r="J1">
            <v>1.7453292519943295E-2</v>
          </cell>
        </row>
      </sheetData>
      <sheetData sheetId="2519"/>
      <sheetData sheetId="2520"/>
      <sheetData sheetId="2521">
        <row r="1">
          <cell r="J1">
            <v>1.7453292519943295E-2</v>
          </cell>
        </row>
      </sheetData>
      <sheetData sheetId="2522">
        <row r="1">
          <cell r="J1">
            <v>1.7453292519943295E-2</v>
          </cell>
        </row>
      </sheetData>
      <sheetData sheetId="2523">
        <row r="2">
          <cell r="B2">
            <v>1</v>
          </cell>
        </row>
      </sheetData>
      <sheetData sheetId="2524">
        <row r="1">
          <cell r="J1">
            <v>1.7453292519943295E-2</v>
          </cell>
        </row>
      </sheetData>
      <sheetData sheetId="2525">
        <row r="1">
          <cell r="J1">
            <v>1.7453292519943295E-2</v>
          </cell>
        </row>
      </sheetData>
      <sheetData sheetId="2526">
        <row r="1">
          <cell r="J1">
            <v>1.7453292519943295E-2</v>
          </cell>
        </row>
      </sheetData>
      <sheetData sheetId="2527">
        <row r="1">
          <cell r="J1">
            <v>1.7453292519943295E-2</v>
          </cell>
        </row>
      </sheetData>
      <sheetData sheetId="2528">
        <row r="1">
          <cell r="J1">
            <v>1.7453292519943295E-2</v>
          </cell>
        </row>
      </sheetData>
      <sheetData sheetId="2529">
        <row r="1">
          <cell r="J1">
            <v>1.7453292519943295E-2</v>
          </cell>
        </row>
      </sheetData>
      <sheetData sheetId="2530">
        <row r="1">
          <cell r="J1">
            <v>1.7453292519943295E-2</v>
          </cell>
        </row>
      </sheetData>
      <sheetData sheetId="2531">
        <row r="1">
          <cell r="J1">
            <v>1.7453292519943295E-2</v>
          </cell>
        </row>
      </sheetData>
      <sheetData sheetId="2532">
        <row r="1">
          <cell r="J1">
            <v>1.7453292519943295E-2</v>
          </cell>
        </row>
      </sheetData>
      <sheetData sheetId="2533">
        <row r="1">
          <cell r="J1">
            <v>1.7453292519943295E-2</v>
          </cell>
        </row>
      </sheetData>
      <sheetData sheetId="2534">
        <row r="1">
          <cell r="J1">
            <v>1.7453292519943295E-2</v>
          </cell>
        </row>
      </sheetData>
      <sheetData sheetId="2535">
        <row r="1">
          <cell r="J1">
            <v>1.7453292519943295E-2</v>
          </cell>
        </row>
      </sheetData>
      <sheetData sheetId="2536"/>
      <sheetData sheetId="2537">
        <row r="1">
          <cell r="J1">
            <v>1.7453292519943295E-2</v>
          </cell>
        </row>
      </sheetData>
      <sheetData sheetId="2538"/>
      <sheetData sheetId="2539"/>
      <sheetData sheetId="2540">
        <row r="1">
          <cell r="J1">
            <v>1.7453292519943295E-2</v>
          </cell>
        </row>
      </sheetData>
      <sheetData sheetId="2541">
        <row r="1">
          <cell r="J1">
            <v>1.7453292519943295E-2</v>
          </cell>
        </row>
      </sheetData>
      <sheetData sheetId="2542">
        <row r="1">
          <cell r="J1">
            <v>1.7453292519943295E-2</v>
          </cell>
        </row>
      </sheetData>
      <sheetData sheetId="2543">
        <row r="1">
          <cell r="J1">
            <v>1.7453292519943295E-2</v>
          </cell>
        </row>
      </sheetData>
      <sheetData sheetId="2544">
        <row r="1">
          <cell r="J1">
            <v>1.7453292519943295E-2</v>
          </cell>
        </row>
      </sheetData>
      <sheetData sheetId="2545">
        <row r="1">
          <cell r="J1">
            <v>1.7453292519943295E-2</v>
          </cell>
        </row>
      </sheetData>
      <sheetData sheetId="2546">
        <row r="1">
          <cell r="J1">
            <v>1.7453292519943295E-2</v>
          </cell>
        </row>
      </sheetData>
      <sheetData sheetId="2547">
        <row r="1">
          <cell r="J1">
            <v>1.7453292519943295E-2</v>
          </cell>
        </row>
      </sheetData>
      <sheetData sheetId="2548">
        <row r="1">
          <cell r="J1">
            <v>1.7453292519943295E-2</v>
          </cell>
        </row>
      </sheetData>
      <sheetData sheetId="2549">
        <row r="1">
          <cell r="J1">
            <v>1.7453292519943295E-2</v>
          </cell>
        </row>
      </sheetData>
      <sheetData sheetId="2550">
        <row r="1">
          <cell r="J1">
            <v>1.7453292519943295E-2</v>
          </cell>
        </row>
      </sheetData>
      <sheetData sheetId="2551">
        <row r="1">
          <cell r="J1">
            <v>1.7453292519943295E-2</v>
          </cell>
        </row>
      </sheetData>
      <sheetData sheetId="2552">
        <row r="1">
          <cell r="J1">
            <v>1.7453292519943295E-2</v>
          </cell>
        </row>
      </sheetData>
      <sheetData sheetId="2553"/>
      <sheetData sheetId="2554">
        <row r="1">
          <cell r="J1">
            <v>1.7453292519943295E-2</v>
          </cell>
        </row>
      </sheetData>
      <sheetData sheetId="2555">
        <row r="1">
          <cell r="J1">
            <v>1.7453292519943295E-2</v>
          </cell>
        </row>
      </sheetData>
      <sheetData sheetId="2556">
        <row r="1">
          <cell r="J1">
            <v>1.7453292519943295E-2</v>
          </cell>
        </row>
      </sheetData>
      <sheetData sheetId="2557">
        <row r="1">
          <cell r="J1">
            <v>1.7453292519943295E-2</v>
          </cell>
        </row>
      </sheetData>
      <sheetData sheetId="2558">
        <row r="1">
          <cell r="J1">
            <v>1.7453292519943295E-2</v>
          </cell>
        </row>
      </sheetData>
      <sheetData sheetId="2559"/>
      <sheetData sheetId="2560"/>
      <sheetData sheetId="2561"/>
      <sheetData sheetId="2562">
        <row r="1">
          <cell r="J1">
            <v>1.7453292519943295E-2</v>
          </cell>
        </row>
      </sheetData>
      <sheetData sheetId="2563">
        <row r="1">
          <cell r="J1">
            <v>1.7453292519943295E-2</v>
          </cell>
        </row>
      </sheetData>
      <sheetData sheetId="2564">
        <row r="1">
          <cell r="J1">
            <v>1.7453292519943295E-2</v>
          </cell>
        </row>
      </sheetData>
      <sheetData sheetId="2565">
        <row r="1">
          <cell r="J1">
            <v>1.7453292519943295E-2</v>
          </cell>
        </row>
      </sheetData>
      <sheetData sheetId="2566"/>
      <sheetData sheetId="2567"/>
      <sheetData sheetId="2568"/>
      <sheetData sheetId="2569"/>
      <sheetData sheetId="2570">
        <row r="1">
          <cell r="J1">
            <v>1.7453292519943295E-2</v>
          </cell>
        </row>
      </sheetData>
      <sheetData sheetId="2571">
        <row r="1">
          <cell r="J1">
            <v>1.7453292519943295E-2</v>
          </cell>
        </row>
      </sheetData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>
        <row r="1">
          <cell r="J1">
            <v>1.7453292519943295E-2</v>
          </cell>
        </row>
      </sheetData>
      <sheetData sheetId="2610">
        <row r="1">
          <cell r="J1">
            <v>1.7453292519943295E-2</v>
          </cell>
        </row>
      </sheetData>
      <sheetData sheetId="2611">
        <row r="1">
          <cell r="J1">
            <v>1.7453292519943295E-2</v>
          </cell>
        </row>
      </sheetData>
      <sheetData sheetId="2612">
        <row r="1">
          <cell r="J1">
            <v>1.7453292519943295E-2</v>
          </cell>
        </row>
      </sheetData>
      <sheetData sheetId="2613">
        <row r="1">
          <cell r="J1">
            <v>1.7453292519943295E-2</v>
          </cell>
        </row>
      </sheetData>
      <sheetData sheetId="2614">
        <row r="1">
          <cell r="J1">
            <v>1.7453292519943295E-2</v>
          </cell>
        </row>
      </sheetData>
      <sheetData sheetId="2615">
        <row r="1">
          <cell r="J1">
            <v>1.7453292519943295E-2</v>
          </cell>
        </row>
      </sheetData>
      <sheetData sheetId="2616">
        <row r="1">
          <cell r="J1">
            <v>1.7453292519943295E-2</v>
          </cell>
        </row>
      </sheetData>
      <sheetData sheetId="2617">
        <row r="1">
          <cell r="J1">
            <v>1.7453292519943295E-2</v>
          </cell>
        </row>
      </sheetData>
      <sheetData sheetId="2618">
        <row r="1">
          <cell r="J1">
            <v>1.7453292519943295E-2</v>
          </cell>
        </row>
      </sheetData>
      <sheetData sheetId="2619">
        <row r="1">
          <cell r="J1">
            <v>1.7453292519943295E-2</v>
          </cell>
        </row>
      </sheetData>
      <sheetData sheetId="2620">
        <row r="1">
          <cell r="J1">
            <v>1.7453292519943295E-2</v>
          </cell>
        </row>
      </sheetData>
      <sheetData sheetId="2621">
        <row r="1">
          <cell r="J1">
            <v>1.7453292519943295E-2</v>
          </cell>
        </row>
      </sheetData>
      <sheetData sheetId="2622">
        <row r="1">
          <cell r="J1">
            <v>1.7453292519943295E-2</v>
          </cell>
        </row>
      </sheetData>
      <sheetData sheetId="2623">
        <row r="1">
          <cell r="J1">
            <v>1.7453292519943295E-2</v>
          </cell>
        </row>
      </sheetData>
      <sheetData sheetId="2624">
        <row r="1">
          <cell r="J1">
            <v>1.7453292519943295E-2</v>
          </cell>
        </row>
      </sheetData>
      <sheetData sheetId="2625">
        <row r="1">
          <cell r="J1">
            <v>1.7453292519943295E-2</v>
          </cell>
        </row>
      </sheetData>
      <sheetData sheetId="2626">
        <row r="1">
          <cell r="J1">
            <v>1.7453292519943295E-2</v>
          </cell>
        </row>
      </sheetData>
      <sheetData sheetId="2627">
        <row r="1">
          <cell r="J1">
            <v>1.7453292519943295E-2</v>
          </cell>
        </row>
      </sheetData>
      <sheetData sheetId="2628">
        <row r="1">
          <cell r="J1">
            <v>1.7453292519943295E-2</v>
          </cell>
        </row>
      </sheetData>
      <sheetData sheetId="2629">
        <row r="1">
          <cell r="J1">
            <v>1.7453292519943295E-2</v>
          </cell>
        </row>
      </sheetData>
      <sheetData sheetId="2630">
        <row r="1">
          <cell r="J1">
            <v>1.7453292519943295E-2</v>
          </cell>
        </row>
      </sheetData>
      <sheetData sheetId="2631">
        <row r="1">
          <cell r="J1">
            <v>1.7453292519943295E-2</v>
          </cell>
        </row>
      </sheetData>
      <sheetData sheetId="2632">
        <row r="1">
          <cell r="J1">
            <v>1.7453292519943295E-2</v>
          </cell>
        </row>
      </sheetData>
      <sheetData sheetId="2633">
        <row r="1">
          <cell r="J1">
            <v>1.7453292519943295E-2</v>
          </cell>
        </row>
      </sheetData>
      <sheetData sheetId="2634">
        <row r="1">
          <cell r="J1">
            <v>1.7453292519943295E-2</v>
          </cell>
        </row>
      </sheetData>
      <sheetData sheetId="2635">
        <row r="1">
          <cell r="J1">
            <v>1.7453292519943295E-2</v>
          </cell>
        </row>
      </sheetData>
      <sheetData sheetId="2636">
        <row r="1">
          <cell r="J1">
            <v>1.7453292519943295E-2</v>
          </cell>
        </row>
      </sheetData>
      <sheetData sheetId="2637">
        <row r="1">
          <cell r="J1">
            <v>1.7453292519943295E-2</v>
          </cell>
        </row>
      </sheetData>
      <sheetData sheetId="2638">
        <row r="1">
          <cell r="J1">
            <v>1.7453292519943295E-2</v>
          </cell>
        </row>
      </sheetData>
      <sheetData sheetId="2639">
        <row r="1">
          <cell r="J1">
            <v>1.7453292519943295E-2</v>
          </cell>
        </row>
      </sheetData>
      <sheetData sheetId="2640">
        <row r="1">
          <cell r="J1">
            <v>1.7453292519943295E-2</v>
          </cell>
        </row>
      </sheetData>
      <sheetData sheetId="2641">
        <row r="1">
          <cell r="J1">
            <v>1.7453292519943295E-2</v>
          </cell>
        </row>
      </sheetData>
      <sheetData sheetId="2642">
        <row r="1">
          <cell r="J1">
            <v>1.7453292519943295E-2</v>
          </cell>
        </row>
      </sheetData>
      <sheetData sheetId="2643">
        <row r="1">
          <cell r="J1">
            <v>1.7453292519943295E-2</v>
          </cell>
        </row>
      </sheetData>
      <sheetData sheetId="2644">
        <row r="1">
          <cell r="J1">
            <v>1.7453292519943295E-2</v>
          </cell>
        </row>
      </sheetData>
      <sheetData sheetId="2645">
        <row r="1">
          <cell r="J1">
            <v>1.7453292519943295E-2</v>
          </cell>
        </row>
      </sheetData>
      <sheetData sheetId="2646">
        <row r="1">
          <cell r="J1">
            <v>1.7453292519943295E-2</v>
          </cell>
        </row>
      </sheetData>
      <sheetData sheetId="2647">
        <row r="1">
          <cell r="J1">
            <v>1.7453292519943295E-2</v>
          </cell>
        </row>
      </sheetData>
      <sheetData sheetId="2648">
        <row r="1">
          <cell r="J1">
            <v>1.7453292519943295E-2</v>
          </cell>
        </row>
      </sheetData>
      <sheetData sheetId="2649">
        <row r="1">
          <cell r="J1">
            <v>1.7453292519943295E-2</v>
          </cell>
        </row>
      </sheetData>
      <sheetData sheetId="2650">
        <row r="1">
          <cell r="J1">
            <v>1.7453292519943295E-2</v>
          </cell>
        </row>
      </sheetData>
      <sheetData sheetId="2651">
        <row r="1">
          <cell r="J1">
            <v>1.7453292519943295E-2</v>
          </cell>
        </row>
      </sheetData>
      <sheetData sheetId="2652">
        <row r="1">
          <cell r="J1">
            <v>1.7453292519943295E-2</v>
          </cell>
        </row>
      </sheetData>
      <sheetData sheetId="2653">
        <row r="1">
          <cell r="J1">
            <v>1.7453292519943295E-2</v>
          </cell>
        </row>
      </sheetData>
      <sheetData sheetId="2654">
        <row r="1">
          <cell r="J1">
            <v>1.7453292519943295E-2</v>
          </cell>
        </row>
      </sheetData>
      <sheetData sheetId="2655">
        <row r="1">
          <cell r="J1">
            <v>1.7453292519943295E-2</v>
          </cell>
        </row>
      </sheetData>
      <sheetData sheetId="2656">
        <row r="1">
          <cell r="J1">
            <v>1.7453292519943295E-2</v>
          </cell>
        </row>
      </sheetData>
      <sheetData sheetId="2657">
        <row r="1">
          <cell r="J1">
            <v>1.7453292519943295E-2</v>
          </cell>
        </row>
      </sheetData>
      <sheetData sheetId="2658">
        <row r="1">
          <cell r="J1">
            <v>1.7453292519943295E-2</v>
          </cell>
        </row>
      </sheetData>
      <sheetData sheetId="2659">
        <row r="1">
          <cell r="J1">
            <v>1.7453292519943295E-2</v>
          </cell>
        </row>
      </sheetData>
      <sheetData sheetId="2660">
        <row r="1">
          <cell r="J1">
            <v>1.7453292519943295E-2</v>
          </cell>
        </row>
      </sheetData>
      <sheetData sheetId="2661">
        <row r="1">
          <cell r="J1">
            <v>1.7453292519943295E-2</v>
          </cell>
        </row>
      </sheetData>
      <sheetData sheetId="2662">
        <row r="1">
          <cell r="J1">
            <v>1.7453292519943295E-2</v>
          </cell>
        </row>
      </sheetData>
      <sheetData sheetId="2663">
        <row r="1">
          <cell r="J1">
            <v>1.7453292519943295E-2</v>
          </cell>
        </row>
      </sheetData>
      <sheetData sheetId="2664">
        <row r="1">
          <cell r="J1">
            <v>1.7453292519943295E-2</v>
          </cell>
        </row>
      </sheetData>
      <sheetData sheetId="2665">
        <row r="1">
          <cell r="J1">
            <v>1.7453292519943295E-2</v>
          </cell>
        </row>
      </sheetData>
      <sheetData sheetId="2666">
        <row r="1">
          <cell r="J1">
            <v>1.7453292519943295E-2</v>
          </cell>
        </row>
      </sheetData>
      <sheetData sheetId="2667">
        <row r="1">
          <cell r="J1">
            <v>1.7453292519943295E-2</v>
          </cell>
        </row>
      </sheetData>
      <sheetData sheetId="2668">
        <row r="1">
          <cell r="J1">
            <v>1.7453292519943295E-2</v>
          </cell>
        </row>
      </sheetData>
      <sheetData sheetId="2669">
        <row r="1">
          <cell r="J1">
            <v>1.7453292519943295E-2</v>
          </cell>
        </row>
      </sheetData>
      <sheetData sheetId="2670">
        <row r="1">
          <cell r="J1">
            <v>1.7453292519943295E-2</v>
          </cell>
        </row>
      </sheetData>
      <sheetData sheetId="2671">
        <row r="1">
          <cell r="J1">
            <v>1.7453292519943295E-2</v>
          </cell>
        </row>
      </sheetData>
      <sheetData sheetId="2672">
        <row r="1">
          <cell r="J1">
            <v>1.7453292519943295E-2</v>
          </cell>
        </row>
      </sheetData>
      <sheetData sheetId="2673">
        <row r="1">
          <cell r="J1">
            <v>1.7453292519943295E-2</v>
          </cell>
        </row>
      </sheetData>
      <sheetData sheetId="2674">
        <row r="1">
          <cell r="J1">
            <v>1.7453292519943295E-2</v>
          </cell>
        </row>
      </sheetData>
      <sheetData sheetId="2675">
        <row r="1">
          <cell r="J1">
            <v>1.7453292519943295E-2</v>
          </cell>
        </row>
      </sheetData>
      <sheetData sheetId="2676">
        <row r="1">
          <cell r="J1">
            <v>1.7453292519943295E-2</v>
          </cell>
        </row>
      </sheetData>
      <sheetData sheetId="2677">
        <row r="1">
          <cell r="J1">
            <v>1.7453292519943295E-2</v>
          </cell>
        </row>
      </sheetData>
      <sheetData sheetId="2678">
        <row r="1">
          <cell r="J1">
            <v>1.7453292519943295E-2</v>
          </cell>
        </row>
      </sheetData>
      <sheetData sheetId="2679">
        <row r="1">
          <cell r="J1">
            <v>1.7453292519943295E-2</v>
          </cell>
        </row>
      </sheetData>
      <sheetData sheetId="2680">
        <row r="1">
          <cell r="J1">
            <v>1.7453292519943295E-2</v>
          </cell>
        </row>
      </sheetData>
      <sheetData sheetId="2681">
        <row r="1">
          <cell r="J1">
            <v>1.7453292519943295E-2</v>
          </cell>
        </row>
      </sheetData>
      <sheetData sheetId="2682">
        <row r="1">
          <cell r="J1">
            <v>1.7453292519943295E-2</v>
          </cell>
        </row>
      </sheetData>
      <sheetData sheetId="2683">
        <row r="1">
          <cell r="J1">
            <v>1.7453292519943295E-2</v>
          </cell>
        </row>
      </sheetData>
      <sheetData sheetId="2684">
        <row r="1">
          <cell r="J1">
            <v>1.7453292519943295E-2</v>
          </cell>
        </row>
      </sheetData>
      <sheetData sheetId="2685">
        <row r="1">
          <cell r="J1">
            <v>1.7453292519943295E-2</v>
          </cell>
        </row>
      </sheetData>
      <sheetData sheetId="2686">
        <row r="1">
          <cell r="J1">
            <v>1.7453292519943295E-2</v>
          </cell>
        </row>
      </sheetData>
      <sheetData sheetId="2687">
        <row r="1">
          <cell r="J1">
            <v>1.7453292519943295E-2</v>
          </cell>
        </row>
      </sheetData>
      <sheetData sheetId="2688">
        <row r="1">
          <cell r="J1">
            <v>1.7453292519943295E-2</v>
          </cell>
        </row>
      </sheetData>
      <sheetData sheetId="2689">
        <row r="1">
          <cell r="J1">
            <v>1.7453292519943295E-2</v>
          </cell>
        </row>
      </sheetData>
      <sheetData sheetId="2690">
        <row r="1">
          <cell r="J1">
            <v>1.7453292519943295E-2</v>
          </cell>
        </row>
      </sheetData>
      <sheetData sheetId="2691">
        <row r="1">
          <cell r="J1">
            <v>1.7453292519943295E-2</v>
          </cell>
        </row>
      </sheetData>
      <sheetData sheetId="2692">
        <row r="1">
          <cell r="J1">
            <v>1.7453292519943295E-2</v>
          </cell>
        </row>
      </sheetData>
      <sheetData sheetId="2693">
        <row r="1">
          <cell r="J1">
            <v>1.7453292519943295E-2</v>
          </cell>
        </row>
      </sheetData>
      <sheetData sheetId="2694">
        <row r="1">
          <cell r="J1">
            <v>1.7453292519943295E-2</v>
          </cell>
        </row>
      </sheetData>
      <sheetData sheetId="2695">
        <row r="1">
          <cell r="J1">
            <v>1.7453292519943295E-2</v>
          </cell>
        </row>
      </sheetData>
      <sheetData sheetId="2696">
        <row r="1">
          <cell r="J1">
            <v>1.7453292519943295E-2</v>
          </cell>
        </row>
      </sheetData>
      <sheetData sheetId="2697">
        <row r="1">
          <cell r="J1">
            <v>1.7453292519943295E-2</v>
          </cell>
        </row>
      </sheetData>
      <sheetData sheetId="2698">
        <row r="1">
          <cell r="J1">
            <v>1.7453292519943295E-2</v>
          </cell>
        </row>
      </sheetData>
      <sheetData sheetId="2699">
        <row r="1">
          <cell r="J1">
            <v>1.7453292519943295E-2</v>
          </cell>
        </row>
      </sheetData>
      <sheetData sheetId="2700">
        <row r="1">
          <cell r="J1">
            <v>1.7453292519943295E-2</v>
          </cell>
        </row>
      </sheetData>
      <sheetData sheetId="2701">
        <row r="1">
          <cell r="J1">
            <v>1.7453292519943295E-2</v>
          </cell>
        </row>
      </sheetData>
      <sheetData sheetId="2702">
        <row r="1">
          <cell r="J1">
            <v>1.7453292519943295E-2</v>
          </cell>
        </row>
      </sheetData>
      <sheetData sheetId="2703">
        <row r="1">
          <cell r="J1">
            <v>1.7453292519943295E-2</v>
          </cell>
        </row>
      </sheetData>
      <sheetData sheetId="2704">
        <row r="1">
          <cell r="J1">
            <v>1.7453292519943295E-2</v>
          </cell>
        </row>
      </sheetData>
      <sheetData sheetId="2705">
        <row r="1">
          <cell r="J1">
            <v>1.7453292519943295E-2</v>
          </cell>
        </row>
      </sheetData>
      <sheetData sheetId="2706">
        <row r="1">
          <cell r="J1">
            <v>1.7453292519943295E-2</v>
          </cell>
        </row>
      </sheetData>
      <sheetData sheetId="2707">
        <row r="1">
          <cell r="J1">
            <v>1.7453292519943295E-2</v>
          </cell>
        </row>
      </sheetData>
      <sheetData sheetId="2708">
        <row r="1">
          <cell r="J1">
            <v>1.7453292519943295E-2</v>
          </cell>
        </row>
      </sheetData>
      <sheetData sheetId="2709">
        <row r="1">
          <cell r="J1">
            <v>1.7453292519943295E-2</v>
          </cell>
        </row>
      </sheetData>
      <sheetData sheetId="2710">
        <row r="1">
          <cell r="J1">
            <v>1.7453292519943295E-2</v>
          </cell>
        </row>
      </sheetData>
      <sheetData sheetId="2711">
        <row r="1">
          <cell r="J1">
            <v>1.7453292519943295E-2</v>
          </cell>
        </row>
      </sheetData>
      <sheetData sheetId="2712">
        <row r="1">
          <cell r="J1">
            <v>1.7453292519943295E-2</v>
          </cell>
        </row>
      </sheetData>
      <sheetData sheetId="2713">
        <row r="1">
          <cell r="J1">
            <v>1.7453292519943295E-2</v>
          </cell>
        </row>
      </sheetData>
      <sheetData sheetId="2714">
        <row r="1">
          <cell r="J1">
            <v>1.7453292519943295E-2</v>
          </cell>
        </row>
      </sheetData>
      <sheetData sheetId="2715">
        <row r="1">
          <cell r="J1">
            <v>1.7453292519943295E-2</v>
          </cell>
        </row>
      </sheetData>
      <sheetData sheetId="2716">
        <row r="1">
          <cell r="J1">
            <v>1.7453292519943295E-2</v>
          </cell>
        </row>
      </sheetData>
      <sheetData sheetId="2717">
        <row r="1">
          <cell r="J1">
            <v>1.7453292519943295E-2</v>
          </cell>
        </row>
      </sheetData>
      <sheetData sheetId="2718">
        <row r="1">
          <cell r="J1">
            <v>1.7453292519943295E-2</v>
          </cell>
        </row>
      </sheetData>
      <sheetData sheetId="2719">
        <row r="1">
          <cell r="J1">
            <v>1.7453292519943295E-2</v>
          </cell>
        </row>
      </sheetData>
      <sheetData sheetId="2720">
        <row r="1">
          <cell r="J1">
            <v>1.7453292519943295E-2</v>
          </cell>
        </row>
      </sheetData>
      <sheetData sheetId="2721">
        <row r="1">
          <cell r="J1">
            <v>1.7453292519943295E-2</v>
          </cell>
        </row>
      </sheetData>
      <sheetData sheetId="2722">
        <row r="1">
          <cell r="J1">
            <v>1.7453292519943295E-2</v>
          </cell>
        </row>
      </sheetData>
      <sheetData sheetId="2723">
        <row r="1">
          <cell r="J1">
            <v>1.7453292519943295E-2</v>
          </cell>
        </row>
      </sheetData>
      <sheetData sheetId="2724">
        <row r="1">
          <cell r="J1">
            <v>1.7453292519943295E-2</v>
          </cell>
        </row>
      </sheetData>
      <sheetData sheetId="2725">
        <row r="1">
          <cell r="J1">
            <v>1.7453292519943295E-2</v>
          </cell>
        </row>
      </sheetData>
      <sheetData sheetId="2726">
        <row r="1">
          <cell r="J1">
            <v>1.7453292519943295E-2</v>
          </cell>
        </row>
      </sheetData>
      <sheetData sheetId="2727">
        <row r="1">
          <cell r="J1">
            <v>1.7453292519943295E-2</v>
          </cell>
        </row>
      </sheetData>
      <sheetData sheetId="2728">
        <row r="1">
          <cell r="J1">
            <v>1.7453292519943295E-2</v>
          </cell>
        </row>
      </sheetData>
      <sheetData sheetId="2729">
        <row r="1">
          <cell r="J1">
            <v>1.7453292519943295E-2</v>
          </cell>
        </row>
      </sheetData>
      <sheetData sheetId="2730">
        <row r="1">
          <cell r="J1">
            <v>1.7453292519943295E-2</v>
          </cell>
        </row>
      </sheetData>
      <sheetData sheetId="2731">
        <row r="1">
          <cell r="J1">
            <v>1.7453292519943295E-2</v>
          </cell>
        </row>
      </sheetData>
      <sheetData sheetId="2732">
        <row r="1">
          <cell r="J1">
            <v>1.7453292519943295E-2</v>
          </cell>
        </row>
      </sheetData>
      <sheetData sheetId="2733">
        <row r="1">
          <cell r="J1">
            <v>1.7453292519943295E-2</v>
          </cell>
        </row>
      </sheetData>
      <sheetData sheetId="2734">
        <row r="1">
          <cell r="J1">
            <v>1.7453292519943295E-2</v>
          </cell>
        </row>
      </sheetData>
      <sheetData sheetId="2735">
        <row r="1">
          <cell r="J1">
            <v>1.7453292519943295E-2</v>
          </cell>
        </row>
      </sheetData>
      <sheetData sheetId="2736">
        <row r="1">
          <cell r="J1">
            <v>1.7453292519943295E-2</v>
          </cell>
        </row>
      </sheetData>
      <sheetData sheetId="2737">
        <row r="1">
          <cell r="J1">
            <v>1.7453292519943295E-2</v>
          </cell>
        </row>
      </sheetData>
      <sheetData sheetId="2738">
        <row r="1">
          <cell r="J1">
            <v>1.7453292519943295E-2</v>
          </cell>
        </row>
      </sheetData>
      <sheetData sheetId="2739">
        <row r="1">
          <cell r="J1">
            <v>1.7453292519943295E-2</v>
          </cell>
        </row>
      </sheetData>
      <sheetData sheetId="2740">
        <row r="1">
          <cell r="J1">
            <v>1.7453292519943295E-2</v>
          </cell>
        </row>
      </sheetData>
      <sheetData sheetId="2741">
        <row r="1">
          <cell r="J1">
            <v>1.7453292519943295E-2</v>
          </cell>
        </row>
      </sheetData>
      <sheetData sheetId="2742">
        <row r="1">
          <cell r="J1">
            <v>1.7453292519943295E-2</v>
          </cell>
        </row>
      </sheetData>
      <sheetData sheetId="2743">
        <row r="1">
          <cell r="J1">
            <v>1.7453292519943295E-2</v>
          </cell>
        </row>
      </sheetData>
      <sheetData sheetId="2744">
        <row r="1">
          <cell r="J1">
            <v>1.7453292519943295E-2</v>
          </cell>
        </row>
      </sheetData>
      <sheetData sheetId="2745">
        <row r="1">
          <cell r="J1">
            <v>1.7453292519943295E-2</v>
          </cell>
        </row>
      </sheetData>
      <sheetData sheetId="2746">
        <row r="1">
          <cell r="J1">
            <v>1.7453292519943295E-2</v>
          </cell>
        </row>
      </sheetData>
      <sheetData sheetId="2747">
        <row r="1">
          <cell r="J1">
            <v>1.7453292519943295E-2</v>
          </cell>
        </row>
      </sheetData>
      <sheetData sheetId="2748">
        <row r="1">
          <cell r="J1">
            <v>1.7453292519943295E-2</v>
          </cell>
        </row>
      </sheetData>
      <sheetData sheetId="2749">
        <row r="1">
          <cell r="J1">
            <v>1.7453292519943295E-2</v>
          </cell>
        </row>
      </sheetData>
      <sheetData sheetId="2750">
        <row r="1">
          <cell r="J1">
            <v>1.7453292519943295E-2</v>
          </cell>
        </row>
      </sheetData>
      <sheetData sheetId="2751">
        <row r="1">
          <cell r="J1">
            <v>1.7453292519943295E-2</v>
          </cell>
        </row>
      </sheetData>
      <sheetData sheetId="2752">
        <row r="1">
          <cell r="J1">
            <v>1.7453292519943295E-2</v>
          </cell>
        </row>
      </sheetData>
      <sheetData sheetId="2753">
        <row r="1">
          <cell r="J1">
            <v>1.7453292519943295E-2</v>
          </cell>
        </row>
      </sheetData>
      <sheetData sheetId="2754">
        <row r="1">
          <cell r="J1">
            <v>1.7453292519943295E-2</v>
          </cell>
        </row>
      </sheetData>
      <sheetData sheetId="2755">
        <row r="1">
          <cell r="J1">
            <v>1.7453292519943295E-2</v>
          </cell>
        </row>
      </sheetData>
      <sheetData sheetId="2756">
        <row r="1">
          <cell r="J1">
            <v>1.7453292519943295E-2</v>
          </cell>
        </row>
      </sheetData>
      <sheetData sheetId="2757">
        <row r="1">
          <cell r="J1">
            <v>1.7453292519943295E-2</v>
          </cell>
        </row>
      </sheetData>
      <sheetData sheetId="2758">
        <row r="1">
          <cell r="J1">
            <v>1.7453292519943295E-2</v>
          </cell>
        </row>
      </sheetData>
      <sheetData sheetId="2759">
        <row r="1">
          <cell r="J1">
            <v>1.7453292519943295E-2</v>
          </cell>
        </row>
      </sheetData>
      <sheetData sheetId="2760">
        <row r="1">
          <cell r="J1">
            <v>1.7453292519943295E-2</v>
          </cell>
        </row>
      </sheetData>
      <sheetData sheetId="2761">
        <row r="1">
          <cell r="J1">
            <v>1.7453292519943295E-2</v>
          </cell>
        </row>
      </sheetData>
      <sheetData sheetId="2762">
        <row r="1">
          <cell r="J1">
            <v>1.7453292519943295E-2</v>
          </cell>
        </row>
      </sheetData>
      <sheetData sheetId="2763">
        <row r="1">
          <cell r="J1">
            <v>1.7453292519943295E-2</v>
          </cell>
        </row>
      </sheetData>
      <sheetData sheetId="2764">
        <row r="1">
          <cell r="J1">
            <v>1.7453292519943295E-2</v>
          </cell>
        </row>
      </sheetData>
      <sheetData sheetId="2765">
        <row r="1">
          <cell r="J1">
            <v>1.7453292519943295E-2</v>
          </cell>
        </row>
      </sheetData>
      <sheetData sheetId="2766">
        <row r="1">
          <cell r="J1">
            <v>1.7453292519943295E-2</v>
          </cell>
        </row>
      </sheetData>
      <sheetData sheetId="2767">
        <row r="1">
          <cell r="J1">
            <v>1.7453292519943295E-2</v>
          </cell>
        </row>
      </sheetData>
      <sheetData sheetId="2768">
        <row r="1">
          <cell r="J1">
            <v>1.7453292519943295E-2</v>
          </cell>
        </row>
      </sheetData>
      <sheetData sheetId="2769">
        <row r="1">
          <cell r="J1">
            <v>1.7453292519943295E-2</v>
          </cell>
        </row>
      </sheetData>
      <sheetData sheetId="2770">
        <row r="1">
          <cell r="J1">
            <v>1.7453292519943295E-2</v>
          </cell>
        </row>
      </sheetData>
      <sheetData sheetId="2771">
        <row r="1">
          <cell r="J1">
            <v>1.7453292519943295E-2</v>
          </cell>
        </row>
      </sheetData>
      <sheetData sheetId="2772">
        <row r="1">
          <cell r="J1">
            <v>1.7453292519943295E-2</v>
          </cell>
        </row>
      </sheetData>
      <sheetData sheetId="2773">
        <row r="1">
          <cell r="J1">
            <v>1.7453292519943295E-2</v>
          </cell>
        </row>
      </sheetData>
      <sheetData sheetId="2774">
        <row r="1">
          <cell r="J1">
            <v>1.7453292519943295E-2</v>
          </cell>
        </row>
      </sheetData>
      <sheetData sheetId="2775">
        <row r="1">
          <cell r="J1">
            <v>1.7453292519943295E-2</v>
          </cell>
        </row>
      </sheetData>
      <sheetData sheetId="2776">
        <row r="1">
          <cell r="J1">
            <v>1.7453292519943295E-2</v>
          </cell>
        </row>
      </sheetData>
      <sheetData sheetId="2777">
        <row r="1">
          <cell r="J1">
            <v>1.7453292519943295E-2</v>
          </cell>
        </row>
      </sheetData>
      <sheetData sheetId="2778">
        <row r="1">
          <cell r="J1">
            <v>1.7453292519943295E-2</v>
          </cell>
        </row>
      </sheetData>
      <sheetData sheetId="2779">
        <row r="1">
          <cell r="J1">
            <v>1.7453292519943295E-2</v>
          </cell>
        </row>
      </sheetData>
      <sheetData sheetId="2780">
        <row r="1">
          <cell r="J1">
            <v>1.7453292519943295E-2</v>
          </cell>
        </row>
      </sheetData>
      <sheetData sheetId="2781">
        <row r="1">
          <cell r="J1">
            <v>1.7453292519943295E-2</v>
          </cell>
        </row>
      </sheetData>
      <sheetData sheetId="2782">
        <row r="1">
          <cell r="J1">
            <v>1.7453292519943295E-2</v>
          </cell>
        </row>
      </sheetData>
      <sheetData sheetId="2783">
        <row r="1">
          <cell r="J1">
            <v>1.7453292519943295E-2</v>
          </cell>
        </row>
      </sheetData>
      <sheetData sheetId="2784">
        <row r="1">
          <cell r="J1">
            <v>1.7453292519943295E-2</v>
          </cell>
        </row>
      </sheetData>
      <sheetData sheetId="2785">
        <row r="1">
          <cell r="J1">
            <v>1.7453292519943295E-2</v>
          </cell>
        </row>
      </sheetData>
      <sheetData sheetId="2786">
        <row r="1">
          <cell r="J1">
            <v>1.7453292519943295E-2</v>
          </cell>
        </row>
      </sheetData>
      <sheetData sheetId="2787">
        <row r="1">
          <cell r="J1">
            <v>1.7453292519943295E-2</v>
          </cell>
        </row>
      </sheetData>
      <sheetData sheetId="2788">
        <row r="1">
          <cell r="J1">
            <v>1.7453292519943295E-2</v>
          </cell>
        </row>
      </sheetData>
      <sheetData sheetId="2789">
        <row r="1">
          <cell r="J1">
            <v>1.7453292519943295E-2</v>
          </cell>
        </row>
      </sheetData>
      <sheetData sheetId="2790">
        <row r="1">
          <cell r="J1">
            <v>1.7453292519943295E-2</v>
          </cell>
        </row>
      </sheetData>
      <sheetData sheetId="2791">
        <row r="1">
          <cell r="J1">
            <v>1.7453292519943295E-2</v>
          </cell>
        </row>
      </sheetData>
      <sheetData sheetId="2792">
        <row r="1">
          <cell r="J1">
            <v>1.7453292519943295E-2</v>
          </cell>
        </row>
      </sheetData>
      <sheetData sheetId="2793">
        <row r="1">
          <cell r="J1">
            <v>1.7453292519943295E-2</v>
          </cell>
        </row>
      </sheetData>
      <sheetData sheetId="2794">
        <row r="1">
          <cell r="J1">
            <v>1.7453292519943295E-2</v>
          </cell>
        </row>
      </sheetData>
      <sheetData sheetId="2795">
        <row r="1">
          <cell r="J1">
            <v>1.7453292519943295E-2</v>
          </cell>
        </row>
      </sheetData>
      <sheetData sheetId="2796">
        <row r="1">
          <cell r="J1">
            <v>1.7453292519943295E-2</v>
          </cell>
        </row>
      </sheetData>
      <sheetData sheetId="2797">
        <row r="1">
          <cell r="J1">
            <v>1.7453292519943295E-2</v>
          </cell>
        </row>
      </sheetData>
      <sheetData sheetId="2798">
        <row r="1">
          <cell r="J1">
            <v>1.7453292519943295E-2</v>
          </cell>
        </row>
      </sheetData>
      <sheetData sheetId="2799">
        <row r="1">
          <cell r="J1">
            <v>1.7453292519943295E-2</v>
          </cell>
        </row>
      </sheetData>
      <sheetData sheetId="2800">
        <row r="1">
          <cell r="J1">
            <v>1.7453292519943295E-2</v>
          </cell>
        </row>
      </sheetData>
      <sheetData sheetId="2801">
        <row r="1">
          <cell r="J1">
            <v>1.7453292519943295E-2</v>
          </cell>
        </row>
      </sheetData>
      <sheetData sheetId="2802">
        <row r="1">
          <cell r="J1">
            <v>1.7453292519943295E-2</v>
          </cell>
        </row>
      </sheetData>
      <sheetData sheetId="2803">
        <row r="1">
          <cell r="J1">
            <v>1.7453292519943295E-2</v>
          </cell>
        </row>
      </sheetData>
      <sheetData sheetId="2804">
        <row r="1">
          <cell r="J1">
            <v>1.7453292519943295E-2</v>
          </cell>
        </row>
      </sheetData>
      <sheetData sheetId="2805">
        <row r="1">
          <cell r="J1">
            <v>1.7453292519943295E-2</v>
          </cell>
        </row>
      </sheetData>
      <sheetData sheetId="2806">
        <row r="1">
          <cell r="J1">
            <v>1.7453292519943295E-2</v>
          </cell>
        </row>
      </sheetData>
      <sheetData sheetId="2807">
        <row r="1">
          <cell r="J1">
            <v>1.7453292519943295E-2</v>
          </cell>
        </row>
      </sheetData>
      <sheetData sheetId="2808">
        <row r="1">
          <cell r="J1">
            <v>1.7453292519943295E-2</v>
          </cell>
        </row>
      </sheetData>
      <sheetData sheetId="2809">
        <row r="1">
          <cell r="J1">
            <v>1.7453292519943295E-2</v>
          </cell>
        </row>
      </sheetData>
      <sheetData sheetId="2810">
        <row r="1">
          <cell r="J1">
            <v>1.7453292519943295E-2</v>
          </cell>
        </row>
      </sheetData>
      <sheetData sheetId="2811">
        <row r="1">
          <cell r="J1">
            <v>1.7453292519943295E-2</v>
          </cell>
        </row>
      </sheetData>
      <sheetData sheetId="2812">
        <row r="1">
          <cell r="J1">
            <v>1.7453292519943295E-2</v>
          </cell>
        </row>
      </sheetData>
      <sheetData sheetId="2813">
        <row r="1">
          <cell r="J1">
            <v>1.7453292519943295E-2</v>
          </cell>
        </row>
      </sheetData>
      <sheetData sheetId="2814">
        <row r="1">
          <cell r="J1">
            <v>1.7453292519943295E-2</v>
          </cell>
        </row>
      </sheetData>
      <sheetData sheetId="2815">
        <row r="1">
          <cell r="J1">
            <v>1.7453292519943295E-2</v>
          </cell>
        </row>
      </sheetData>
      <sheetData sheetId="2816">
        <row r="1">
          <cell r="J1">
            <v>1.7453292519943295E-2</v>
          </cell>
        </row>
      </sheetData>
      <sheetData sheetId="2817">
        <row r="1">
          <cell r="J1">
            <v>1.7453292519943295E-2</v>
          </cell>
        </row>
      </sheetData>
      <sheetData sheetId="2818">
        <row r="1">
          <cell r="J1">
            <v>1.7453292519943295E-2</v>
          </cell>
        </row>
      </sheetData>
      <sheetData sheetId="2819">
        <row r="1">
          <cell r="J1">
            <v>1.7453292519943295E-2</v>
          </cell>
        </row>
      </sheetData>
      <sheetData sheetId="2820">
        <row r="1">
          <cell r="J1">
            <v>1.7453292519943295E-2</v>
          </cell>
        </row>
      </sheetData>
      <sheetData sheetId="2821">
        <row r="1">
          <cell r="J1">
            <v>1.7453292519943295E-2</v>
          </cell>
        </row>
      </sheetData>
      <sheetData sheetId="2822">
        <row r="1">
          <cell r="J1">
            <v>1.7453292519943295E-2</v>
          </cell>
        </row>
      </sheetData>
      <sheetData sheetId="2823">
        <row r="1">
          <cell r="J1">
            <v>1.7453292519943295E-2</v>
          </cell>
        </row>
      </sheetData>
      <sheetData sheetId="2824">
        <row r="1">
          <cell r="J1">
            <v>1.7453292519943295E-2</v>
          </cell>
        </row>
      </sheetData>
      <sheetData sheetId="2825">
        <row r="1">
          <cell r="J1">
            <v>1.7453292519943295E-2</v>
          </cell>
        </row>
      </sheetData>
      <sheetData sheetId="2826">
        <row r="1">
          <cell r="J1">
            <v>1.7453292519943295E-2</v>
          </cell>
        </row>
      </sheetData>
      <sheetData sheetId="2827">
        <row r="1">
          <cell r="J1">
            <v>1.7453292519943295E-2</v>
          </cell>
        </row>
      </sheetData>
      <sheetData sheetId="2828">
        <row r="1">
          <cell r="J1">
            <v>1.7453292519943295E-2</v>
          </cell>
        </row>
      </sheetData>
      <sheetData sheetId="2829">
        <row r="1">
          <cell r="J1">
            <v>1.7453292519943295E-2</v>
          </cell>
        </row>
      </sheetData>
      <sheetData sheetId="2830">
        <row r="1">
          <cell r="J1">
            <v>1.7453292519943295E-2</v>
          </cell>
        </row>
      </sheetData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>
        <row r="1">
          <cell r="J1">
            <v>1.7453292519943295E-2</v>
          </cell>
        </row>
      </sheetData>
      <sheetData sheetId="2842">
        <row r="1">
          <cell r="J1">
            <v>1.7453292519943295E-2</v>
          </cell>
        </row>
      </sheetData>
      <sheetData sheetId="2843">
        <row r="1">
          <cell r="J1">
            <v>1.7453292519943295E-2</v>
          </cell>
        </row>
      </sheetData>
      <sheetData sheetId="2844">
        <row r="1">
          <cell r="J1">
            <v>1.7453292519943295E-2</v>
          </cell>
        </row>
      </sheetData>
      <sheetData sheetId="2845" refreshError="1"/>
      <sheetData sheetId="2846">
        <row r="1">
          <cell r="J1">
            <v>1.7453292519943295E-2</v>
          </cell>
        </row>
      </sheetData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>
        <row r="1">
          <cell r="J1">
            <v>1.7453292519943295E-2</v>
          </cell>
        </row>
      </sheetData>
      <sheetData sheetId="2853" refreshError="1"/>
      <sheetData sheetId="2854">
        <row r="2">
          <cell r="B2">
            <v>1</v>
          </cell>
        </row>
      </sheetData>
      <sheetData sheetId="2855" refreshError="1"/>
      <sheetData sheetId="2856" refreshError="1"/>
      <sheetData sheetId="2857">
        <row r="1">
          <cell r="J1">
            <v>1.7453292519943295E-2</v>
          </cell>
        </row>
      </sheetData>
      <sheetData sheetId="2858" refreshError="1"/>
      <sheetData sheetId="2859" refreshError="1"/>
      <sheetData sheetId="2860">
        <row r="1">
          <cell r="J1">
            <v>1.7453292519943295E-2</v>
          </cell>
        </row>
      </sheetData>
      <sheetData sheetId="2861">
        <row r="1">
          <cell r="J1">
            <v>1.7453292519943295E-2</v>
          </cell>
        </row>
      </sheetData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>
        <row r="1">
          <cell r="J1">
            <v>1.7453292519943295E-2</v>
          </cell>
        </row>
      </sheetData>
      <sheetData sheetId="2918">
        <row r="1">
          <cell r="J1">
            <v>1.7453292519943295E-2</v>
          </cell>
        </row>
      </sheetData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>
        <row r="1">
          <cell r="J1">
            <v>1.7453292519943295E-2</v>
          </cell>
        </row>
      </sheetData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>
        <row r="1">
          <cell r="J1">
            <v>1.7453292519943295E-2</v>
          </cell>
        </row>
      </sheetData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>
        <row r="1">
          <cell r="J1">
            <v>1.7453292519943295E-2</v>
          </cell>
        </row>
      </sheetData>
      <sheetData sheetId="2952">
        <row r="1">
          <cell r="J1">
            <v>1.7453292519943295E-2</v>
          </cell>
        </row>
      </sheetData>
      <sheetData sheetId="2953">
        <row r="2">
          <cell r="B2">
            <v>1</v>
          </cell>
        </row>
      </sheetData>
      <sheetData sheetId="2954">
        <row r="1">
          <cell r="J1">
            <v>1.7453292519943295E-2</v>
          </cell>
        </row>
      </sheetData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>
        <row r="1">
          <cell r="J1">
            <v>1.7453292519943295E-2</v>
          </cell>
        </row>
      </sheetData>
      <sheetData sheetId="2966">
        <row r="1">
          <cell r="J1">
            <v>1.7453292519943295E-2</v>
          </cell>
        </row>
      </sheetData>
      <sheetData sheetId="2967" refreshError="1"/>
      <sheetData sheetId="2968">
        <row r="1">
          <cell r="J1">
            <v>1.7453292519943295E-2</v>
          </cell>
        </row>
      </sheetData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>
        <row r="1">
          <cell r="J1">
            <v>1.7453292519943295E-2</v>
          </cell>
        </row>
      </sheetData>
      <sheetData sheetId="2978" refreshError="1"/>
      <sheetData sheetId="2979">
        <row r="1">
          <cell r="J1">
            <v>1.7453292519943295E-2</v>
          </cell>
        </row>
      </sheetData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>
        <row r="1">
          <cell r="J1">
            <v>1.7453292519943295E-2</v>
          </cell>
        </row>
      </sheetData>
      <sheetData sheetId="3014" refreshError="1"/>
      <sheetData sheetId="3015" refreshError="1"/>
      <sheetData sheetId="3016" refreshError="1"/>
      <sheetData sheetId="3017" refreshError="1"/>
      <sheetData sheetId="3018">
        <row r="1">
          <cell r="J1">
            <v>1.7453292519943295E-2</v>
          </cell>
        </row>
      </sheetData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>
        <row r="1">
          <cell r="J1">
            <v>1.7453292519943295E-2</v>
          </cell>
        </row>
      </sheetData>
      <sheetData sheetId="3035">
        <row r="1">
          <cell r="J1">
            <v>1.7453292519943295E-2</v>
          </cell>
        </row>
      </sheetData>
      <sheetData sheetId="3036">
        <row r="1">
          <cell r="J1">
            <v>1.7453292519943295E-2</v>
          </cell>
        </row>
      </sheetData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>
        <row r="1">
          <cell r="J1">
            <v>1.7453292519943295E-2</v>
          </cell>
        </row>
      </sheetData>
      <sheetData sheetId="3051" refreshError="1"/>
      <sheetData sheetId="3052">
        <row r="1">
          <cell r="J1">
            <v>1.7453292519943295E-2</v>
          </cell>
        </row>
      </sheetData>
      <sheetData sheetId="3053">
        <row r="1">
          <cell r="J1">
            <v>1.7453292519943295E-2</v>
          </cell>
        </row>
      </sheetData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>
        <row r="1">
          <cell r="J1">
            <v>1.7453292519943295E-2</v>
          </cell>
        </row>
      </sheetData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>
        <row r="1">
          <cell r="J1">
            <v>1.7453292519943295E-2</v>
          </cell>
        </row>
      </sheetData>
      <sheetData sheetId="3081" refreshError="1"/>
      <sheetData sheetId="3082">
        <row r="1">
          <cell r="J1">
            <v>1.7453292519943295E-2</v>
          </cell>
        </row>
      </sheetData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>
        <row r="1">
          <cell r="J1">
            <v>1.7453292519943295E-2</v>
          </cell>
        </row>
      </sheetData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>
        <row r="1">
          <cell r="J1">
            <v>1.7453292519943295E-2</v>
          </cell>
        </row>
      </sheetData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>
        <row r="1">
          <cell r="J1">
            <v>1.7453292519943295E-2</v>
          </cell>
        </row>
      </sheetData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>
        <row r="1">
          <cell r="J1">
            <v>1.7453292519943295E-2</v>
          </cell>
        </row>
      </sheetData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>
        <row r="1">
          <cell r="J1">
            <v>1.7453292519943295E-2</v>
          </cell>
        </row>
      </sheetData>
      <sheetData sheetId="3142" refreshError="1"/>
      <sheetData sheetId="3143" refreshError="1"/>
      <sheetData sheetId="3144" refreshError="1"/>
      <sheetData sheetId="3145" refreshError="1"/>
      <sheetData sheetId="3146">
        <row r="1">
          <cell r="J1">
            <v>1.7453292519943295E-2</v>
          </cell>
        </row>
      </sheetData>
      <sheetData sheetId="3147" refreshError="1"/>
      <sheetData sheetId="3148"/>
      <sheetData sheetId="3149">
        <row r="1">
          <cell r="J1">
            <v>1.7453292519943295E-2</v>
          </cell>
        </row>
      </sheetData>
      <sheetData sheetId="3150">
        <row r="1">
          <cell r="J1">
            <v>1.7453292519943295E-2</v>
          </cell>
        </row>
      </sheetData>
      <sheetData sheetId="3151" refreshError="1"/>
      <sheetData sheetId="3152">
        <row r="1">
          <cell r="J1">
            <v>1.7453292519943295E-2</v>
          </cell>
        </row>
      </sheetData>
      <sheetData sheetId="3153">
        <row r="1">
          <cell r="J1">
            <v>1.7453292519943295E-2</v>
          </cell>
        </row>
      </sheetData>
      <sheetData sheetId="3154" refreshError="1"/>
      <sheetData sheetId="3155" refreshError="1"/>
      <sheetData sheetId="3156" refreshError="1"/>
      <sheetData sheetId="3157">
        <row r="1">
          <cell r="J1">
            <v>1.7453292519943295E-2</v>
          </cell>
        </row>
      </sheetData>
      <sheetData sheetId="3158">
        <row r="1">
          <cell r="J1">
            <v>1.7453292519943295E-2</v>
          </cell>
        </row>
      </sheetData>
      <sheetData sheetId="3159" refreshError="1"/>
      <sheetData sheetId="3160" refreshError="1"/>
      <sheetData sheetId="3161" refreshError="1"/>
      <sheetData sheetId="3162">
        <row r="1">
          <cell r="J1">
            <v>1.7453292519943295E-2</v>
          </cell>
        </row>
      </sheetData>
      <sheetData sheetId="3163" refreshError="1"/>
      <sheetData sheetId="3164" refreshError="1"/>
      <sheetData sheetId="3165" refreshError="1"/>
      <sheetData sheetId="3166">
        <row r="1">
          <cell r="J1">
            <v>1.7453292519943295E-2</v>
          </cell>
        </row>
      </sheetData>
      <sheetData sheetId="3167">
        <row r="1">
          <cell r="J1">
            <v>1.7453292519943295E-2</v>
          </cell>
        </row>
      </sheetData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>
        <row r="1">
          <cell r="J1">
            <v>1.7453292519943295E-2</v>
          </cell>
        </row>
      </sheetData>
      <sheetData sheetId="3178" refreshError="1"/>
      <sheetData sheetId="3179">
        <row r="1">
          <cell r="J1">
            <v>1.7453292519943295E-2</v>
          </cell>
        </row>
      </sheetData>
      <sheetData sheetId="3180" refreshError="1"/>
      <sheetData sheetId="3181" refreshError="1"/>
      <sheetData sheetId="3182">
        <row r="1">
          <cell r="J1">
            <v>1.7453292519943295E-2</v>
          </cell>
        </row>
      </sheetData>
      <sheetData sheetId="3183">
        <row r="1">
          <cell r="J1">
            <v>1.7453292519943295E-2</v>
          </cell>
        </row>
      </sheetData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>
        <row r="1">
          <cell r="J1">
            <v>1.7453292519943295E-2</v>
          </cell>
        </row>
      </sheetData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>
        <row r="1">
          <cell r="J1">
            <v>1.7453292519943295E-2</v>
          </cell>
        </row>
      </sheetData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>
        <row r="1">
          <cell r="J1">
            <v>1.7453292519943295E-2</v>
          </cell>
        </row>
      </sheetData>
      <sheetData sheetId="3320">
        <row r="1">
          <cell r="J1">
            <v>1.7453292519943295E-2</v>
          </cell>
        </row>
      </sheetData>
      <sheetData sheetId="3321" refreshError="1"/>
      <sheetData sheetId="3322" refreshError="1"/>
      <sheetData sheetId="3323" refreshError="1"/>
      <sheetData sheetId="3324">
        <row r="1">
          <cell r="J1">
            <v>1.7453292519943295E-2</v>
          </cell>
        </row>
      </sheetData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>
        <row r="1">
          <cell r="J1">
            <v>1.7453292519943295E-2</v>
          </cell>
        </row>
      </sheetData>
      <sheetData sheetId="3334">
        <row r="1">
          <cell r="J1">
            <v>1.7453292519943295E-2</v>
          </cell>
        </row>
      </sheetData>
      <sheetData sheetId="3335">
        <row r="1">
          <cell r="J1">
            <v>1.7453292519943295E-2</v>
          </cell>
        </row>
      </sheetData>
      <sheetData sheetId="3336">
        <row r="1">
          <cell r="J1">
            <v>1.7453292519943295E-2</v>
          </cell>
        </row>
      </sheetData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1">
          <cell r="J1">
            <v>1.7453292519943295E-2</v>
          </cell>
        </row>
      </sheetData>
      <sheetData sheetId="3344">
        <row r="1">
          <cell r="J1">
            <v>1.7453292519943295E-2</v>
          </cell>
        </row>
      </sheetData>
      <sheetData sheetId="3345" refreshError="1"/>
      <sheetData sheetId="3346" refreshError="1"/>
      <sheetData sheetId="3347" refreshError="1"/>
      <sheetData sheetId="3348" refreshError="1"/>
      <sheetData sheetId="3349">
        <row r="1">
          <cell r="J1">
            <v>1.7453292519943295E-2</v>
          </cell>
        </row>
      </sheetData>
      <sheetData sheetId="3350" refreshError="1"/>
      <sheetData sheetId="3351">
        <row r="1">
          <cell r="J1">
            <v>1.7453292519943295E-2</v>
          </cell>
        </row>
      </sheetData>
      <sheetData sheetId="3352" refreshError="1"/>
      <sheetData sheetId="3353">
        <row r="1">
          <cell r="J1">
            <v>1.7453292519943295E-2</v>
          </cell>
        </row>
      </sheetData>
      <sheetData sheetId="3354">
        <row r="1">
          <cell r="J1">
            <v>1.7453292519943295E-2</v>
          </cell>
        </row>
      </sheetData>
      <sheetData sheetId="3355" refreshError="1"/>
      <sheetData sheetId="3356" refreshError="1"/>
      <sheetData sheetId="3357" refreshError="1"/>
      <sheetData sheetId="3358">
        <row r="1">
          <cell r="J1">
            <v>1.7453292519943295E-2</v>
          </cell>
        </row>
      </sheetData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>
        <row r="1">
          <cell r="J1">
            <v>1.7453292519943295E-2</v>
          </cell>
        </row>
      </sheetData>
      <sheetData sheetId="3366">
        <row r="1">
          <cell r="J1">
            <v>1.7453292519943295E-2</v>
          </cell>
        </row>
      </sheetData>
      <sheetData sheetId="3367">
        <row r="1">
          <cell r="J1">
            <v>1.7453292519943295E-2</v>
          </cell>
        </row>
      </sheetData>
      <sheetData sheetId="3368">
        <row r="1">
          <cell r="J1">
            <v>1.7453292519943295E-2</v>
          </cell>
        </row>
      </sheetData>
      <sheetData sheetId="3369">
        <row r="1">
          <cell r="J1">
            <v>1.7453292519943295E-2</v>
          </cell>
        </row>
      </sheetData>
      <sheetData sheetId="3370" refreshError="1"/>
      <sheetData sheetId="3371" refreshError="1"/>
      <sheetData sheetId="3372">
        <row r="1">
          <cell r="J1">
            <v>1.7453292519943295E-2</v>
          </cell>
        </row>
      </sheetData>
      <sheetData sheetId="3373">
        <row r="1">
          <cell r="J1">
            <v>1.7453292519943295E-2</v>
          </cell>
        </row>
      </sheetData>
      <sheetData sheetId="3374">
        <row r="1">
          <cell r="J1">
            <v>1.7453292519943295E-2</v>
          </cell>
        </row>
      </sheetData>
      <sheetData sheetId="3375">
        <row r="1">
          <cell r="J1">
            <v>1.7453292519943295E-2</v>
          </cell>
        </row>
      </sheetData>
      <sheetData sheetId="3376">
        <row r="1">
          <cell r="J1">
            <v>1.7453292519943295E-2</v>
          </cell>
        </row>
      </sheetData>
      <sheetData sheetId="3377" refreshError="1"/>
      <sheetData sheetId="3378" refreshError="1"/>
      <sheetData sheetId="3379" refreshError="1"/>
      <sheetData sheetId="3380">
        <row r="1">
          <cell r="J1">
            <v>1.7453292519943295E-2</v>
          </cell>
        </row>
      </sheetData>
      <sheetData sheetId="3381">
        <row r="1">
          <cell r="J1">
            <v>1.7453292519943295E-2</v>
          </cell>
        </row>
      </sheetData>
      <sheetData sheetId="3382">
        <row r="1">
          <cell r="J1">
            <v>1.7453292519943295E-2</v>
          </cell>
        </row>
      </sheetData>
      <sheetData sheetId="3383">
        <row r="1">
          <cell r="J1">
            <v>1.7453292519943295E-2</v>
          </cell>
        </row>
      </sheetData>
      <sheetData sheetId="3384">
        <row r="1">
          <cell r="J1">
            <v>1.7453292519943295E-2</v>
          </cell>
        </row>
      </sheetData>
      <sheetData sheetId="3385">
        <row r="1">
          <cell r="J1">
            <v>1.7453292519943295E-2</v>
          </cell>
        </row>
      </sheetData>
      <sheetData sheetId="3386" refreshError="1"/>
      <sheetData sheetId="3387" refreshError="1"/>
      <sheetData sheetId="3388">
        <row r="1">
          <cell r="J1">
            <v>1.7453292519943295E-2</v>
          </cell>
        </row>
      </sheetData>
      <sheetData sheetId="3389">
        <row r="1">
          <cell r="J1">
            <v>1.7453292519943295E-2</v>
          </cell>
        </row>
      </sheetData>
      <sheetData sheetId="3390">
        <row r="1">
          <cell r="J1">
            <v>1.7453292519943295E-2</v>
          </cell>
        </row>
      </sheetData>
      <sheetData sheetId="3391">
        <row r="1">
          <cell r="J1">
            <v>1.7453292519943295E-2</v>
          </cell>
        </row>
      </sheetData>
      <sheetData sheetId="3392">
        <row r="1">
          <cell r="J1">
            <v>1.7453292519943295E-2</v>
          </cell>
        </row>
      </sheetData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>
        <row r="1">
          <cell r="J1">
            <v>1.7453292519943295E-2</v>
          </cell>
        </row>
      </sheetData>
      <sheetData sheetId="3426" refreshError="1"/>
      <sheetData sheetId="3427" refreshError="1"/>
      <sheetData sheetId="3428" refreshError="1"/>
      <sheetData sheetId="3429">
        <row r="1">
          <cell r="J1">
            <v>1.7453292519943295E-2</v>
          </cell>
        </row>
      </sheetData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>
        <row r="1">
          <cell r="J1">
            <v>1.7453292519943295E-2</v>
          </cell>
        </row>
      </sheetData>
      <sheetData sheetId="3446">
        <row r="1">
          <cell r="J1">
            <v>1.7453292519943295E-2</v>
          </cell>
        </row>
      </sheetData>
      <sheetData sheetId="3447">
        <row r="1">
          <cell r="J1">
            <v>1.7453292519943295E-2</v>
          </cell>
        </row>
      </sheetData>
      <sheetData sheetId="3448">
        <row r="1">
          <cell r="J1">
            <v>1.7453292519943295E-2</v>
          </cell>
        </row>
      </sheetData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>
        <row r="1">
          <cell r="J1">
            <v>1.7453292519943295E-2</v>
          </cell>
        </row>
      </sheetData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>
        <row r="1">
          <cell r="J1">
            <v>1.7453292519943295E-2</v>
          </cell>
        </row>
      </sheetData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>
        <row r="1">
          <cell r="J1">
            <v>1.7453292519943295E-2</v>
          </cell>
        </row>
      </sheetData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J1">
            <v>1.7453292519943295E-2</v>
          </cell>
        </row>
      </sheetData>
      <sheetData sheetId="3624" refreshError="1"/>
      <sheetData sheetId="3625">
        <row r="1">
          <cell r="J1">
            <v>1.7453292519943295E-2</v>
          </cell>
        </row>
      </sheetData>
      <sheetData sheetId="3626" refreshError="1"/>
      <sheetData sheetId="3627" refreshError="1"/>
      <sheetData sheetId="3628" refreshError="1"/>
      <sheetData sheetId="3629">
        <row r="1">
          <cell r="J1">
            <v>1.7453292519943295E-2</v>
          </cell>
        </row>
      </sheetData>
      <sheetData sheetId="3630">
        <row r="1">
          <cell r="J1">
            <v>1.7453292519943295E-2</v>
          </cell>
        </row>
      </sheetData>
      <sheetData sheetId="3631">
        <row r="1">
          <cell r="J1">
            <v>1.7453292519943295E-2</v>
          </cell>
        </row>
      </sheetData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>
        <row r="1">
          <cell r="J1">
            <v>1.7453292519943295E-2</v>
          </cell>
        </row>
      </sheetData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>
        <row r="1">
          <cell r="J1">
            <v>1.7453292519943295E-2</v>
          </cell>
        </row>
      </sheetData>
      <sheetData sheetId="3645">
        <row r="1">
          <cell r="J1">
            <v>1.7453292519943295E-2</v>
          </cell>
        </row>
      </sheetData>
      <sheetData sheetId="3646" refreshError="1"/>
      <sheetData sheetId="3647" refreshError="1"/>
      <sheetData sheetId="3648" refreshError="1"/>
      <sheetData sheetId="3649">
        <row r="1">
          <cell r="J1">
            <v>1.7453292519943295E-2</v>
          </cell>
        </row>
      </sheetData>
      <sheetData sheetId="3650">
        <row r="1">
          <cell r="J1">
            <v>1.7453292519943295E-2</v>
          </cell>
        </row>
      </sheetData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>
        <row r="1">
          <cell r="J1">
            <v>1.7453292519943295E-2</v>
          </cell>
        </row>
      </sheetData>
      <sheetData sheetId="3657" refreshError="1"/>
      <sheetData sheetId="3658" refreshError="1"/>
      <sheetData sheetId="3659">
        <row r="1">
          <cell r="J1">
            <v>1.7453292519943295E-2</v>
          </cell>
        </row>
      </sheetData>
      <sheetData sheetId="3660">
        <row r="1">
          <cell r="J1">
            <v>1.7453292519943295E-2</v>
          </cell>
        </row>
      </sheetData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>
        <row r="1">
          <cell r="J1">
            <v>1.7453292519943295E-2</v>
          </cell>
        </row>
      </sheetData>
      <sheetData sheetId="3667" refreshError="1"/>
      <sheetData sheetId="3668">
        <row r="1">
          <cell r="J1">
            <v>1.7453292519943295E-2</v>
          </cell>
        </row>
      </sheetData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>
        <row r="1">
          <cell r="J1">
            <v>1.7453292519943295E-2</v>
          </cell>
        </row>
      </sheetData>
      <sheetData sheetId="3678">
        <row r="1">
          <cell r="J1">
            <v>1.7453292519943295E-2</v>
          </cell>
        </row>
      </sheetData>
      <sheetData sheetId="3679">
        <row r="1">
          <cell r="J1">
            <v>1.7453292519943295E-2</v>
          </cell>
        </row>
      </sheetData>
      <sheetData sheetId="3680" refreshError="1"/>
      <sheetData sheetId="3681" refreshError="1"/>
      <sheetData sheetId="3682" refreshError="1"/>
      <sheetData sheetId="3683" refreshError="1"/>
      <sheetData sheetId="3684">
        <row r="1">
          <cell r="J1">
            <v>1.7453292519943295E-2</v>
          </cell>
        </row>
      </sheetData>
      <sheetData sheetId="3685">
        <row r="1">
          <cell r="J1">
            <v>1.7453292519943295E-2</v>
          </cell>
        </row>
      </sheetData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>
        <row r="1">
          <cell r="J1">
            <v>1.7453292519943295E-2</v>
          </cell>
        </row>
      </sheetData>
      <sheetData sheetId="3696" refreshError="1"/>
      <sheetData sheetId="3697" refreshError="1"/>
      <sheetData sheetId="3698" refreshError="1"/>
      <sheetData sheetId="3699" refreshError="1"/>
      <sheetData sheetId="3700">
        <row r="1">
          <cell r="J1">
            <v>1.7453292519943295E-2</v>
          </cell>
        </row>
      </sheetData>
      <sheetData sheetId="3701">
        <row r="1">
          <cell r="J1">
            <v>1.7453292519943295E-2</v>
          </cell>
        </row>
      </sheetData>
      <sheetData sheetId="3702" refreshError="1"/>
      <sheetData sheetId="3703" refreshError="1"/>
      <sheetData sheetId="3704" refreshError="1"/>
      <sheetData sheetId="3705" refreshError="1"/>
      <sheetData sheetId="3706">
        <row r="1">
          <cell r="J1">
            <v>1.7453292519943295E-2</v>
          </cell>
        </row>
      </sheetData>
      <sheetData sheetId="3707" refreshError="1"/>
      <sheetData sheetId="3708" refreshError="1"/>
      <sheetData sheetId="3709">
        <row r="1">
          <cell r="J1">
            <v>1.7453292519943295E-2</v>
          </cell>
        </row>
      </sheetData>
      <sheetData sheetId="3710">
        <row r="1">
          <cell r="J1">
            <v>1.7453292519943295E-2</v>
          </cell>
        </row>
      </sheetData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>
        <row r="1">
          <cell r="J1">
            <v>1.7453292519943295E-2</v>
          </cell>
        </row>
      </sheetData>
      <sheetData sheetId="3725">
        <row r="1">
          <cell r="J1">
            <v>1.7453292519943295E-2</v>
          </cell>
        </row>
      </sheetData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>
        <row r="1">
          <cell r="J1">
            <v>1.7453292519943295E-2</v>
          </cell>
        </row>
      </sheetData>
      <sheetData sheetId="3732">
        <row r="1">
          <cell r="J1">
            <v>1.7453292519943295E-2</v>
          </cell>
        </row>
      </sheetData>
      <sheetData sheetId="3733">
        <row r="1">
          <cell r="J1">
            <v>1.7453292519943295E-2</v>
          </cell>
        </row>
      </sheetData>
      <sheetData sheetId="3734" refreshError="1"/>
      <sheetData sheetId="3735" refreshError="1"/>
      <sheetData sheetId="3736" refreshError="1"/>
      <sheetData sheetId="3737" refreshError="1"/>
      <sheetData sheetId="3738">
        <row r="1">
          <cell r="J1">
            <v>1.7453292519943295E-2</v>
          </cell>
        </row>
      </sheetData>
      <sheetData sheetId="3739">
        <row r="1">
          <cell r="J1">
            <v>1.7453292519943295E-2</v>
          </cell>
        </row>
      </sheetData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>
        <row r="1">
          <cell r="J1">
            <v>1.7453292519943295E-2</v>
          </cell>
        </row>
      </sheetData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>
        <row r="1">
          <cell r="J1">
            <v>1.7453292519943295E-2</v>
          </cell>
        </row>
      </sheetData>
      <sheetData sheetId="3767">
        <row r="1">
          <cell r="J1">
            <v>1.7453292519943295E-2</v>
          </cell>
        </row>
      </sheetData>
      <sheetData sheetId="3768">
        <row r="1">
          <cell r="J1">
            <v>1.7453292519943295E-2</v>
          </cell>
        </row>
      </sheetData>
      <sheetData sheetId="3769">
        <row r="1">
          <cell r="J1">
            <v>1.7453292519943295E-2</v>
          </cell>
        </row>
      </sheetData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>
        <row r="1">
          <cell r="J1">
            <v>1.7453292519943295E-2</v>
          </cell>
        </row>
      </sheetData>
      <sheetData sheetId="3777" refreshError="1"/>
      <sheetData sheetId="3778">
        <row r="1">
          <cell r="J1">
            <v>1.7453292519943295E-2</v>
          </cell>
        </row>
      </sheetData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>
        <row r="1">
          <cell r="J1">
            <v>1.7453292519943295E-2</v>
          </cell>
        </row>
      </sheetData>
      <sheetData sheetId="3786">
        <row r="1">
          <cell r="J1">
            <v>1.7453292519943295E-2</v>
          </cell>
        </row>
      </sheetData>
      <sheetData sheetId="3787">
        <row r="1">
          <cell r="J1">
            <v>1.7453292519943295E-2</v>
          </cell>
        </row>
      </sheetData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>
        <row r="1">
          <cell r="J1">
            <v>1.7453292519943295E-2</v>
          </cell>
        </row>
      </sheetData>
      <sheetData sheetId="3817">
        <row r="1">
          <cell r="J1">
            <v>1.7453292519943295E-2</v>
          </cell>
        </row>
      </sheetData>
      <sheetData sheetId="3818" refreshError="1"/>
      <sheetData sheetId="3819" refreshError="1"/>
      <sheetData sheetId="3820" refreshError="1"/>
      <sheetData sheetId="3821">
        <row r="1">
          <cell r="J1">
            <v>1.7453292519943295E-2</v>
          </cell>
        </row>
      </sheetData>
      <sheetData sheetId="3822">
        <row r="1">
          <cell r="J1">
            <v>1.7453292519943295E-2</v>
          </cell>
        </row>
      </sheetData>
      <sheetData sheetId="3823" refreshError="1"/>
      <sheetData sheetId="3824" refreshError="1"/>
      <sheetData sheetId="3825" refreshError="1"/>
      <sheetData sheetId="3826" refreshError="1"/>
      <sheetData sheetId="3827">
        <row r="1">
          <cell r="J1">
            <v>1.7453292519943295E-2</v>
          </cell>
        </row>
      </sheetData>
      <sheetData sheetId="3828" refreshError="1"/>
      <sheetData sheetId="3829" refreshError="1"/>
      <sheetData sheetId="3830" refreshError="1"/>
      <sheetData sheetId="3831" refreshError="1"/>
      <sheetData sheetId="3832">
        <row r="1">
          <cell r="J1">
            <v>1.7453292519943295E-2</v>
          </cell>
        </row>
      </sheetData>
      <sheetData sheetId="3833">
        <row r="1">
          <cell r="J1">
            <v>1.7453292519943295E-2</v>
          </cell>
        </row>
      </sheetData>
      <sheetData sheetId="3834" refreshError="1"/>
      <sheetData sheetId="3835" refreshError="1"/>
      <sheetData sheetId="3836">
        <row r="1">
          <cell r="J1">
            <v>1.7453292519943295E-2</v>
          </cell>
        </row>
      </sheetData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>
        <row r="1">
          <cell r="J1">
            <v>1.7453292519943295E-2</v>
          </cell>
        </row>
      </sheetData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>
        <row r="1">
          <cell r="J1">
            <v>1.7453292519943295E-2</v>
          </cell>
        </row>
      </sheetData>
      <sheetData sheetId="3861" refreshError="1"/>
      <sheetData sheetId="3862" refreshError="1"/>
      <sheetData sheetId="3863" refreshError="1"/>
      <sheetData sheetId="3864" refreshError="1"/>
      <sheetData sheetId="3865">
        <row r="1">
          <cell r="J1">
            <v>1.7453292519943295E-2</v>
          </cell>
        </row>
      </sheetData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>
        <row r="1">
          <cell r="J1">
            <v>1.7453292519943295E-2</v>
          </cell>
        </row>
      </sheetData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>
        <row r="1">
          <cell r="J1">
            <v>1.7453292519943295E-2</v>
          </cell>
        </row>
      </sheetData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>
        <row r="1">
          <cell r="J1">
            <v>1.7453292519943295E-2</v>
          </cell>
        </row>
      </sheetData>
      <sheetData sheetId="4007" refreshError="1"/>
      <sheetData sheetId="4008">
        <row r="1">
          <cell r="J1">
            <v>1.7453292519943295E-2</v>
          </cell>
        </row>
      </sheetData>
      <sheetData sheetId="4009">
        <row r="1">
          <cell r="J1">
            <v>1.7453292519943295E-2</v>
          </cell>
        </row>
      </sheetData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1">
          <cell r="J1">
            <v>1.7453292519943295E-2</v>
          </cell>
        </row>
      </sheetData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>
        <row r="1">
          <cell r="J1">
            <v>1.7453292519943295E-2</v>
          </cell>
        </row>
      </sheetData>
      <sheetData sheetId="4111">
        <row r="1">
          <cell r="J1">
            <v>1.7453292519943295E-2</v>
          </cell>
        </row>
      </sheetData>
      <sheetData sheetId="4112">
        <row r="1">
          <cell r="J1">
            <v>1.7453292519943295E-2</v>
          </cell>
        </row>
      </sheetData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>
        <row r="1">
          <cell r="J1">
            <v>1.7453292519943295E-2</v>
          </cell>
        </row>
      </sheetData>
      <sheetData sheetId="4120" refreshError="1"/>
      <sheetData sheetId="4121" refreshError="1"/>
      <sheetData sheetId="4122" refreshError="1"/>
      <sheetData sheetId="4123">
        <row r="1">
          <cell r="J1">
            <v>1.7453292519943295E-2</v>
          </cell>
        </row>
      </sheetData>
      <sheetData sheetId="4124">
        <row r="1">
          <cell r="J1">
            <v>1.7453292519943295E-2</v>
          </cell>
        </row>
      </sheetData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>
        <row r="1">
          <cell r="J1">
            <v>1.7453292519943295E-2</v>
          </cell>
        </row>
      </sheetData>
      <sheetData sheetId="4131" refreshError="1"/>
      <sheetData sheetId="4132" refreshError="1"/>
      <sheetData sheetId="4133" refreshError="1"/>
      <sheetData sheetId="4134">
        <row r="1">
          <cell r="J1">
            <v>1.7453292519943295E-2</v>
          </cell>
        </row>
      </sheetData>
      <sheetData sheetId="4135" refreshError="1"/>
      <sheetData sheetId="4136" refreshError="1"/>
      <sheetData sheetId="4137">
        <row r="1">
          <cell r="J1">
            <v>1.7453292519943295E-2</v>
          </cell>
        </row>
      </sheetData>
      <sheetData sheetId="4138">
        <row r="1">
          <cell r="J1">
            <v>1.7453292519943295E-2</v>
          </cell>
        </row>
      </sheetData>
      <sheetData sheetId="4139">
        <row r="1">
          <cell r="J1">
            <v>1.7453292519943295E-2</v>
          </cell>
        </row>
      </sheetData>
      <sheetData sheetId="4140" refreshError="1"/>
      <sheetData sheetId="4141">
        <row r="1">
          <cell r="J1">
            <v>1.7453292519943295E-2</v>
          </cell>
        </row>
      </sheetData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>
        <row r="1">
          <cell r="J1">
            <v>1.7453292519943295E-2</v>
          </cell>
        </row>
      </sheetData>
      <sheetData sheetId="4148" refreshError="1"/>
      <sheetData sheetId="4149">
        <row r="1">
          <cell r="J1">
            <v>1.7453292519943295E-2</v>
          </cell>
        </row>
      </sheetData>
      <sheetData sheetId="4150">
        <row r="1">
          <cell r="J1">
            <v>1.7453292519943295E-2</v>
          </cell>
        </row>
      </sheetData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>
        <row r="1">
          <cell r="J1">
            <v>1.7453292519943295E-2</v>
          </cell>
        </row>
      </sheetData>
      <sheetData sheetId="4157">
        <row r="1">
          <cell r="J1">
            <v>1.7453292519943295E-2</v>
          </cell>
        </row>
      </sheetData>
      <sheetData sheetId="4158" refreshError="1"/>
      <sheetData sheetId="4159" refreshError="1"/>
      <sheetData sheetId="4160" refreshError="1"/>
      <sheetData sheetId="4161">
        <row r="1">
          <cell r="J1">
            <v>1.7453292519943295E-2</v>
          </cell>
        </row>
      </sheetData>
      <sheetData sheetId="4162">
        <row r="1">
          <cell r="J1">
            <v>1.7453292519943295E-2</v>
          </cell>
        </row>
      </sheetData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>
        <row r="1">
          <cell r="J1">
            <v>1.7453292519943295E-2</v>
          </cell>
        </row>
      </sheetData>
      <sheetData sheetId="4171" refreshError="1"/>
      <sheetData sheetId="4172" refreshError="1"/>
      <sheetData sheetId="4173">
        <row r="1">
          <cell r="J1">
            <v>1.7453292519943295E-2</v>
          </cell>
        </row>
      </sheetData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>
        <row r="1">
          <cell r="J1">
            <v>1.7453292519943295E-2</v>
          </cell>
        </row>
      </sheetData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>
        <row r="1">
          <cell r="J1">
            <v>1.7453292519943295E-2</v>
          </cell>
        </row>
      </sheetData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>
        <row r="1">
          <cell r="J1">
            <v>1.7453292519943295E-2</v>
          </cell>
        </row>
      </sheetData>
      <sheetData sheetId="4221" refreshError="1"/>
      <sheetData sheetId="4222" refreshError="1"/>
      <sheetData sheetId="4223" refreshError="1"/>
      <sheetData sheetId="4224">
        <row r="1">
          <cell r="J1">
            <v>1.7453292519943295E-2</v>
          </cell>
        </row>
      </sheetData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>
        <row r="1">
          <cell r="J1">
            <v>1.7453292519943295E-2</v>
          </cell>
        </row>
      </sheetData>
      <sheetData sheetId="4267" refreshError="1"/>
      <sheetData sheetId="4268">
        <row r="1">
          <cell r="J1">
            <v>1.7453292519943295E-2</v>
          </cell>
        </row>
      </sheetData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>
        <row r="1">
          <cell r="J1">
            <v>1.7453292519943295E-2</v>
          </cell>
        </row>
      </sheetData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>
        <row r="1">
          <cell r="J1">
            <v>1.7453292519943295E-2</v>
          </cell>
        </row>
      </sheetData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>
        <row r="1">
          <cell r="J1">
            <v>1.7453292519943295E-2</v>
          </cell>
        </row>
      </sheetData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>
        <row r="1">
          <cell r="J1">
            <v>1.7453292519943295E-2</v>
          </cell>
        </row>
      </sheetData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>
        <row r="1">
          <cell r="J1">
            <v>1.7453292519943295E-2</v>
          </cell>
        </row>
      </sheetData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>
        <row r="1">
          <cell r="J1">
            <v>1.7453292519943295E-2</v>
          </cell>
        </row>
      </sheetData>
      <sheetData sheetId="4406" refreshError="1"/>
      <sheetData sheetId="4407">
        <row r="1">
          <cell r="J1">
            <v>1.7453292519943295E-2</v>
          </cell>
        </row>
      </sheetData>
      <sheetData sheetId="4408">
        <row r="1">
          <cell r="J1">
            <v>1.7453292519943295E-2</v>
          </cell>
        </row>
      </sheetData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>
        <row r="1">
          <cell r="J1">
            <v>1.7453292519943295E-2</v>
          </cell>
        </row>
      </sheetData>
      <sheetData sheetId="4508">
        <row r="1">
          <cell r="J1">
            <v>1.7453292519943295E-2</v>
          </cell>
        </row>
      </sheetData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>
        <row r="1">
          <cell r="J1">
            <v>1.7453292519943295E-2</v>
          </cell>
        </row>
      </sheetData>
      <sheetData sheetId="4542">
        <row r="1">
          <cell r="J1">
            <v>1.7453292519943295E-2</v>
          </cell>
        </row>
      </sheetData>
      <sheetData sheetId="4543">
        <row r="1">
          <cell r="J1">
            <v>1.7453292519943295E-2</v>
          </cell>
        </row>
      </sheetData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>
        <row r="1">
          <cell r="J1">
            <v>1.7453292519943295E-2</v>
          </cell>
        </row>
      </sheetData>
      <sheetData sheetId="4558" refreshError="1"/>
      <sheetData sheetId="4559" refreshError="1"/>
      <sheetData sheetId="4560">
        <row r="1">
          <cell r="J1">
            <v>1.7453292519943295E-2</v>
          </cell>
        </row>
      </sheetData>
      <sheetData sheetId="4561">
        <row r="1">
          <cell r="J1">
            <v>1.7453292519943295E-2</v>
          </cell>
        </row>
      </sheetData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>
        <row r="1">
          <cell r="J1">
            <v>1.7453292519943295E-2</v>
          </cell>
        </row>
      </sheetData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>
        <row r="2">
          <cell r="B2">
            <v>1</v>
          </cell>
        </row>
      </sheetData>
      <sheetData sheetId="5123">
        <row r="1">
          <cell r="J1">
            <v>1.7453292519943295E-2</v>
          </cell>
        </row>
      </sheetData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>
        <row r="1">
          <cell r="J1">
            <v>1.7453292519943295E-2</v>
          </cell>
        </row>
      </sheetData>
      <sheetData sheetId="5134" refreshError="1"/>
      <sheetData sheetId="5135" refreshError="1"/>
      <sheetData sheetId="5136" refreshError="1"/>
      <sheetData sheetId="5137">
        <row r="2">
          <cell r="B2">
            <v>1</v>
          </cell>
        </row>
      </sheetData>
      <sheetData sheetId="5138">
        <row r="1">
          <cell r="J1">
            <v>1.7453292519943295E-2</v>
          </cell>
        </row>
      </sheetData>
      <sheetData sheetId="5139" refreshError="1"/>
      <sheetData sheetId="5140" refreshError="1"/>
      <sheetData sheetId="5141">
        <row r="1">
          <cell r="J1">
            <v>1.7453292519943295E-2</v>
          </cell>
        </row>
      </sheetData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>
        <row r="1">
          <cell r="J1">
            <v>1.7453292519943295E-2</v>
          </cell>
        </row>
      </sheetData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>
        <row r="1">
          <cell r="J1">
            <v>1.7453292519943295E-2</v>
          </cell>
        </row>
      </sheetData>
      <sheetData sheetId="5318">
        <row r="1">
          <cell r="J1">
            <v>1.7453292519943295E-2</v>
          </cell>
        </row>
      </sheetData>
      <sheetData sheetId="5319" refreshError="1"/>
      <sheetData sheetId="5320">
        <row r="1">
          <cell r="J1">
            <v>1.7453292519943295E-2</v>
          </cell>
        </row>
      </sheetData>
      <sheetData sheetId="5321" refreshError="1"/>
      <sheetData sheetId="5322" refreshError="1"/>
      <sheetData sheetId="5323">
        <row r="1">
          <cell r="J1">
            <v>1.7453292519943295E-2</v>
          </cell>
        </row>
      </sheetData>
      <sheetData sheetId="5324">
        <row r="1">
          <cell r="J1">
            <v>1.7453292519943295E-2</v>
          </cell>
        </row>
      </sheetData>
      <sheetData sheetId="5325"/>
      <sheetData sheetId="5326">
        <row r="1">
          <cell r="J1">
            <v>1.7453292519943295E-2</v>
          </cell>
        </row>
      </sheetData>
      <sheetData sheetId="5327">
        <row r="1">
          <cell r="J1">
            <v>1.7453292519943295E-2</v>
          </cell>
        </row>
      </sheetData>
      <sheetData sheetId="5328">
        <row r="1">
          <cell r="J1">
            <v>1.7453292519943295E-2</v>
          </cell>
        </row>
      </sheetData>
      <sheetData sheetId="5329">
        <row r="1">
          <cell r="J1">
            <v>1.7453292519943295E-2</v>
          </cell>
        </row>
      </sheetData>
      <sheetData sheetId="5330">
        <row r="1">
          <cell r="J1">
            <v>1.7453292519943295E-2</v>
          </cell>
        </row>
      </sheetData>
      <sheetData sheetId="5331">
        <row r="1">
          <cell r="J1">
            <v>1.7453292519943295E-2</v>
          </cell>
        </row>
      </sheetData>
      <sheetData sheetId="5332">
        <row r="1">
          <cell r="J1">
            <v>1.7453292519943295E-2</v>
          </cell>
        </row>
      </sheetData>
      <sheetData sheetId="5333">
        <row r="1">
          <cell r="J1">
            <v>1.7453292519943295E-2</v>
          </cell>
        </row>
      </sheetData>
      <sheetData sheetId="5334">
        <row r="1">
          <cell r="J1">
            <v>1.7453292519943295E-2</v>
          </cell>
        </row>
      </sheetData>
      <sheetData sheetId="5335">
        <row r="1">
          <cell r="J1">
            <v>1.7453292519943295E-2</v>
          </cell>
        </row>
      </sheetData>
      <sheetData sheetId="5336">
        <row r="1">
          <cell r="J1">
            <v>1.7453292519943295E-2</v>
          </cell>
        </row>
      </sheetData>
      <sheetData sheetId="5337">
        <row r="1">
          <cell r="J1">
            <v>1.7453292519943295E-2</v>
          </cell>
        </row>
      </sheetData>
      <sheetData sheetId="5338">
        <row r="1">
          <cell r="J1">
            <v>1.7453292519943295E-2</v>
          </cell>
        </row>
      </sheetData>
      <sheetData sheetId="5339" refreshError="1"/>
      <sheetData sheetId="5340" refreshError="1"/>
      <sheetData sheetId="5341" refreshError="1"/>
      <sheetData sheetId="5342">
        <row r="1">
          <cell r="J1">
            <v>1.7453292519943295E-2</v>
          </cell>
        </row>
      </sheetData>
      <sheetData sheetId="5343">
        <row r="1">
          <cell r="J1">
            <v>1.7453292519943295E-2</v>
          </cell>
        </row>
      </sheetData>
      <sheetData sheetId="5344">
        <row r="1">
          <cell r="J1">
            <v>1.7453292519943295E-2</v>
          </cell>
        </row>
      </sheetData>
      <sheetData sheetId="5345">
        <row r="1">
          <cell r="J1">
            <v>1.7453292519943295E-2</v>
          </cell>
        </row>
      </sheetData>
      <sheetData sheetId="5346" refreshError="1"/>
      <sheetData sheetId="5347" refreshError="1"/>
      <sheetData sheetId="5348" refreshError="1"/>
      <sheetData sheetId="5349" refreshError="1"/>
      <sheetData sheetId="5350">
        <row r="1">
          <cell r="J1">
            <v>1.7453292519943295E-2</v>
          </cell>
        </row>
      </sheetData>
      <sheetData sheetId="5351" refreshError="1"/>
      <sheetData sheetId="5352" refreshError="1"/>
      <sheetData sheetId="5353">
        <row r="1">
          <cell r="J1">
            <v>1.7453292519943295E-2</v>
          </cell>
        </row>
      </sheetData>
      <sheetData sheetId="5354">
        <row r="1">
          <cell r="J1">
            <v>1.7453292519943295E-2</v>
          </cell>
        </row>
      </sheetData>
      <sheetData sheetId="5355">
        <row r="1">
          <cell r="J1">
            <v>1.7453292519943295E-2</v>
          </cell>
        </row>
      </sheetData>
      <sheetData sheetId="5356">
        <row r="1">
          <cell r="J1">
            <v>1.7453292519943295E-2</v>
          </cell>
        </row>
      </sheetData>
      <sheetData sheetId="5357">
        <row r="1">
          <cell r="J1">
            <v>1.7453292519943295E-2</v>
          </cell>
        </row>
      </sheetData>
      <sheetData sheetId="5358">
        <row r="1">
          <cell r="J1">
            <v>1.7453292519943295E-2</v>
          </cell>
        </row>
      </sheetData>
      <sheetData sheetId="5359">
        <row r="1">
          <cell r="J1">
            <v>1.7453292519943295E-2</v>
          </cell>
        </row>
      </sheetData>
      <sheetData sheetId="5360">
        <row r="1">
          <cell r="J1">
            <v>1.7453292519943295E-2</v>
          </cell>
        </row>
      </sheetData>
      <sheetData sheetId="5361">
        <row r="1">
          <cell r="J1">
            <v>1.7453292519943295E-2</v>
          </cell>
        </row>
      </sheetData>
      <sheetData sheetId="5362">
        <row r="1">
          <cell r="J1">
            <v>1.7453292519943295E-2</v>
          </cell>
        </row>
      </sheetData>
      <sheetData sheetId="5363">
        <row r="1">
          <cell r="J1">
            <v>1.7453292519943295E-2</v>
          </cell>
        </row>
      </sheetData>
      <sheetData sheetId="5364">
        <row r="1">
          <cell r="J1">
            <v>1.7453292519943295E-2</v>
          </cell>
        </row>
      </sheetData>
      <sheetData sheetId="5365">
        <row r="1">
          <cell r="J1">
            <v>1.7453292519943295E-2</v>
          </cell>
        </row>
      </sheetData>
      <sheetData sheetId="5366">
        <row r="1">
          <cell r="J1">
            <v>1.7453292519943295E-2</v>
          </cell>
        </row>
      </sheetData>
      <sheetData sheetId="5367">
        <row r="1">
          <cell r="J1">
            <v>1.7453292519943295E-2</v>
          </cell>
        </row>
      </sheetData>
      <sheetData sheetId="5368">
        <row r="1">
          <cell r="J1">
            <v>1.7453292519943295E-2</v>
          </cell>
        </row>
      </sheetData>
      <sheetData sheetId="5369" refreshError="1"/>
      <sheetData sheetId="5370" refreshError="1"/>
      <sheetData sheetId="5371" refreshError="1"/>
      <sheetData sheetId="5372">
        <row r="1">
          <cell r="J1">
            <v>1.7453292519943295E-2</v>
          </cell>
        </row>
      </sheetData>
      <sheetData sheetId="5373">
        <row r="1">
          <cell r="J1">
            <v>1.7453292519943295E-2</v>
          </cell>
        </row>
      </sheetData>
      <sheetData sheetId="5374">
        <row r="1">
          <cell r="J1">
            <v>1.7453292519943295E-2</v>
          </cell>
        </row>
      </sheetData>
      <sheetData sheetId="5375">
        <row r="1">
          <cell r="J1">
            <v>1.7453292519943295E-2</v>
          </cell>
        </row>
      </sheetData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>
        <row r="1">
          <cell r="J1">
            <v>1.7453292519943295E-2</v>
          </cell>
        </row>
      </sheetData>
      <sheetData sheetId="5382">
        <row r="1">
          <cell r="J1">
            <v>1.7453292519943295E-2</v>
          </cell>
        </row>
      </sheetData>
      <sheetData sheetId="5383">
        <row r="1">
          <cell r="J1">
            <v>1.7453292519943295E-2</v>
          </cell>
        </row>
      </sheetData>
      <sheetData sheetId="5384">
        <row r="1">
          <cell r="J1">
            <v>1.7453292519943295E-2</v>
          </cell>
        </row>
      </sheetData>
      <sheetData sheetId="5385">
        <row r="1">
          <cell r="J1">
            <v>1.7453292519943295E-2</v>
          </cell>
        </row>
      </sheetData>
      <sheetData sheetId="5386">
        <row r="1">
          <cell r="J1">
            <v>1.7453292519943295E-2</v>
          </cell>
        </row>
      </sheetData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/>
      <sheetData sheetId="5441"/>
      <sheetData sheetId="5442"/>
      <sheetData sheetId="5443" refreshError="1"/>
      <sheetData sheetId="5444" refreshError="1"/>
      <sheetData sheetId="5445" refreshError="1"/>
      <sheetData sheetId="5446" refreshError="1"/>
      <sheetData sheetId="5447">
        <row r="1">
          <cell r="J1">
            <v>1.7453292519943295E-2</v>
          </cell>
        </row>
      </sheetData>
      <sheetData sheetId="5448">
        <row r="1">
          <cell r="J1">
            <v>1.7453292519943295E-2</v>
          </cell>
        </row>
      </sheetData>
      <sheetData sheetId="5449" refreshError="1"/>
      <sheetData sheetId="5450" refreshError="1"/>
      <sheetData sheetId="545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>
        <row r="1">
          <cell r="J1">
            <v>1.7453292519943295E-2</v>
          </cell>
        </row>
      </sheetData>
      <sheetData sheetId="5477">
        <row r="1">
          <cell r="J1">
            <v>1.7453292519943295E-2</v>
          </cell>
        </row>
      </sheetData>
      <sheetData sheetId="5478">
        <row r="1">
          <cell r="J1">
            <v>1.7453292519943295E-2</v>
          </cell>
        </row>
      </sheetData>
      <sheetData sheetId="5479">
        <row r="1">
          <cell r="J1">
            <v>1.7453292519943295E-2</v>
          </cell>
        </row>
      </sheetData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>
        <row r="1">
          <cell r="J1">
            <v>1.7453292519943295E-2</v>
          </cell>
        </row>
      </sheetData>
      <sheetData sheetId="5561">
        <row r="1">
          <cell r="J1">
            <v>1.7453292519943295E-2</v>
          </cell>
        </row>
      </sheetData>
      <sheetData sheetId="5562">
        <row r="1">
          <cell r="J1">
            <v>1.7453292519943295E-2</v>
          </cell>
        </row>
      </sheetData>
      <sheetData sheetId="5563" refreshError="1"/>
      <sheetData sheetId="5564" refreshError="1"/>
      <sheetData sheetId="5565">
        <row r="1">
          <cell r="J1">
            <v>1.7453292519943295E-2</v>
          </cell>
        </row>
      </sheetData>
      <sheetData sheetId="5566">
        <row r="1">
          <cell r="J1">
            <v>1.7453292519943295E-2</v>
          </cell>
        </row>
      </sheetData>
      <sheetData sheetId="5567">
        <row r="1">
          <cell r="J1">
            <v>1.7453292519943295E-2</v>
          </cell>
        </row>
      </sheetData>
      <sheetData sheetId="5568">
        <row r="1">
          <cell r="J1">
            <v>1.7453292519943295E-2</v>
          </cell>
        </row>
      </sheetData>
      <sheetData sheetId="5569"/>
      <sheetData sheetId="5570">
        <row r="1">
          <cell r="J1">
            <v>1.7453292519943295E-2</v>
          </cell>
        </row>
      </sheetData>
      <sheetData sheetId="5571">
        <row r="1">
          <cell r="J1">
            <v>1.7453292519943295E-2</v>
          </cell>
        </row>
      </sheetData>
      <sheetData sheetId="5572">
        <row r="1">
          <cell r="J1">
            <v>1.7453292519943295E-2</v>
          </cell>
        </row>
      </sheetData>
      <sheetData sheetId="5573"/>
      <sheetData sheetId="5574"/>
      <sheetData sheetId="5575"/>
      <sheetData sheetId="5576">
        <row r="1">
          <cell r="J1">
            <v>1.7453292519943295E-2</v>
          </cell>
        </row>
      </sheetData>
      <sheetData sheetId="5577">
        <row r="1">
          <cell r="J1">
            <v>1.7453292519943295E-2</v>
          </cell>
        </row>
      </sheetData>
      <sheetData sheetId="5578">
        <row r="1">
          <cell r="J1">
            <v>1.7453292519943295E-2</v>
          </cell>
        </row>
      </sheetData>
      <sheetData sheetId="5579">
        <row r="1">
          <cell r="J1">
            <v>1.7453292519943295E-2</v>
          </cell>
        </row>
      </sheetData>
      <sheetData sheetId="5580">
        <row r="1">
          <cell r="J1">
            <v>1.7453292519943295E-2</v>
          </cell>
        </row>
      </sheetData>
      <sheetData sheetId="5581">
        <row r="1">
          <cell r="J1">
            <v>1.7453292519943295E-2</v>
          </cell>
        </row>
      </sheetData>
      <sheetData sheetId="5582">
        <row r="1">
          <cell r="J1">
            <v>1.7453292519943295E-2</v>
          </cell>
        </row>
      </sheetData>
      <sheetData sheetId="5583">
        <row r="1">
          <cell r="J1">
            <v>1.7453292519943295E-2</v>
          </cell>
        </row>
      </sheetData>
      <sheetData sheetId="5584">
        <row r="1">
          <cell r="J1">
            <v>1.7453292519943295E-2</v>
          </cell>
        </row>
      </sheetData>
      <sheetData sheetId="5585">
        <row r="1">
          <cell r="J1">
            <v>1.7453292519943295E-2</v>
          </cell>
        </row>
      </sheetData>
      <sheetData sheetId="5586">
        <row r="1">
          <cell r="J1">
            <v>1.7453292519943295E-2</v>
          </cell>
        </row>
      </sheetData>
      <sheetData sheetId="5587">
        <row r="1">
          <cell r="J1">
            <v>1.7453292519943295E-2</v>
          </cell>
        </row>
      </sheetData>
      <sheetData sheetId="5588">
        <row r="1">
          <cell r="J1">
            <v>1.7453292519943295E-2</v>
          </cell>
        </row>
      </sheetData>
      <sheetData sheetId="5589">
        <row r="1">
          <cell r="J1">
            <v>1.7453292519943295E-2</v>
          </cell>
        </row>
      </sheetData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>
        <row r="1">
          <cell r="J1">
            <v>1.7453292519943295E-2</v>
          </cell>
        </row>
      </sheetData>
      <sheetData sheetId="5601">
        <row r="1">
          <cell r="J1">
            <v>1.7453292519943295E-2</v>
          </cell>
        </row>
      </sheetData>
      <sheetData sheetId="5602">
        <row r="1">
          <cell r="J1">
            <v>1.7453292519943295E-2</v>
          </cell>
        </row>
      </sheetData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>
        <row r="1">
          <cell r="J1">
            <v>1.7453292519943295E-2</v>
          </cell>
        </row>
      </sheetData>
      <sheetData sheetId="5610">
        <row r="1">
          <cell r="J1">
            <v>1.7453292519943295E-2</v>
          </cell>
        </row>
      </sheetData>
      <sheetData sheetId="5611">
        <row r="1">
          <cell r="J1">
            <v>1.7453292519943295E-2</v>
          </cell>
        </row>
      </sheetData>
      <sheetData sheetId="5612">
        <row r="1">
          <cell r="J1">
            <v>1.7453292519943295E-2</v>
          </cell>
        </row>
      </sheetData>
      <sheetData sheetId="5613">
        <row r="1">
          <cell r="J1">
            <v>1.7453292519943295E-2</v>
          </cell>
        </row>
      </sheetData>
      <sheetData sheetId="5614">
        <row r="1">
          <cell r="J1">
            <v>1.7453292519943295E-2</v>
          </cell>
        </row>
      </sheetData>
      <sheetData sheetId="5615">
        <row r="1">
          <cell r="J1">
            <v>1.7453292519943295E-2</v>
          </cell>
        </row>
      </sheetData>
      <sheetData sheetId="5616">
        <row r="1">
          <cell r="J1">
            <v>1.7453292519943295E-2</v>
          </cell>
        </row>
      </sheetData>
      <sheetData sheetId="5617">
        <row r="1">
          <cell r="J1">
            <v>1.7453292519943295E-2</v>
          </cell>
        </row>
      </sheetData>
      <sheetData sheetId="5618">
        <row r="1">
          <cell r="J1">
            <v>1.7453292519943295E-2</v>
          </cell>
        </row>
      </sheetData>
      <sheetData sheetId="5619">
        <row r="1">
          <cell r="J1">
            <v>1.7453292519943295E-2</v>
          </cell>
        </row>
      </sheetData>
      <sheetData sheetId="5620">
        <row r="1">
          <cell r="J1">
            <v>1.7453292519943295E-2</v>
          </cell>
        </row>
      </sheetData>
      <sheetData sheetId="5621">
        <row r="1">
          <cell r="J1">
            <v>1.7453292519943295E-2</v>
          </cell>
        </row>
      </sheetData>
      <sheetData sheetId="5622">
        <row r="1">
          <cell r="J1">
            <v>1.7453292519943295E-2</v>
          </cell>
        </row>
      </sheetData>
      <sheetData sheetId="5623">
        <row r="1">
          <cell r="J1">
            <v>1.7453292519943295E-2</v>
          </cell>
        </row>
      </sheetData>
      <sheetData sheetId="5624">
        <row r="1">
          <cell r="J1">
            <v>1.7453292519943295E-2</v>
          </cell>
        </row>
      </sheetData>
      <sheetData sheetId="5625">
        <row r="1">
          <cell r="J1">
            <v>1.7453292519943295E-2</v>
          </cell>
        </row>
      </sheetData>
      <sheetData sheetId="5626">
        <row r="1">
          <cell r="J1">
            <v>1.7453292519943295E-2</v>
          </cell>
        </row>
      </sheetData>
      <sheetData sheetId="5627">
        <row r="1">
          <cell r="J1">
            <v>1.7453292519943295E-2</v>
          </cell>
        </row>
      </sheetData>
      <sheetData sheetId="5628">
        <row r="1">
          <cell r="J1">
            <v>1.7453292519943295E-2</v>
          </cell>
        </row>
      </sheetData>
      <sheetData sheetId="5629">
        <row r="1">
          <cell r="J1">
            <v>1.7453292519943295E-2</v>
          </cell>
        </row>
      </sheetData>
      <sheetData sheetId="5630">
        <row r="1">
          <cell r="J1">
            <v>1.7453292519943295E-2</v>
          </cell>
        </row>
      </sheetData>
      <sheetData sheetId="5631">
        <row r="1">
          <cell r="J1">
            <v>1.7453292519943295E-2</v>
          </cell>
        </row>
      </sheetData>
      <sheetData sheetId="5632">
        <row r="1">
          <cell r="J1">
            <v>1.7453292519943295E-2</v>
          </cell>
        </row>
      </sheetData>
      <sheetData sheetId="5633">
        <row r="1">
          <cell r="J1">
            <v>1.7453292519943295E-2</v>
          </cell>
        </row>
      </sheetData>
      <sheetData sheetId="5634">
        <row r="1">
          <cell r="J1">
            <v>1.7453292519943295E-2</v>
          </cell>
        </row>
      </sheetData>
      <sheetData sheetId="5635">
        <row r="1">
          <cell r="J1">
            <v>1.7453292519943295E-2</v>
          </cell>
        </row>
      </sheetData>
      <sheetData sheetId="5636">
        <row r="1">
          <cell r="J1">
            <v>1.7453292519943295E-2</v>
          </cell>
        </row>
      </sheetData>
      <sheetData sheetId="5637">
        <row r="1">
          <cell r="J1">
            <v>1.7453292519943295E-2</v>
          </cell>
        </row>
      </sheetData>
      <sheetData sheetId="5638">
        <row r="1">
          <cell r="J1">
            <v>1.7453292519943295E-2</v>
          </cell>
        </row>
      </sheetData>
      <sheetData sheetId="5639">
        <row r="1">
          <cell r="J1">
            <v>1.7453292519943295E-2</v>
          </cell>
        </row>
      </sheetData>
      <sheetData sheetId="5640">
        <row r="1">
          <cell r="J1">
            <v>1.7453292519943295E-2</v>
          </cell>
        </row>
      </sheetData>
      <sheetData sheetId="5641">
        <row r="1">
          <cell r="J1">
            <v>1.7453292519943295E-2</v>
          </cell>
        </row>
      </sheetData>
      <sheetData sheetId="5642">
        <row r="1">
          <cell r="J1">
            <v>1.7453292519943295E-2</v>
          </cell>
        </row>
      </sheetData>
      <sheetData sheetId="5643">
        <row r="1">
          <cell r="J1">
            <v>1.7453292519943295E-2</v>
          </cell>
        </row>
      </sheetData>
      <sheetData sheetId="5644">
        <row r="1">
          <cell r="J1">
            <v>1.7453292519943295E-2</v>
          </cell>
        </row>
      </sheetData>
      <sheetData sheetId="5645">
        <row r="1">
          <cell r="J1">
            <v>1.7453292519943295E-2</v>
          </cell>
        </row>
      </sheetData>
      <sheetData sheetId="5646">
        <row r="1">
          <cell r="J1">
            <v>1.7453292519943295E-2</v>
          </cell>
        </row>
      </sheetData>
      <sheetData sheetId="5647">
        <row r="1">
          <cell r="J1">
            <v>1.7453292519943295E-2</v>
          </cell>
        </row>
      </sheetData>
      <sheetData sheetId="5648">
        <row r="1">
          <cell r="J1">
            <v>1.7453292519943295E-2</v>
          </cell>
        </row>
      </sheetData>
      <sheetData sheetId="5649">
        <row r="1">
          <cell r="J1">
            <v>1.7453292519943295E-2</v>
          </cell>
        </row>
      </sheetData>
      <sheetData sheetId="5650">
        <row r="1">
          <cell r="J1">
            <v>1.7453292519943295E-2</v>
          </cell>
        </row>
      </sheetData>
      <sheetData sheetId="5651">
        <row r="1">
          <cell r="J1">
            <v>1.7453292519943295E-2</v>
          </cell>
        </row>
      </sheetData>
      <sheetData sheetId="5652">
        <row r="1">
          <cell r="J1">
            <v>1.7453292519943295E-2</v>
          </cell>
        </row>
      </sheetData>
      <sheetData sheetId="5653">
        <row r="1">
          <cell r="J1">
            <v>1.7453292519943295E-2</v>
          </cell>
        </row>
      </sheetData>
      <sheetData sheetId="5654">
        <row r="1">
          <cell r="J1">
            <v>1.7453292519943295E-2</v>
          </cell>
        </row>
      </sheetData>
      <sheetData sheetId="5655">
        <row r="1">
          <cell r="J1">
            <v>1.7453292519943295E-2</v>
          </cell>
        </row>
      </sheetData>
      <sheetData sheetId="5656">
        <row r="1">
          <cell r="J1">
            <v>1.7453292519943295E-2</v>
          </cell>
        </row>
      </sheetData>
      <sheetData sheetId="5657">
        <row r="1">
          <cell r="J1">
            <v>1.7453292519943295E-2</v>
          </cell>
        </row>
      </sheetData>
      <sheetData sheetId="5658">
        <row r="1">
          <cell r="J1">
            <v>1.7453292519943295E-2</v>
          </cell>
        </row>
      </sheetData>
      <sheetData sheetId="5659">
        <row r="1">
          <cell r="J1">
            <v>1.7453292519943295E-2</v>
          </cell>
        </row>
      </sheetData>
      <sheetData sheetId="5660">
        <row r="1">
          <cell r="J1">
            <v>1.7453292519943295E-2</v>
          </cell>
        </row>
      </sheetData>
      <sheetData sheetId="5661">
        <row r="1">
          <cell r="J1">
            <v>1.7453292519943295E-2</v>
          </cell>
        </row>
      </sheetData>
      <sheetData sheetId="5662">
        <row r="1">
          <cell r="J1">
            <v>1.7453292519943295E-2</v>
          </cell>
        </row>
      </sheetData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>
        <row r="1">
          <cell r="J1">
            <v>1.7453292519943295E-2</v>
          </cell>
        </row>
      </sheetData>
      <sheetData sheetId="5823">
        <row r="1">
          <cell r="J1">
            <v>1.7453292519943295E-2</v>
          </cell>
        </row>
      </sheetData>
      <sheetData sheetId="5824">
        <row r="1">
          <cell r="J1">
            <v>1.7453292519943295E-2</v>
          </cell>
        </row>
      </sheetData>
      <sheetData sheetId="5825">
        <row r="1">
          <cell r="J1">
            <v>1.7453292519943295E-2</v>
          </cell>
        </row>
      </sheetData>
      <sheetData sheetId="5826">
        <row r="1">
          <cell r="J1">
            <v>1.7453292519943295E-2</v>
          </cell>
        </row>
      </sheetData>
      <sheetData sheetId="5827">
        <row r="1">
          <cell r="J1">
            <v>1.7453292519943295E-2</v>
          </cell>
        </row>
      </sheetData>
      <sheetData sheetId="5828">
        <row r="1">
          <cell r="J1">
            <v>1.7453292519943295E-2</v>
          </cell>
        </row>
      </sheetData>
      <sheetData sheetId="5829">
        <row r="1">
          <cell r="J1">
            <v>1.7453292519943295E-2</v>
          </cell>
        </row>
      </sheetData>
      <sheetData sheetId="5830">
        <row r="1">
          <cell r="J1">
            <v>1.7453292519943295E-2</v>
          </cell>
        </row>
      </sheetData>
      <sheetData sheetId="5831">
        <row r="1">
          <cell r="J1">
            <v>1.7453292519943295E-2</v>
          </cell>
        </row>
      </sheetData>
      <sheetData sheetId="5832">
        <row r="1">
          <cell r="J1">
            <v>1.7453292519943295E-2</v>
          </cell>
        </row>
      </sheetData>
      <sheetData sheetId="5833">
        <row r="1">
          <cell r="J1">
            <v>1.7453292519943295E-2</v>
          </cell>
        </row>
      </sheetData>
      <sheetData sheetId="5834">
        <row r="1">
          <cell r="J1">
            <v>1.7453292519943295E-2</v>
          </cell>
        </row>
      </sheetData>
      <sheetData sheetId="5835">
        <row r="1">
          <cell r="J1">
            <v>1.7453292519943295E-2</v>
          </cell>
        </row>
      </sheetData>
      <sheetData sheetId="5836">
        <row r="1">
          <cell r="J1">
            <v>1.7453292519943295E-2</v>
          </cell>
        </row>
      </sheetData>
      <sheetData sheetId="5837">
        <row r="1">
          <cell r="J1">
            <v>1.7453292519943295E-2</v>
          </cell>
        </row>
      </sheetData>
      <sheetData sheetId="5838">
        <row r="1">
          <cell r="J1">
            <v>1.7453292519943295E-2</v>
          </cell>
        </row>
      </sheetData>
      <sheetData sheetId="5839">
        <row r="1">
          <cell r="J1">
            <v>1.7453292519943295E-2</v>
          </cell>
        </row>
      </sheetData>
      <sheetData sheetId="5840">
        <row r="1">
          <cell r="J1">
            <v>1.7453292519943295E-2</v>
          </cell>
        </row>
      </sheetData>
      <sheetData sheetId="5841">
        <row r="1">
          <cell r="J1">
            <v>1.7453292519943295E-2</v>
          </cell>
        </row>
      </sheetData>
      <sheetData sheetId="5842">
        <row r="1">
          <cell r="J1">
            <v>1.7453292519943295E-2</v>
          </cell>
        </row>
      </sheetData>
      <sheetData sheetId="5843">
        <row r="1">
          <cell r="J1">
            <v>1.7453292519943295E-2</v>
          </cell>
        </row>
      </sheetData>
      <sheetData sheetId="5844">
        <row r="1">
          <cell r="J1">
            <v>1.7453292519943295E-2</v>
          </cell>
        </row>
      </sheetData>
      <sheetData sheetId="5845">
        <row r="1">
          <cell r="J1">
            <v>1.7453292519943295E-2</v>
          </cell>
        </row>
      </sheetData>
      <sheetData sheetId="5846">
        <row r="1">
          <cell r="J1">
            <v>1.7453292519943295E-2</v>
          </cell>
        </row>
      </sheetData>
      <sheetData sheetId="5847">
        <row r="1">
          <cell r="J1">
            <v>1.7453292519943295E-2</v>
          </cell>
        </row>
      </sheetData>
      <sheetData sheetId="5848">
        <row r="1">
          <cell r="J1">
            <v>1.7453292519943295E-2</v>
          </cell>
        </row>
      </sheetData>
      <sheetData sheetId="5849">
        <row r="1">
          <cell r="J1">
            <v>1.7453292519943295E-2</v>
          </cell>
        </row>
      </sheetData>
      <sheetData sheetId="5850">
        <row r="1">
          <cell r="J1">
            <v>1.7453292519943295E-2</v>
          </cell>
        </row>
      </sheetData>
      <sheetData sheetId="5851">
        <row r="1">
          <cell r="J1">
            <v>1.7453292519943295E-2</v>
          </cell>
        </row>
      </sheetData>
      <sheetData sheetId="5852">
        <row r="1">
          <cell r="J1">
            <v>1.7453292519943295E-2</v>
          </cell>
        </row>
      </sheetData>
      <sheetData sheetId="5853">
        <row r="1">
          <cell r="J1">
            <v>1.7453292519943295E-2</v>
          </cell>
        </row>
      </sheetData>
      <sheetData sheetId="5854">
        <row r="1">
          <cell r="J1">
            <v>1.7453292519943295E-2</v>
          </cell>
        </row>
      </sheetData>
      <sheetData sheetId="5855">
        <row r="1">
          <cell r="J1">
            <v>1.7453292519943295E-2</v>
          </cell>
        </row>
      </sheetData>
      <sheetData sheetId="5856">
        <row r="1">
          <cell r="J1">
            <v>1.7453292519943295E-2</v>
          </cell>
        </row>
      </sheetData>
      <sheetData sheetId="5857">
        <row r="1">
          <cell r="J1">
            <v>1.7453292519943295E-2</v>
          </cell>
        </row>
      </sheetData>
      <sheetData sheetId="5858">
        <row r="1">
          <cell r="J1">
            <v>1.7453292519943295E-2</v>
          </cell>
        </row>
      </sheetData>
      <sheetData sheetId="5859">
        <row r="1">
          <cell r="J1">
            <v>1.7453292519943295E-2</v>
          </cell>
        </row>
      </sheetData>
      <sheetData sheetId="5860">
        <row r="1">
          <cell r="J1">
            <v>1.7453292519943295E-2</v>
          </cell>
        </row>
      </sheetData>
      <sheetData sheetId="5861">
        <row r="1">
          <cell r="J1">
            <v>1.7453292519943295E-2</v>
          </cell>
        </row>
      </sheetData>
      <sheetData sheetId="5862">
        <row r="1">
          <cell r="J1">
            <v>1.7453292519943295E-2</v>
          </cell>
        </row>
      </sheetData>
      <sheetData sheetId="5863">
        <row r="1">
          <cell r="J1">
            <v>1.7453292519943295E-2</v>
          </cell>
        </row>
      </sheetData>
      <sheetData sheetId="5864">
        <row r="1">
          <cell r="J1">
            <v>1.7453292519943295E-2</v>
          </cell>
        </row>
      </sheetData>
      <sheetData sheetId="5865">
        <row r="1">
          <cell r="J1">
            <v>1.7453292519943295E-2</v>
          </cell>
        </row>
      </sheetData>
      <sheetData sheetId="5866">
        <row r="1">
          <cell r="J1">
            <v>1.7453292519943295E-2</v>
          </cell>
        </row>
      </sheetData>
      <sheetData sheetId="5867">
        <row r="1">
          <cell r="J1">
            <v>1.7453292519943295E-2</v>
          </cell>
        </row>
      </sheetData>
      <sheetData sheetId="5868">
        <row r="1">
          <cell r="J1">
            <v>1.7453292519943295E-2</v>
          </cell>
        </row>
      </sheetData>
      <sheetData sheetId="5869">
        <row r="1">
          <cell r="J1">
            <v>1.7453292519943295E-2</v>
          </cell>
        </row>
      </sheetData>
      <sheetData sheetId="5870">
        <row r="1">
          <cell r="J1">
            <v>1.7453292519943295E-2</v>
          </cell>
        </row>
      </sheetData>
      <sheetData sheetId="5871">
        <row r="1">
          <cell r="J1">
            <v>1.7453292519943295E-2</v>
          </cell>
        </row>
      </sheetData>
      <sheetData sheetId="5872">
        <row r="1">
          <cell r="J1">
            <v>1.7453292519943295E-2</v>
          </cell>
        </row>
      </sheetData>
      <sheetData sheetId="5873">
        <row r="1">
          <cell r="J1">
            <v>1.7453292519943295E-2</v>
          </cell>
        </row>
      </sheetData>
      <sheetData sheetId="5874">
        <row r="1">
          <cell r="J1">
            <v>1.7453292519943295E-2</v>
          </cell>
        </row>
      </sheetData>
      <sheetData sheetId="5875">
        <row r="1">
          <cell r="J1">
            <v>1.7453292519943295E-2</v>
          </cell>
        </row>
      </sheetData>
      <sheetData sheetId="5876">
        <row r="1">
          <cell r="J1">
            <v>1.7453292519943295E-2</v>
          </cell>
        </row>
      </sheetData>
      <sheetData sheetId="5877">
        <row r="1">
          <cell r="J1">
            <v>1.7453292519943295E-2</v>
          </cell>
        </row>
      </sheetData>
      <sheetData sheetId="5878">
        <row r="1">
          <cell r="J1">
            <v>1.7453292519943295E-2</v>
          </cell>
        </row>
      </sheetData>
      <sheetData sheetId="5879">
        <row r="1">
          <cell r="J1">
            <v>1.7453292519943295E-2</v>
          </cell>
        </row>
      </sheetData>
      <sheetData sheetId="5880">
        <row r="1">
          <cell r="J1">
            <v>1.7453292519943295E-2</v>
          </cell>
        </row>
      </sheetData>
      <sheetData sheetId="5881">
        <row r="1">
          <cell r="J1">
            <v>1.7453292519943295E-2</v>
          </cell>
        </row>
      </sheetData>
      <sheetData sheetId="5882">
        <row r="1">
          <cell r="J1">
            <v>1.7453292519943295E-2</v>
          </cell>
        </row>
      </sheetData>
      <sheetData sheetId="5883">
        <row r="1">
          <cell r="J1">
            <v>1.7453292519943295E-2</v>
          </cell>
        </row>
      </sheetData>
      <sheetData sheetId="5884">
        <row r="1">
          <cell r="J1">
            <v>1.7453292519943295E-2</v>
          </cell>
        </row>
      </sheetData>
      <sheetData sheetId="5885">
        <row r="1">
          <cell r="J1">
            <v>1.7453292519943295E-2</v>
          </cell>
        </row>
      </sheetData>
      <sheetData sheetId="5886">
        <row r="1">
          <cell r="J1">
            <v>1.7453292519943295E-2</v>
          </cell>
        </row>
      </sheetData>
      <sheetData sheetId="5887">
        <row r="1">
          <cell r="J1">
            <v>1.7453292519943295E-2</v>
          </cell>
        </row>
      </sheetData>
      <sheetData sheetId="5888">
        <row r="1">
          <cell r="J1">
            <v>1.7453292519943295E-2</v>
          </cell>
        </row>
      </sheetData>
      <sheetData sheetId="5889">
        <row r="1">
          <cell r="J1">
            <v>1.7453292519943295E-2</v>
          </cell>
        </row>
      </sheetData>
      <sheetData sheetId="5890">
        <row r="1">
          <cell r="J1">
            <v>1.7453292519943295E-2</v>
          </cell>
        </row>
      </sheetData>
      <sheetData sheetId="5891">
        <row r="1">
          <cell r="J1">
            <v>1.7453292519943295E-2</v>
          </cell>
        </row>
      </sheetData>
      <sheetData sheetId="5892">
        <row r="1">
          <cell r="J1">
            <v>1.7453292519943295E-2</v>
          </cell>
        </row>
      </sheetData>
      <sheetData sheetId="5893">
        <row r="1">
          <cell r="J1">
            <v>1.7453292519943295E-2</v>
          </cell>
        </row>
      </sheetData>
      <sheetData sheetId="5894">
        <row r="1">
          <cell r="J1">
            <v>1.7453292519943295E-2</v>
          </cell>
        </row>
      </sheetData>
      <sheetData sheetId="5895">
        <row r="1">
          <cell r="J1">
            <v>1.7453292519943295E-2</v>
          </cell>
        </row>
      </sheetData>
      <sheetData sheetId="5896">
        <row r="1">
          <cell r="J1">
            <v>1.7453292519943295E-2</v>
          </cell>
        </row>
      </sheetData>
      <sheetData sheetId="5897">
        <row r="1">
          <cell r="J1">
            <v>1.7453292519943295E-2</v>
          </cell>
        </row>
      </sheetData>
      <sheetData sheetId="5898">
        <row r="1">
          <cell r="J1">
            <v>1.7453292519943295E-2</v>
          </cell>
        </row>
      </sheetData>
      <sheetData sheetId="5899">
        <row r="1">
          <cell r="J1">
            <v>1.7453292519943295E-2</v>
          </cell>
        </row>
      </sheetData>
      <sheetData sheetId="5900">
        <row r="1">
          <cell r="J1">
            <v>1.7453292519943295E-2</v>
          </cell>
        </row>
      </sheetData>
      <sheetData sheetId="5901">
        <row r="1">
          <cell r="J1">
            <v>1.7453292519943295E-2</v>
          </cell>
        </row>
      </sheetData>
      <sheetData sheetId="5902">
        <row r="1">
          <cell r="J1">
            <v>1.7453292519943295E-2</v>
          </cell>
        </row>
      </sheetData>
      <sheetData sheetId="5903">
        <row r="1">
          <cell r="J1">
            <v>1.7453292519943295E-2</v>
          </cell>
        </row>
      </sheetData>
      <sheetData sheetId="5904">
        <row r="1">
          <cell r="J1">
            <v>1.7453292519943295E-2</v>
          </cell>
        </row>
      </sheetData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>
        <row r="1">
          <cell r="J1">
            <v>1.7453292519943295E-2</v>
          </cell>
        </row>
      </sheetData>
      <sheetData sheetId="6048">
        <row r="1">
          <cell r="J1">
            <v>1.7453292519943295E-2</v>
          </cell>
        </row>
      </sheetData>
      <sheetData sheetId="6049">
        <row r="1">
          <cell r="J1">
            <v>1.7453292519943295E-2</v>
          </cell>
        </row>
      </sheetData>
      <sheetData sheetId="6050">
        <row r="1">
          <cell r="J1">
            <v>1.7453292519943295E-2</v>
          </cell>
        </row>
      </sheetData>
      <sheetData sheetId="6051">
        <row r="1">
          <cell r="J1">
            <v>1.7453292519943295E-2</v>
          </cell>
        </row>
      </sheetData>
      <sheetData sheetId="6052">
        <row r="1">
          <cell r="J1">
            <v>1.7453292519943295E-2</v>
          </cell>
        </row>
      </sheetData>
      <sheetData sheetId="6053">
        <row r="1">
          <cell r="J1">
            <v>1.7453292519943295E-2</v>
          </cell>
        </row>
      </sheetData>
      <sheetData sheetId="6054">
        <row r="1">
          <cell r="J1">
            <v>1.7453292519943295E-2</v>
          </cell>
        </row>
      </sheetData>
      <sheetData sheetId="6055">
        <row r="1">
          <cell r="J1">
            <v>1.7453292519943295E-2</v>
          </cell>
        </row>
      </sheetData>
      <sheetData sheetId="6056">
        <row r="1">
          <cell r="J1">
            <v>1.7453292519943295E-2</v>
          </cell>
        </row>
      </sheetData>
      <sheetData sheetId="6057">
        <row r="1">
          <cell r="J1">
            <v>1.7453292519943295E-2</v>
          </cell>
        </row>
      </sheetData>
      <sheetData sheetId="6058">
        <row r="1">
          <cell r="J1">
            <v>1.7453292519943295E-2</v>
          </cell>
        </row>
      </sheetData>
      <sheetData sheetId="6059">
        <row r="1">
          <cell r="J1">
            <v>1.7453292519943295E-2</v>
          </cell>
        </row>
      </sheetData>
      <sheetData sheetId="6060">
        <row r="1">
          <cell r="J1">
            <v>1.7453292519943295E-2</v>
          </cell>
        </row>
      </sheetData>
      <sheetData sheetId="6061">
        <row r="1">
          <cell r="J1">
            <v>1.7453292519943295E-2</v>
          </cell>
        </row>
      </sheetData>
      <sheetData sheetId="6062">
        <row r="1">
          <cell r="J1">
            <v>1.7453292519943295E-2</v>
          </cell>
        </row>
      </sheetData>
      <sheetData sheetId="6063">
        <row r="1">
          <cell r="J1">
            <v>1.7453292519943295E-2</v>
          </cell>
        </row>
      </sheetData>
      <sheetData sheetId="6064">
        <row r="1">
          <cell r="J1">
            <v>1.7453292519943295E-2</v>
          </cell>
        </row>
      </sheetData>
      <sheetData sheetId="6065">
        <row r="1">
          <cell r="J1">
            <v>1.7453292519943295E-2</v>
          </cell>
        </row>
      </sheetData>
      <sheetData sheetId="6066">
        <row r="1">
          <cell r="J1">
            <v>1.7453292519943295E-2</v>
          </cell>
        </row>
      </sheetData>
      <sheetData sheetId="6067">
        <row r="1">
          <cell r="J1">
            <v>1.7453292519943295E-2</v>
          </cell>
        </row>
      </sheetData>
      <sheetData sheetId="6068">
        <row r="1">
          <cell r="J1">
            <v>1.7453292519943295E-2</v>
          </cell>
        </row>
      </sheetData>
      <sheetData sheetId="6069">
        <row r="1">
          <cell r="J1">
            <v>1.7453292519943295E-2</v>
          </cell>
        </row>
      </sheetData>
      <sheetData sheetId="6070">
        <row r="1">
          <cell r="J1">
            <v>1.7453292519943295E-2</v>
          </cell>
        </row>
      </sheetData>
      <sheetData sheetId="6071">
        <row r="1">
          <cell r="J1">
            <v>1.7453292519943295E-2</v>
          </cell>
        </row>
      </sheetData>
      <sheetData sheetId="6072">
        <row r="1">
          <cell r="J1">
            <v>1.7453292519943295E-2</v>
          </cell>
        </row>
      </sheetData>
      <sheetData sheetId="6073">
        <row r="1">
          <cell r="J1">
            <v>1.7453292519943295E-2</v>
          </cell>
        </row>
      </sheetData>
      <sheetData sheetId="6074">
        <row r="1">
          <cell r="J1">
            <v>1.7453292519943295E-2</v>
          </cell>
        </row>
      </sheetData>
      <sheetData sheetId="6075">
        <row r="1">
          <cell r="J1">
            <v>1.7453292519943295E-2</v>
          </cell>
        </row>
      </sheetData>
      <sheetData sheetId="6076">
        <row r="1">
          <cell r="J1">
            <v>1.7453292519943295E-2</v>
          </cell>
        </row>
      </sheetData>
      <sheetData sheetId="6077">
        <row r="1">
          <cell r="J1">
            <v>1.7453292519943295E-2</v>
          </cell>
        </row>
      </sheetData>
      <sheetData sheetId="6078">
        <row r="1">
          <cell r="J1">
            <v>1.7453292519943295E-2</v>
          </cell>
        </row>
      </sheetData>
      <sheetData sheetId="6079">
        <row r="1">
          <cell r="J1">
            <v>1.7453292519943295E-2</v>
          </cell>
        </row>
      </sheetData>
      <sheetData sheetId="6080">
        <row r="1">
          <cell r="J1">
            <v>1.7453292519943295E-2</v>
          </cell>
        </row>
      </sheetData>
      <sheetData sheetId="6081">
        <row r="1">
          <cell r="J1">
            <v>1.7453292519943295E-2</v>
          </cell>
        </row>
      </sheetData>
      <sheetData sheetId="6082">
        <row r="1">
          <cell r="J1">
            <v>1.7453292519943295E-2</v>
          </cell>
        </row>
      </sheetData>
      <sheetData sheetId="6083">
        <row r="1">
          <cell r="J1">
            <v>1.7453292519943295E-2</v>
          </cell>
        </row>
      </sheetData>
      <sheetData sheetId="6084">
        <row r="1">
          <cell r="J1">
            <v>1.7453292519943295E-2</v>
          </cell>
        </row>
      </sheetData>
      <sheetData sheetId="6085">
        <row r="1">
          <cell r="J1">
            <v>1.7453292519943295E-2</v>
          </cell>
        </row>
      </sheetData>
      <sheetData sheetId="6086">
        <row r="1">
          <cell r="J1">
            <v>1.7453292519943295E-2</v>
          </cell>
        </row>
      </sheetData>
      <sheetData sheetId="6087">
        <row r="1">
          <cell r="J1">
            <v>1.7453292519943295E-2</v>
          </cell>
        </row>
      </sheetData>
      <sheetData sheetId="6088">
        <row r="1">
          <cell r="J1">
            <v>1.7453292519943295E-2</v>
          </cell>
        </row>
      </sheetData>
      <sheetData sheetId="6089">
        <row r="1">
          <cell r="J1">
            <v>1.7453292519943295E-2</v>
          </cell>
        </row>
      </sheetData>
      <sheetData sheetId="6090">
        <row r="1">
          <cell r="J1">
            <v>1.7453292519943295E-2</v>
          </cell>
        </row>
      </sheetData>
      <sheetData sheetId="6091">
        <row r="1">
          <cell r="J1">
            <v>1.7453292519943295E-2</v>
          </cell>
        </row>
      </sheetData>
      <sheetData sheetId="6092">
        <row r="1">
          <cell r="J1">
            <v>1.7453292519943295E-2</v>
          </cell>
        </row>
      </sheetData>
      <sheetData sheetId="6093">
        <row r="1">
          <cell r="J1">
            <v>1.7453292519943295E-2</v>
          </cell>
        </row>
      </sheetData>
      <sheetData sheetId="6094">
        <row r="1">
          <cell r="J1">
            <v>1.7453292519943295E-2</v>
          </cell>
        </row>
      </sheetData>
      <sheetData sheetId="6095">
        <row r="1">
          <cell r="J1">
            <v>1.7453292519943295E-2</v>
          </cell>
        </row>
      </sheetData>
      <sheetData sheetId="6096">
        <row r="1">
          <cell r="J1">
            <v>1.7453292519943295E-2</v>
          </cell>
        </row>
      </sheetData>
      <sheetData sheetId="6097">
        <row r="1">
          <cell r="J1">
            <v>1.7453292519943295E-2</v>
          </cell>
        </row>
      </sheetData>
      <sheetData sheetId="6098">
        <row r="1">
          <cell r="J1">
            <v>1.7453292519943295E-2</v>
          </cell>
        </row>
      </sheetData>
      <sheetData sheetId="6099">
        <row r="1">
          <cell r="J1">
            <v>1.7453292519943295E-2</v>
          </cell>
        </row>
      </sheetData>
      <sheetData sheetId="6100">
        <row r="1">
          <cell r="J1">
            <v>1.7453292519943295E-2</v>
          </cell>
        </row>
      </sheetData>
      <sheetData sheetId="6101">
        <row r="1">
          <cell r="J1">
            <v>1.7453292519943295E-2</v>
          </cell>
        </row>
      </sheetData>
      <sheetData sheetId="6102">
        <row r="1">
          <cell r="J1">
            <v>1.7453292519943295E-2</v>
          </cell>
        </row>
      </sheetData>
      <sheetData sheetId="6103">
        <row r="1">
          <cell r="J1">
            <v>1.7453292519943295E-2</v>
          </cell>
        </row>
      </sheetData>
      <sheetData sheetId="6104">
        <row r="1">
          <cell r="J1">
            <v>1.7453292519943295E-2</v>
          </cell>
        </row>
      </sheetData>
      <sheetData sheetId="6105">
        <row r="1">
          <cell r="J1">
            <v>1.7453292519943295E-2</v>
          </cell>
        </row>
      </sheetData>
      <sheetData sheetId="6106">
        <row r="1">
          <cell r="J1">
            <v>1.7453292519943295E-2</v>
          </cell>
        </row>
      </sheetData>
      <sheetData sheetId="6107">
        <row r="1">
          <cell r="J1">
            <v>1.7453292519943295E-2</v>
          </cell>
        </row>
      </sheetData>
      <sheetData sheetId="6108">
        <row r="1">
          <cell r="J1">
            <v>1.7453292519943295E-2</v>
          </cell>
        </row>
      </sheetData>
      <sheetData sheetId="6109">
        <row r="1">
          <cell r="J1">
            <v>1.7453292519943295E-2</v>
          </cell>
        </row>
      </sheetData>
      <sheetData sheetId="6110">
        <row r="1">
          <cell r="J1">
            <v>1.7453292519943295E-2</v>
          </cell>
        </row>
      </sheetData>
      <sheetData sheetId="6111">
        <row r="1">
          <cell r="J1">
            <v>1.7453292519943295E-2</v>
          </cell>
        </row>
      </sheetData>
      <sheetData sheetId="6112">
        <row r="1">
          <cell r="J1">
            <v>1.7453292519943295E-2</v>
          </cell>
        </row>
      </sheetData>
      <sheetData sheetId="6113">
        <row r="1">
          <cell r="J1">
            <v>1.7453292519943295E-2</v>
          </cell>
        </row>
      </sheetData>
      <sheetData sheetId="6114">
        <row r="1">
          <cell r="J1">
            <v>1.7453292519943295E-2</v>
          </cell>
        </row>
      </sheetData>
      <sheetData sheetId="6115">
        <row r="1">
          <cell r="J1">
            <v>1.7453292519943295E-2</v>
          </cell>
        </row>
      </sheetData>
      <sheetData sheetId="6116">
        <row r="1">
          <cell r="J1">
            <v>1.7453292519943295E-2</v>
          </cell>
        </row>
      </sheetData>
      <sheetData sheetId="6117">
        <row r="1">
          <cell r="J1">
            <v>1.7453292519943295E-2</v>
          </cell>
        </row>
      </sheetData>
      <sheetData sheetId="6118">
        <row r="1">
          <cell r="J1">
            <v>1.7453292519943295E-2</v>
          </cell>
        </row>
      </sheetData>
      <sheetData sheetId="6119">
        <row r="1">
          <cell r="J1">
            <v>1.7453292519943295E-2</v>
          </cell>
        </row>
      </sheetData>
      <sheetData sheetId="6120">
        <row r="1">
          <cell r="J1">
            <v>1.7453292519943295E-2</v>
          </cell>
        </row>
      </sheetData>
      <sheetData sheetId="6121">
        <row r="1">
          <cell r="J1">
            <v>1.7453292519943295E-2</v>
          </cell>
        </row>
      </sheetData>
      <sheetData sheetId="6122">
        <row r="1">
          <cell r="J1">
            <v>1.7453292519943295E-2</v>
          </cell>
        </row>
      </sheetData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>
        <row r="1">
          <cell r="J1">
            <v>1.7453292519943295E-2</v>
          </cell>
        </row>
      </sheetData>
      <sheetData sheetId="6283">
        <row r="1">
          <cell r="J1">
            <v>1.7453292519943295E-2</v>
          </cell>
        </row>
      </sheetData>
      <sheetData sheetId="6284">
        <row r="1">
          <cell r="J1">
            <v>1.7453292519943295E-2</v>
          </cell>
        </row>
      </sheetData>
      <sheetData sheetId="6285">
        <row r="1">
          <cell r="J1">
            <v>1.7453292519943295E-2</v>
          </cell>
        </row>
      </sheetData>
      <sheetData sheetId="6286">
        <row r="1">
          <cell r="J1">
            <v>1.7453292519943295E-2</v>
          </cell>
        </row>
      </sheetData>
      <sheetData sheetId="6287">
        <row r="1">
          <cell r="J1">
            <v>1.7453292519943295E-2</v>
          </cell>
        </row>
      </sheetData>
      <sheetData sheetId="6288">
        <row r="1">
          <cell r="J1">
            <v>1.7453292519943295E-2</v>
          </cell>
        </row>
      </sheetData>
      <sheetData sheetId="6289">
        <row r="1">
          <cell r="J1">
            <v>1.7453292519943295E-2</v>
          </cell>
        </row>
      </sheetData>
      <sheetData sheetId="6290">
        <row r="1">
          <cell r="J1">
            <v>1.7453292519943295E-2</v>
          </cell>
        </row>
      </sheetData>
      <sheetData sheetId="6291">
        <row r="1">
          <cell r="J1">
            <v>1.7453292519943295E-2</v>
          </cell>
        </row>
      </sheetData>
      <sheetData sheetId="6292">
        <row r="1">
          <cell r="J1">
            <v>1.7453292519943295E-2</v>
          </cell>
        </row>
      </sheetData>
      <sheetData sheetId="6293">
        <row r="1">
          <cell r="J1">
            <v>1.7453292519943295E-2</v>
          </cell>
        </row>
      </sheetData>
      <sheetData sheetId="6294">
        <row r="1">
          <cell r="J1">
            <v>1.7453292519943295E-2</v>
          </cell>
        </row>
      </sheetData>
      <sheetData sheetId="6295">
        <row r="1">
          <cell r="J1">
            <v>1.7453292519943295E-2</v>
          </cell>
        </row>
      </sheetData>
      <sheetData sheetId="6296">
        <row r="1">
          <cell r="J1">
            <v>1.7453292519943295E-2</v>
          </cell>
        </row>
      </sheetData>
      <sheetData sheetId="6297">
        <row r="1">
          <cell r="J1">
            <v>1.7453292519943295E-2</v>
          </cell>
        </row>
      </sheetData>
      <sheetData sheetId="6298">
        <row r="1">
          <cell r="J1">
            <v>1.7453292519943295E-2</v>
          </cell>
        </row>
      </sheetData>
      <sheetData sheetId="6299">
        <row r="1">
          <cell r="J1">
            <v>1.7453292519943295E-2</v>
          </cell>
        </row>
      </sheetData>
      <sheetData sheetId="6300">
        <row r="1">
          <cell r="J1">
            <v>1.7453292519943295E-2</v>
          </cell>
        </row>
      </sheetData>
      <sheetData sheetId="6301">
        <row r="1">
          <cell r="J1">
            <v>1.7453292519943295E-2</v>
          </cell>
        </row>
      </sheetData>
      <sheetData sheetId="6302">
        <row r="1">
          <cell r="J1">
            <v>1.7453292519943295E-2</v>
          </cell>
        </row>
      </sheetData>
      <sheetData sheetId="6303">
        <row r="1">
          <cell r="J1">
            <v>1.7453292519943295E-2</v>
          </cell>
        </row>
      </sheetData>
      <sheetData sheetId="6304">
        <row r="1">
          <cell r="J1">
            <v>1.7453292519943295E-2</v>
          </cell>
        </row>
      </sheetData>
      <sheetData sheetId="6305">
        <row r="1">
          <cell r="J1">
            <v>1.7453292519943295E-2</v>
          </cell>
        </row>
      </sheetData>
      <sheetData sheetId="6306">
        <row r="1">
          <cell r="J1">
            <v>1.7453292519943295E-2</v>
          </cell>
        </row>
      </sheetData>
      <sheetData sheetId="6307">
        <row r="1">
          <cell r="J1">
            <v>1.7453292519943295E-2</v>
          </cell>
        </row>
      </sheetData>
      <sheetData sheetId="6308">
        <row r="1">
          <cell r="J1">
            <v>1.7453292519943295E-2</v>
          </cell>
        </row>
      </sheetData>
      <sheetData sheetId="6309">
        <row r="1">
          <cell r="J1">
            <v>1.7453292519943295E-2</v>
          </cell>
        </row>
      </sheetData>
      <sheetData sheetId="6310">
        <row r="1">
          <cell r="J1">
            <v>1.7453292519943295E-2</v>
          </cell>
        </row>
      </sheetData>
      <sheetData sheetId="6311">
        <row r="1">
          <cell r="J1">
            <v>1.7453292519943295E-2</v>
          </cell>
        </row>
      </sheetData>
      <sheetData sheetId="6312">
        <row r="1">
          <cell r="J1">
            <v>1.7453292519943295E-2</v>
          </cell>
        </row>
      </sheetData>
      <sheetData sheetId="6313">
        <row r="1">
          <cell r="J1">
            <v>1.7453292519943295E-2</v>
          </cell>
        </row>
      </sheetData>
      <sheetData sheetId="6314">
        <row r="1">
          <cell r="J1">
            <v>1.7453292519943295E-2</v>
          </cell>
        </row>
      </sheetData>
      <sheetData sheetId="6315">
        <row r="1">
          <cell r="J1">
            <v>1.7453292519943295E-2</v>
          </cell>
        </row>
      </sheetData>
      <sheetData sheetId="6316">
        <row r="1">
          <cell r="J1">
            <v>1.7453292519943295E-2</v>
          </cell>
        </row>
      </sheetData>
      <sheetData sheetId="6317">
        <row r="1">
          <cell r="J1">
            <v>1.7453292519943295E-2</v>
          </cell>
        </row>
      </sheetData>
      <sheetData sheetId="6318">
        <row r="1">
          <cell r="J1">
            <v>1.7453292519943295E-2</v>
          </cell>
        </row>
      </sheetData>
      <sheetData sheetId="6319">
        <row r="1">
          <cell r="J1">
            <v>1.7453292519943295E-2</v>
          </cell>
        </row>
      </sheetData>
      <sheetData sheetId="6320">
        <row r="1">
          <cell r="J1">
            <v>1.7453292519943295E-2</v>
          </cell>
        </row>
      </sheetData>
      <sheetData sheetId="6321">
        <row r="1">
          <cell r="J1">
            <v>1.7453292519943295E-2</v>
          </cell>
        </row>
      </sheetData>
      <sheetData sheetId="6322">
        <row r="1">
          <cell r="J1">
            <v>1.7453292519943295E-2</v>
          </cell>
        </row>
      </sheetData>
      <sheetData sheetId="6323">
        <row r="1">
          <cell r="J1">
            <v>1.7453292519943295E-2</v>
          </cell>
        </row>
      </sheetData>
      <sheetData sheetId="6324">
        <row r="1">
          <cell r="J1">
            <v>1.7453292519943295E-2</v>
          </cell>
        </row>
      </sheetData>
      <sheetData sheetId="6325">
        <row r="1">
          <cell r="J1">
            <v>1.7453292519943295E-2</v>
          </cell>
        </row>
      </sheetData>
      <sheetData sheetId="6326">
        <row r="1">
          <cell r="J1">
            <v>1.7453292519943295E-2</v>
          </cell>
        </row>
      </sheetData>
      <sheetData sheetId="6327">
        <row r="1">
          <cell r="J1">
            <v>1.7453292519943295E-2</v>
          </cell>
        </row>
      </sheetData>
      <sheetData sheetId="6328">
        <row r="1">
          <cell r="J1">
            <v>1.7453292519943295E-2</v>
          </cell>
        </row>
      </sheetData>
      <sheetData sheetId="6329">
        <row r="1">
          <cell r="J1">
            <v>1.7453292519943295E-2</v>
          </cell>
        </row>
      </sheetData>
      <sheetData sheetId="6330">
        <row r="1">
          <cell r="J1">
            <v>1.7453292519943295E-2</v>
          </cell>
        </row>
      </sheetData>
      <sheetData sheetId="6331">
        <row r="1">
          <cell r="J1">
            <v>1.7453292519943295E-2</v>
          </cell>
        </row>
      </sheetData>
      <sheetData sheetId="6332">
        <row r="1">
          <cell r="J1">
            <v>1.7453292519943295E-2</v>
          </cell>
        </row>
      </sheetData>
      <sheetData sheetId="6333">
        <row r="1">
          <cell r="J1">
            <v>1.7453292519943295E-2</v>
          </cell>
        </row>
      </sheetData>
      <sheetData sheetId="6334">
        <row r="1">
          <cell r="J1">
            <v>1.7453292519943295E-2</v>
          </cell>
        </row>
      </sheetData>
      <sheetData sheetId="6335">
        <row r="1">
          <cell r="J1">
            <v>1.7453292519943295E-2</v>
          </cell>
        </row>
      </sheetData>
      <sheetData sheetId="6336">
        <row r="1">
          <cell r="J1">
            <v>1.7453292519943295E-2</v>
          </cell>
        </row>
      </sheetData>
      <sheetData sheetId="6337">
        <row r="1">
          <cell r="J1">
            <v>1.7453292519943295E-2</v>
          </cell>
        </row>
      </sheetData>
      <sheetData sheetId="6338">
        <row r="1">
          <cell r="J1">
            <v>1.7453292519943295E-2</v>
          </cell>
        </row>
      </sheetData>
      <sheetData sheetId="6339">
        <row r="1">
          <cell r="J1">
            <v>1.7453292519943295E-2</v>
          </cell>
        </row>
      </sheetData>
      <sheetData sheetId="6340">
        <row r="1">
          <cell r="J1">
            <v>1.7453292519943295E-2</v>
          </cell>
        </row>
      </sheetData>
      <sheetData sheetId="6341">
        <row r="1">
          <cell r="J1">
            <v>1.7453292519943295E-2</v>
          </cell>
        </row>
      </sheetData>
      <sheetData sheetId="6342">
        <row r="1">
          <cell r="J1">
            <v>1.7453292519943295E-2</v>
          </cell>
        </row>
      </sheetData>
      <sheetData sheetId="6343">
        <row r="1">
          <cell r="J1">
            <v>1.7453292519943295E-2</v>
          </cell>
        </row>
      </sheetData>
      <sheetData sheetId="6344">
        <row r="1">
          <cell r="J1">
            <v>1.7453292519943295E-2</v>
          </cell>
        </row>
      </sheetData>
      <sheetData sheetId="6345">
        <row r="1">
          <cell r="J1">
            <v>1.7453292519943295E-2</v>
          </cell>
        </row>
      </sheetData>
      <sheetData sheetId="6346">
        <row r="1">
          <cell r="J1">
            <v>1.7453292519943295E-2</v>
          </cell>
        </row>
      </sheetData>
      <sheetData sheetId="6347">
        <row r="1">
          <cell r="J1">
            <v>1.7453292519943295E-2</v>
          </cell>
        </row>
      </sheetData>
      <sheetData sheetId="6348">
        <row r="1">
          <cell r="J1">
            <v>1.7453292519943295E-2</v>
          </cell>
        </row>
      </sheetData>
      <sheetData sheetId="6349">
        <row r="1">
          <cell r="J1">
            <v>1.7453292519943295E-2</v>
          </cell>
        </row>
      </sheetData>
      <sheetData sheetId="6350">
        <row r="1">
          <cell r="J1">
            <v>1.7453292519943295E-2</v>
          </cell>
        </row>
      </sheetData>
      <sheetData sheetId="6351">
        <row r="1">
          <cell r="J1">
            <v>1.7453292519943295E-2</v>
          </cell>
        </row>
      </sheetData>
      <sheetData sheetId="6352">
        <row r="1">
          <cell r="J1">
            <v>1.7453292519943295E-2</v>
          </cell>
        </row>
      </sheetData>
      <sheetData sheetId="6353">
        <row r="1">
          <cell r="J1">
            <v>1.7453292519943295E-2</v>
          </cell>
        </row>
      </sheetData>
      <sheetData sheetId="6354">
        <row r="1">
          <cell r="J1">
            <v>1.7453292519943295E-2</v>
          </cell>
        </row>
      </sheetData>
      <sheetData sheetId="6355">
        <row r="1">
          <cell r="J1">
            <v>1.7453292519943295E-2</v>
          </cell>
        </row>
      </sheetData>
      <sheetData sheetId="6356">
        <row r="1">
          <cell r="J1">
            <v>1.7453292519943295E-2</v>
          </cell>
        </row>
      </sheetData>
      <sheetData sheetId="6357">
        <row r="1">
          <cell r="J1">
            <v>1.7453292519943295E-2</v>
          </cell>
        </row>
      </sheetData>
      <sheetData sheetId="6358">
        <row r="1">
          <cell r="J1">
            <v>1.7453292519943295E-2</v>
          </cell>
        </row>
      </sheetData>
      <sheetData sheetId="6359">
        <row r="1">
          <cell r="J1">
            <v>1.7453292519943295E-2</v>
          </cell>
        </row>
      </sheetData>
      <sheetData sheetId="6360">
        <row r="1">
          <cell r="J1">
            <v>1.7453292519943295E-2</v>
          </cell>
        </row>
      </sheetData>
      <sheetData sheetId="6361">
        <row r="1">
          <cell r="J1">
            <v>1.7453292519943295E-2</v>
          </cell>
        </row>
      </sheetData>
      <sheetData sheetId="6362">
        <row r="1">
          <cell r="J1">
            <v>1.7453292519943295E-2</v>
          </cell>
        </row>
      </sheetData>
      <sheetData sheetId="6363">
        <row r="1">
          <cell r="J1">
            <v>1.7453292519943295E-2</v>
          </cell>
        </row>
      </sheetData>
      <sheetData sheetId="6364">
        <row r="1">
          <cell r="J1">
            <v>1.7453292519943295E-2</v>
          </cell>
        </row>
      </sheetData>
      <sheetData sheetId="6365">
        <row r="1">
          <cell r="J1">
            <v>1.7453292519943295E-2</v>
          </cell>
        </row>
      </sheetData>
      <sheetData sheetId="6366">
        <row r="1">
          <cell r="J1">
            <v>1.7453292519943295E-2</v>
          </cell>
        </row>
      </sheetData>
      <sheetData sheetId="6367">
        <row r="1">
          <cell r="J1">
            <v>1.7453292519943295E-2</v>
          </cell>
        </row>
      </sheetData>
      <sheetData sheetId="6368">
        <row r="1">
          <cell r="J1">
            <v>1.7453292519943295E-2</v>
          </cell>
        </row>
      </sheetData>
      <sheetData sheetId="6369">
        <row r="1">
          <cell r="J1">
            <v>1.7453292519943295E-2</v>
          </cell>
        </row>
      </sheetData>
      <sheetData sheetId="6370">
        <row r="1">
          <cell r="J1">
            <v>1.7453292519943295E-2</v>
          </cell>
        </row>
      </sheetData>
      <sheetData sheetId="6371">
        <row r="1">
          <cell r="J1">
            <v>1.7453292519943295E-2</v>
          </cell>
        </row>
      </sheetData>
      <sheetData sheetId="6372">
        <row r="1">
          <cell r="J1">
            <v>1.7453292519943295E-2</v>
          </cell>
        </row>
      </sheetData>
      <sheetData sheetId="6373">
        <row r="1">
          <cell r="J1">
            <v>1.7453292519943295E-2</v>
          </cell>
        </row>
      </sheetData>
      <sheetData sheetId="6374">
        <row r="1">
          <cell r="J1">
            <v>1.7453292519943295E-2</v>
          </cell>
        </row>
      </sheetData>
      <sheetData sheetId="6375">
        <row r="1">
          <cell r="J1">
            <v>1.7453292519943295E-2</v>
          </cell>
        </row>
      </sheetData>
      <sheetData sheetId="6376">
        <row r="1">
          <cell r="J1">
            <v>1.7453292519943295E-2</v>
          </cell>
        </row>
      </sheetData>
      <sheetData sheetId="6377">
        <row r="1">
          <cell r="J1">
            <v>1.7453292519943295E-2</v>
          </cell>
        </row>
      </sheetData>
      <sheetData sheetId="6378">
        <row r="1">
          <cell r="J1">
            <v>1.7453292519943295E-2</v>
          </cell>
        </row>
      </sheetData>
      <sheetData sheetId="6379">
        <row r="1">
          <cell r="J1">
            <v>1.7453292519943295E-2</v>
          </cell>
        </row>
      </sheetData>
      <sheetData sheetId="6380">
        <row r="1">
          <cell r="J1">
            <v>1.7453292519943295E-2</v>
          </cell>
        </row>
      </sheetData>
      <sheetData sheetId="6381">
        <row r="1">
          <cell r="J1">
            <v>1.7453292519943295E-2</v>
          </cell>
        </row>
      </sheetData>
      <sheetData sheetId="6382">
        <row r="1">
          <cell r="J1">
            <v>1.7453292519943295E-2</v>
          </cell>
        </row>
      </sheetData>
      <sheetData sheetId="6383">
        <row r="1">
          <cell r="J1">
            <v>1.7453292519943295E-2</v>
          </cell>
        </row>
      </sheetData>
      <sheetData sheetId="6384">
        <row r="1">
          <cell r="J1">
            <v>1.7453292519943295E-2</v>
          </cell>
        </row>
      </sheetData>
      <sheetData sheetId="6385">
        <row r="1">
          <cell r="J1">
            <v>1.7453292519943295E-2</v>
          </cell>
        </row>
      </sheetData>
      <sheetData sheetId="6386">
        <row r="1">
          <cell r="J1">
            <v>1.7453292519943295E-2</v>
          </cell>
        </row>
      </sheetData>
      <sheetData sheetId="6387">
        <row r="1">
          <cell r="J1">
            <v>1.7453292519943295E-2</v>
          </cell>
        </row>
      </sheetData>
      <sheetData sheetId="6388">
        <row r="1">
          <cell r="J1">
            <v>1.7453292519943295E-2</v>
          </cell>
        </row>
      </sheetData>
      <sheetData sheetId="6389">
        <row r="1">
          <cell r="J1">
            <v>1.7453292519943295E-2</v>
          </cell>
        </row>
      </sheetData>
      <sheetData sheetId="6390">
        <row r="1">
          <cell r="J1">
            <v>1.7453292519943295E-2</v>
          </cell>
        </row>
      </sheetData>
      <sheetData sheetId="6391">
        <row r="1">
          <cell r="J1">
            <v>1.7453292519943295E-2</v>
          </cell>
        </row>
      </sheetData>
      <sheetData sheetId="6392">
        <row r="1">
          <cell r="J1">
            <v>1.7453292519943295E-2</v>
          </cell>
        </row>
      </sheetData>
      <sheetData sheetId="6393">
        <row r="1">
          <cell r="J1">
            <v>1.7453292519943295E-2</v>
          </cell>
        </row>
      </sheetData>
      <sheetData sheetId="6394">
        <row r="1">
          <cell r="J1">
            <v>1.7453292519943295E-2</v>
          </cell>
        </row>
      </sheetData>
      <sheetData sheetId="6395">
        <row r="1">
          <cell r="J1">
            <v>1.7453292519943295E-2</v>
          </cell>
        </row>
      </sheetData>
      <sheetData sheetId="6396">
        <row r="1">
          <cell r="J1">
            <v>1.7453292519943295E-2</v>
          </cell>
        </row>
      </sheetData>
      <sheetData sheetId="6397">
        <row r="1">
          <cell r="J1">
            <v>1.7453292519943295E-2</v>
          </cell>
        </row>
      </sheetData>
      <sheetData sheetId="6398">
        <row r="1">
          <cell r="J1">
            <v>1.7453292519943295E-2</v>
          </cell>
        </row>
      </sheetData>
      <sheetData sheetId="6399">
        <row r="1">
          <cell r="J1">
            <v>1.7453292519943295E-2</v>
          </cell>
        </row>
      </sheetData>
      <sheetData sheetId="6400">
        <row r="1">
          <cell r="J1">
            <v>1.7453292519943295E-2</v>
          </cell>
        </row>
      </sheetData>
      <sheetData sheetId="6401">
        <row r="1">
          <cell r="J1">
            <v>1.7453292519943295E-2</v>
          </cell>
        </row>
      </sheetData>
      <sheetData sheetId="6402">
        <row r="1">
          <cell r="J1">
            <v>1.7453292519943295E-2</v>
          </cell>
        </row>
      </sheetData>
      <sheetData sheetId="6403">
        <row r="1">
          <cell r="J1">
            <v>1.7453292519943295E-2</v>
          </cell>
        </row>
      </sheetData>
      <sheetData sheetId="6404">
        <row r="1">
          <cell r="J1">
            <v>1.7453292519943295E-2</v>
          </cell>
        </row>
      </sheetData>
      <sheetData sheetId="6405">
        <row r="1">
          <cell r="J1">
            <v>1.7453292519943295E-2</v>
          </cell>
        </row>
      </sheetData>
      <sheetData sheetId="6406">
        <row r="1">
          <cell r="J1">
            <v>1.7453292519943295E-2</v>
          </cell>
        </row>
      </sheetData>
      <sheetData sheetId="6407">
        <row r="1">
          <cell r="J1">
            <v>1.7453292519943295E-2</v>
          </cell>
        </row>
      </sheetData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>
        <row r="1">
          <cell r="J1">
            <v>1.7453292519943295E-2</v>
          </cell>
        </row>
      </sheetData>
      <sheetData sheetId="6565">
        <row r="1">
          <cell r="J1">
            <v>1.7453292519943295E-2</v>
          </cell>
        </row>
      </sheetData>
      <sheetData sheetId="6566">
        <row r="1">
          <cell r="J1">
            <v>1.7453292519943295E-2</v>
          </cell>
        </row>
      </sheetData>
      <sheetData sheetId="6567">
        <row r="1">
          <cell r="J1">
            <v>1.7453292519943295E-2</v>
          </cell>
        </row>
      </sheetData>
      <sheetData sheetId="6568">
        <row r="1">
          <cell r="J1">
            <v>1.7453292519943295E-2</v>
          </cell>
        </row>
      </sheetData>
      <sheetData sheetId="6569">
        <row r="1">
          <cell r="J1">
            <v>1.7453292519943295E-2</v>
          </cell>
        </row>
      </sheetData>
      <sheetData sheetId="6570">
        <row r="1">
          <cell r="J1">
            <v>1.7453292519943295E-2</v>
          </cell>
        </row>
      </sheetData>
      <sheetData sheetId="6571">
        <row r="1">
          <cell r="J1">
            <v>1.7453292519943295E-2</v>
          </cell>
        </row>
      </sheetData>
      <sheetData sheetId="6572">
        <row r="1">
          <cell r="J1">
            <v>1.7453292519943295E-2</v>
          </cell>
        </row>
      </sheetData>
      <sheetData sheetId="6573">
        <row r="1">
          <cell r="J1">
            <v>1.7453292519943295E-2</v>
          </cell>
        </row>
      </sheetData>
      <sheetData sheetId="6574">
        <row r="1">
          <cell r="J1">
            <v>1.7453292519943295E-2</v>
          </cell>
        </row>
      </sheetData>
      <sheetData sheetId="6575">
        <row r="1">
          <cell r="J1">
            <v>1.7453292519943295E-2</v>
          </cell>
        </row>
      </sheetData>
      <sheetData sheetId="6576">
        <row r="1">
          <cell r="J1">
            <v>1.7453292519943295E-2</v>
          </cell>
        </row>
      </sheetData>
      <sheetData sheetId="6577">
        <row r="1">
          <cell r="J1">
            <v>1.7453292519943295E-2</v>
          </cell>
        </row>
      </sheetData>
      <sheetData sheetId="6578">
        <row r="1">
          <cell r="J1">
            <v>1.7453292519943295E-2</v>
          </cell>
        </row>
      </sheetData>
      <sheetData sheetId="6579">
        <row r="1">
          <cell r="J1">
            <v>1.7453292519943295E-2</v>
          </cell>
        </row>
      </sheetData>
      <sheetData sheetId="6580">
        <row r="1">
          <cell r="J1">
            <v>1.7453292519943295E-2</v>
          </cell>
        </row>
      </sheetData>
      <sheetData sheetId="6581">
        <row r="1">
          <cell r="J1">
            <v>1.7453292519943295E-2</v>
          </cell>
        </row>
      </sheetData>
      <sheetData sheetId="6582">
        <row r="1">
          <cell r="J1">
            <v>1.7453292519943295E-2</v>
          </cell>
        </row>
      </sheetData>
      <sheetData sheetId="6583">
        <row r="1">
          <cell r="J1">
            <v>1.7453292519943295E-2</v>
          </cell>
        </row>
      </sheetData>
      <sheetData sheetId="6584">
        <row r="1">
          <cell r="J1">
            <v>1.7453292519943295E-2</v>
          </cell>
        </row>
      </sheetData>
      <sheetData sheetId="6585">
        <row r="1">
          <cell r="J1">
            <v>1.7453292519943295E-2</v>
          </cell>
        </row>
      </sheetData>
      <sheetData sheetId="6586">
        <row r="1">
          <cell r="J1">
            <v>1.7453292519943295E-2</v>
          </cell>
        </row>
      </sheetData>
      <sheetData sheetId="6587">
        <row r="1">
          <cell r="J1">
            <v>1.7453292519943295E-2</v>
          </cell>
        </row>
      </sheetData>
      <sheetData sheetId="6588">
        <row r="1">
          <cell r="J1">
            <v>1.7453292519943295E-2</v>
          </cell>
        </row>
      </sheetData>
      <sheetData sheetId="6589">
        <row r="1">
          <cell r="J1">
            <v>1.7453292519943295E-2</v>
          </cell>
        </row>
      </sheetData>
      <sheetData sheetId="6590">
        <row r="1">
          <cell r="J1">
            <v>1.7453292519943295E-2</v>
          </cell>
        </row>
      </sheetData>
      <sheetData sheetId="6591">
        <row r="1">
          <cell r="J1">
            <v>1.7453292519943295E-2</v>
          </cell>
        </row>
      </sheetData>
      <sheetData sheetId="6592">
        <row r="1">
          <cell r="J1">
            <v>1.7453292519943295E-2</v>
          </cell>
        </row>
      </sheetData>
      <sheetData sheetId="6593">
        <row r="1">
          <cell r="J1">
            <v>1.7453292519943295E-2</v>
          </cell>
        </row>
      </sheetData>
      <sheetData sheetId="6594">
        <row r="1">
          <cell r="J1">
            <v>1.7453292519943295E-2</v>
          </cell>
        </row>
      </sheetData>
      <sheetData sheetId="6595">
        <row r="1">
          <cell r="J1">
            <v>1.7453292519943295E-2</v>
          </cell>
        </row>
      </sheetData>
      <sheetData sheetId="6596">
        <row r="1">
          <cell r="J1">
            <v>1.7453292519943295E-2</v>
          </cell>
        </row>
      </sheetData>
      <sheetData sheetId="6597">
        <row r="1">
          <cell r="J1">
            <v>1.7453292519943295E-2</v>
          </cell>
        </row>
      </sheetData>
      <sheetData sheetId="6598">
        <row r="1">
          <cell r="J1">
            <v>1.7453292519943295E-2</v>
          </cell>
        </row>
      </sheetData>
      <sheetData sheetId="6599">
        <row r="1">
          <cell r="J1">
            <v>1.7453292519943295E-2</v>
          </cell>
        </row>
      </sheetData>
      <sheetData sheetId="6600">
        <row r="1">
          <cell r="J1">
            <v>1.7453292519943295E-2</v>
          </cell>
        </row>
      </sheetData>
      <sheetData sheetId="6601">
        <row r="1">
          <cell r="J1">
            <v>1.7453292519943295E-2</v>
          </cell>
        </row>
      </sheetData>
      <sheetData sheetId="6602">
        <row r="1">
          <cell r="J1">
            <v>1.7453292519943295E-2</v>
          </cell>
        </row>
      </sheetData>
      <sheetData sheetId="6603">
        <row r="1">
          <cell r="J1">
            <v>1.7453292519943295E-2</v>
          </cell>
        </row>
      </sheetData>
      <sheetData sheetId="6604">
        <row r="1">
          <cell r="J1">
            <v>1.7453292519943295E-2</v>
          </cell>
        </row>
      </sheetData>
      <sheetData sheetId="6605">
        <row r="1">
          <cell r="J1">
            <v>1.7453292519943295E-2</v>
          </cell>
        </row>
      </sheetData>
      <sheetData sheetId="6606">
        <row r="1">
          <cell r="J1">
            <v>1.7453292519943295E-2</v>
          </cell>
        </row>
      </sheetData>
      <sheetData sheetId="6607">
        <row r="1">
          <cell r="J1">
            <v>1.7453292519943295E-2</v>
          </cell>
        </row>
      </sheetData>
      <sheetData sheetId="6608">
        <row r="1">
          <cell r="J1">
            <v>1.7453292519943295E-2</v>
          </cell>
        </row>
      </sheetData>
      <sheetData sheetId="6609">
        <row r="1">
          <cell r="J1">
            <v>1.7453292519943295E-2</v>
          </cell>
        </row>
      </sheetData>
      <sheetData sheetId="6610">
        <row r="1">
          <cell r="J1">
            <v>1.7453292519943295E-2</v>
          </cell>
        </row>
      </sheetData>
      <sheetData sheetId="6611">
        <row r="1">
          <cell r="J1">
            <v>1.7453292519943295E-2</v>
          </cell>
        </row>
      </sheetData>
      <sheetData sheetId="6612">
        <row r="1">
          <cell r="J1">
            <v>1.7453292519943295E-2</v>
          </cell>
        </row>
      </sheetData>
      <sheetData sheetId="6613">
        <row r="1">
          <cell r="J1">
            <v>1.7453292519943295E-2</v>
          </cell>
        </row>
      </sheetData>
      <sheetData sheetId="6614">
        <row r="1">
          <cell r="J1">
            <v>1.7453292519943295E-2</v>
          </cell>
        </row>
      </sheetData>
      <sheetData sheetId="6615">
        <row r="1">
          <cell r="J1">
            <v>1.7453292519943295E-2</v>
          </cell>
        </row>
      </sheetData>
      <sheetData sheetId="6616">
        <row r="1">
          <cell r="J1">
            <v>1.7453292519943295E-2</v>
          </cell>
        </row>
      </sheetData>
      <sheetData sheetId="6617">
        <row r="1">
          <cell r="J1">
            <v>1.7453292519943295E-2</v>
          </cell>
        </row>
      </sheetData>
      <sheetData sheetId="6618">
        <row r="1">
          <cell r="J1">
            <v>1.7453292519943295E-2</v>
          </cell>
        </row>
      </sheetData>
      <sheetData sheetId="6619">
        <row r="1">
          <cell r="J1">
            <v>1.7453292519943295E-2</v>
          </cell>
        </row>
      </sheetData>
      <sheetData sheetId="6620">
        <row r="1">
          <cell r="J1">
            <v>1.7453292519943295E-2</v>
          </cell>
        </row>
      </sheetData>
      <sheetData sheetId="6621">
        <row r="1">
          <cell r="J1">
            <v>1.7453292519943295E-2</v>
          </cell>
        </row>
      </sheetData>
      <sheetData sheetId="6622">
        <row r="1">
          <cell r="J1">
            <v>1.7453292519943295E-2</v>
          </cell>
        </row>
      </sheetData>
      <sheetData sheetId="6623">
        <row r="1">
          <cell r="J1">
            <v>1.7453292519943295E-2</v>
          </cell>
        </row>
      </sheetData>
      <sheetData sheetId="6624">
        <row r="1">
          <cell r="J1">
            <v>1.7453292519943295E-2</v>
          </cell>
        </row>
      </sheetData>
      <sheetData sheetId="6625">
        <row r="1">
          <cell r="J1">
            <v>1.7453292519943295E-2</v>
          </cell>
        </row>
      </sheetData>
      <sheetData sheetId="6626">
        <row r="1">
          <cell r="J1">
            <v>1.7453292519943295E-2</v>
          </cell>
        </row>
      </sheetData>
      <sheetData sheetId="6627">
        <row r="1">
          <cell r="J1">
            <v>1.7453292519943295E-2</v>
          </cell>
        </row>
      </sheetData>
      <sheetData sheetId="6628">
        <row r="1">
          <cell r="J1">
            <v>1.7453292519943295E-2</v>
          </cell>
        </row>
      </sheetData>
      <sheetData sheetId="6629">
        <row r="1">
          <cell r="J1">
            <v>1.7453292519943295E-2</v>
          </cell>
        </row>
      </sheetData>
      <sheetData sheetId="6630">
        <row r="1">
          <cell r="J1">
            <v>1.7453292519943295E-2</v>
          </cell>
        </row>
      </sheetData>
      <sheetData sheetId="6631">
        <row r="1">
          <cell r="J1">
            <v>1.7453292519943295E-2</v>
          </cell>
        </row>
      </sheetData>
      <sheetData sheetId="6632">
        <row r="1">
          <cell r="J1">
            <v>1.7453292519943295E-2</v>
          </cell>
        </row>
      </sheetData>
      <sheetData sheetId="6633">
        <row r="1">
          <cell r="J1">
            <v>1.7453292519943295E-2</v>
          </cell>
        </row>
      </sheetData>
      <sheetData sheetId="6634">
        <row r="1">
          <cell r="J1">
            <v>1.7453292519943295E-2</v>
          </cell>
        </row>
      </sheetData>
      <sheetData sheetId="6635">
        <row r="1">
          <cell r="J1">
            <v>1.7453292519943295E-2</v>
          </cell>
        </row>
      </sheetData>
      <sheetData sheetId="6636">
        <row r="1">
          <cell r="J1">
            <v>1.7453292519943295E-2</v>
          </cell>
        </row>
      </sheetData>
      <sheetData sheetId="6637">
        <row r="1">
          <cell r="J1">
            <v>1.7453292519943295E-2</v>
          </cell>
        </row>
      </sheetData>
      <sheetData sheetId="6638">
        <row r="1">
          <cell r="J1">
            <v>1.7453292519943295E-2</v>
          </cell>
        </row>
      </sheetData>
      <sheetData sheetId="6639">
        <row r="1">
          <cell r="J1">
            <v>1.7453292519943295E-2</v>
          </cell>
        </row>
      </sheetData>
      <sheetData sheetId="6640">
        <row r="1">
          <cell r="J1">
            <v>1.7453292519943295E-2</v>
          </cell>
        </row>
      </sheetData>
      <sheetData sheetId="6641">
        <row r="1">
          <cell r="J1">
            <v>1.7453292519943295E-2</v>
          </cell>
        </row>
      </sheetData>
      <sheetData sheetId="6642">
        <row r="1">
          <cell r="J1">
            <v>1.7453292519943295E-2</v>
          </cell>
        </row>
      </sheetData>
      <sheetData sheetId="6643">
        <row r="1">
          <cell r="J1">
            <v>1.7453292519943295E-2</v>
          </cell>
        </row>
      </sheetData>
      <sheetData sheetId="6644">
        <row r="1">
          <cell r="J1">
            <v>1.7453292519943295E-2</v>
          </cell>
        </row>
      </sheetData>
      <sheetData sheetId="6645">
        <row r="1">
          <cell r="J1">
            <v>1.7453292519943295E-2</v>
          </cell>
        </row>
      </sheetData>
      <sheetData sheetId="6646">
        <row r="1">
          <cell r="J1">
            <v>1.7453292519943295E-2</v>
          </cell>
        </row>
      </sheetData>
      <sheetData sheetId="6647">
        <row r="1">
          <cell r="J1">
            <v>1.7453292519943295E-2</v>
          </cell>
        </row>
      </sheetData>
      <sheetData sheetId="6648">
        <row r="1">
          <cell r="J1">
            <v>1.7453292519943295E-2</v>
          </cell>
        </row>
      </sheetData>
      <sheetData sheetId="6649">
        <row r="1">
          <cell r="J1">
            <v>1.7453292519943295E-2</v>
          </cell>
        </row>
      </sheetData>
      <sheetData sheetId="6650">
        <row r="1">
          <cell r="J1">
            <v>1.7453292519943295E-2</v>
          </cell>
        </row>
      </sheetData>
      <sheetData sheetId="6651">
        <row r="1">
          <cell r="J1">
            <v>1.7453292519943295E-2</v>
          </cell>
        </row>
      </sheetData>
      <sheetData sheetId="6652">
        <row r="1">
          <cell r="J1">
            <v>1.7453292519943295E-2</v>
          </cell>
        </row>
      </sheetData>
      <sheetData sheetId="6653">
        <row r="1">
          <cell r="J1">
            <v>1.7453292519943295E-2</v>
          </cell>
        </row>
      </sheetData>
      <sheetData sheetId="6654">
        <row r="1">
          <cell r="J1">
            <v>1.7453292519943295E-2</v>
          </cell>
        </row>
      </sheetData>
      <sheetData sheetId="6655">
        <row r="1">
          <cell r="J1">
            <v>1.7453292519943295E-2</v>
          </cell>
        </row>
      </sheetData>
      <sheetData sheetId="6656">
        <row r="1">
          <cell r="J1">
            <v>1.7453292519943295E-2</v>
          </cell>
        </row>
      </sheetData>
      <sheetData sheetId="6657">
        <row r="1">
          <cell r="J1">
            <v>1.7453292519943295E-2</v>
          </cell>
        </row>
      </sheetData>
      <sheetData sheetId="6658">
        <row r="1">
          <cell r="J1">
            <v>1.7453292519943295E-2</v>
          </cell>
        </row>
      </sheetData>
      <sheetData sheetId="6659">
        <row r="1">
          <cell r="J1">
            <v>1.7453292519943295E-2</v>
          </cell>
        </row>
      </sheetData>
      <sheetData sheetId="6660">
        <row r="1">
          <cell r="J1">
            <v>1.7453292519943295E-2</v>
          </cell>
        </row>
      </sheetData>
      <sheetData sheetId="6661">
        <row r="1">
          <cell r="J1">
            <v>1.7453292519943295E-2</v>
          </cell>
        </row>
      </sheetData>
      <sheetData sheetId="6662">
        <row r="1">
          <cell r="J1">
            <v>1.7453292519943295E-2</v>
          </cell>
        </row>
      </sheetData>
      <sheetData sheetId="6663">
        <row r="1">
          <cell r="J1">
            <v>1.7453292519943295E-2</v>
          </cell>
        </row>
      </sheetData>
      <sheetData sheetId="6664">
        <row r="1">
          <cell r="J1">
            <v>1.7453292519943295E-2</v>
          </cell>
        </row>
      </sheetData>
      <sheetData sheetId="6665">
        <row r="1">
          <cell r="J1">
            <v>1.7453292519943295E-2</v>
          </cell>
        </row>
      </sheetData>
      <sheetData sheetId="6666">
        <row r="1">
          <cell r="J1">
            <v>1.7453292519943295E-2</v>
          </cell>
        </row>
      </sheetData>
      <sheetData sheetId="6667">
        <row r="1">
          <cell r="J1">
            <v>1.7453292519943295E-2</v>
          </cell>
        </row>
      </sheetData>
      <sheetData sheetId="6668">
        <row r="1">
          <cell r="J1">
            <v>1.7453292519943295E-2</v>
          </cell>
        </row>
      </sheetData>
      <sheetData sheetId="6669">
        <row r="1">
          <cell r="J1">
            <v>1.7453292519943295E-2</v>
          </cell>
        </row>
      </sheetData>
      <sheetData sheetId="6670">
        <row r="1">
          <cell r="J1">
            <v>1.7453292519943295E-2</v>
          </cell>
        </row>
      </sheetData>
      <sheetData sheetId="6671">
        <row r="1">
          <cell r="J1">
            <v>1.7453292519943295E-2</v>
          </cell>
        </row>
      </sheetData>
      <sheetData sheetId="6672">
        <row r="1">
          <cell r="J1">
            <v>1.7453292519943295E-2</v>
          </cell>
        </row>
      </sheetData>
      <sheetData sheetId="6673">
        <row r="1">
          <cell r="J1">
            <v>1.7453292519943295E-2</v>
          </cell>
        </row>
      </sheetData>
      <sheetData sheetId="6674">
        <row r="1">
          <cell r="J1">
            <v>1.7453292519943295E-2</v>
          </cell>
        </row>
      </sheetData>
      <sheetData sheetId="6675">
        <row r="1">
          <cell r="J1">
            <v>1.7453292519943295E-2</v>
          </cell>
        </row>
      </sheetData>
      <sheetData sheetId="6676">
        <row r="1">
          <cell r="J1">
            <v>1.7453292519943295E-2</v>
          </cell>
        </row>
      </sheetData>
      <sheetData sheetId="6677">
        <row r="1">
          <cell r="J1">
            <v>1.7453292519943295E-2</v>
          </cell>
        </row>
      </sheetData>
      <sheetData sheetId="6678">
        <row r="1">
          <cell r="J1">
            <v>1.7453292519943295E-2</v>
          </cell>
        </row>
      </sheetData>
      <sheetData sheetId="6679">
        <row r="1">
          <cell r="J1">
            <v>1.7453292519943295E-2</v>
          </cell>
        </row>
      </sheetData>
      <sheetData sheetId="6680">
        <row r="1">
          <cell r="J1">
            <v>1.7453292519943295E-2</v>
          </cell>
        </row>
      </sheetData>
      <sheetData sheetId="6681">
        <row r="1">
          <cell r="J1">
            <v>1.7453292519943295E-2</v>
          </cell>
        </row>
      </sheetData>
      <sheetData sheetId="6682">
        <row r="1">
          <cell r="J1">
            <v>1.7453292519943295E-2</v>
          </cell>
        </row>
      </sheetData>
      <sheetData sheetId="6683">
        <row r="1">
          <cell r="J1">
            <v>1.7453292519943295E-2</v>
          </cell>
        </row>
      </sheetData>
      <sheetData sheetId="6684">
        <row r="1">
          <cell r="J1">
            <v>1.7453292519943295E-2</v>
          </cell>
        </row>
      </sheetData>
      <sheetData sheetId="6685">
        <row r="1">
          <cell r="J1">
            <v>1.7453292519943295E-2</v>
          </cell>
        </row>
      </sheetData>
      <sheetData sheetId="6686">
        <row r="1">
          <cell r="J1">
            <v>1.7453292519943295E-2</v>
          </cell>
        </row>
      </sheetData>
      <sheetData sheetId="6687">
        <row r="1">
          <cell r="J1">
            <v>1.7453292519943295E-2</v>
          </cell>
        </row>
      </sheetData>
      <sheetData sheetId="6688">
        <row r="1">
          <cell r="J1">
            <v>1.7453292519943295E-2</v>
          </cell>
        </row>
      </sheetData>
      <sheetData sheetId="6689">
        <row r="1">
          <cell r="J1">
            <v>1.7453292519943295E-2</v>
          </cell>
        </row>
      </sheetData>
      <sheetData sheetId="6690">
        <row r="1">
          <cell r="J1">
            <v>1.7453292519943295E-2</v>
          </cell>
        </row>
      </sheetData>
      <sheetData sheetId="6691">
        <row r="1">
          <cell r="J1">
            <v>1.7453292519943295E-2</v>
          </cell>
        </row>
      </sheetData>
      <sheetData sheetId="6692">
        <row r="1">
          <cell r="J1">
            <v>1.7453292519943295E-2</v>
          </cell>
        </row>
      </sheetData>
      <sheetData sheetId="6693">
        <row r="1">
          <cell r="J1">
            <v>1.7453292519943295E-2</v>
          </cell>
        </row>
      </sheetData>
      <sheetData sheetId="6694">
        <row r="1">
          <cell r="J1">
            <v>1.7453292519943295E-2</v>
          </cell>
        </row>
      </sheetData>
      <sheetData sheetId="6695">
        <row r="1">
          <cell r="J1">
            <v>1.7453292519943295E-2</v>
          </cell>
        </row>
      </sheetData>
      <sheetData sheetId="6696">
        <row r="1">
          <cell r="J1">
            <v>1.7453292519943295E-2</v>
          </cell>
        </row>
      </sheetData>
      <sheetData sheetId="6697">
        <row r="1">
          <cell r="J1">
            <v>1.7453292519943295E-2</v>
          </cell>
        </row>
      </sheetData>
      <sheetData sheetId="6698">
        <row r="1">
          <cell r="J1">
            <v>1.7453292519943295E-2</v>
          </cell>
        </row>
      </sheetData>
      <sheetData sheetId="6699">
        <row r="1">
          <cell r="J1">
            <v>1.7453292519943295E-2</v>
          </cell>
        </row>
      </sheetData>
      <sheetData sheetId="6700">
        <row r="1">
          <cell r="J1">
            <v>1.7453292519943295E-2</v>
          </cell>
        </row>
      </sheetData>
      <sheetData sheetId="6701">
        <row r="1">
          <cell r="J1">
            <v>1.7453292519943295E-2</v>
          </cell>
        </row>
      </sheetData>
      <sheetData sheetId="6702">
        <row r="1">
          <cell r="J1">
            <v>1.7453292519943295E-2</v>
          </cell>
        </row>
      </sheetData>
      <sheetData sheetId="6703">
        <row r="1">
          <cell r="J1">
            <v>1.7453292519943295E-2</v>
          </cell>
        </row>
      </sheetData>
      <sheetData sheetId="6704">
        <row r="1">
          <cell r="J1">
            <v>1.7453292519943295E-2</v>
          </cell>
        </row>
      </sheetData>
      <sheetData sheetId="6705">
        <row r="1">
          <cell r="J1">
            <v>1.7453292519943295E-2</v>
          </cell>
        </row>
      </sheetData>
      <sheetData sheetId="6706">
        <row r="1">
          <cell r="J1">
            <v>1.7453292519943295E-2</v>
          </cell>
        </row>
      </sheetData>
      <sheetData sheetId="6707">
        <row r="1">
          <cell r="J1">
            <v>1.7453292519943295E-2</v>
          </cell>
        </row>
      </sheetData>
      <sheetData sheetId="6708">
        <row r="1">
          <cell r="J1">
            <v>1.7453292519943295E-2</v>
          </cell>
        </row>
      </sheetData>
      <sheetData sheetId="6709">
        <row r="1">
          <cell r="J1">
            <v>1.7453292519943295E-2</v>
          </cell>
        </row>
      </sheetData>
      <sheetData sheetId="6710">
        <row r="1">
          <cell r="J1">
            <v>1.7453292519943295E-2</v>
          </cell>
        </row>
      </sheetData>
      <sheetData sheetId="6711">
        <row r="1">
          <cell r="J1">
            <v>1.7453292519943295E-2</v>
          </cell>
        </row>
      </sheetData>
      <sheetData sheetId="6712">
        <row r="1">
          <cell r="J1">
            <v>1.7453292519943295E-2</v>
          </cell>
        </row>
      </sheetData>
      <sheetData sheetId="6713">
        <row r="1">
          <cell r="J1">
            <v>1.7453292519943295E-2</v>
          </cell>
        </row>
      </sheetData>
      <sheetData sheetId="6714">
        <row r="1">
          <cell r="J1">
            <v>1.7453292519943295E-2</v>
          </cell>
        </row>
      </sheetData>
      <sheetData sheetId="6715">
        <row r="1">
          <cell r="J1">
            <v>1.7453292519943295E-2</v>
          </cell>
        </row>
      </sheetData>
      <sheetData sheetId="6716">
        <row r="1">
          <cell r="J1">
            <v>1.7453292519943295E-2</v>
          </cell>
        </row>
      </sheetData>
      <sheetData sheetId="6717">
        <row r="1">
          <cell r="J1">
            <v>1.7453292519943295E-2</v>
          </cell>
        </row>
      </sheetData>
      <sheetData sheetId="6718">
        <row r="1">
          <cell r="J1">
            <v>1.7453292519943295E-2</v>
          </cell>
        </row>
      </sheetData>
      <sheetData sheetId="6719">
        <row r="1">
          <cell r="J1">
            <v>1.7453292519943295E-2</v>
          </cell>
        </row>
      </sheetData>
      <sheetData sheetId="6720">
        <row r="1">
          <cell r="J1">
            <v>1.7453292519943295E-2</v>
          </cell>
        </row>
      </sheetData>
      <sheetData sheetId="6721">
        <row r="1">
          <cell r="J1">
            <v>1.7453292519943295E-2</v>
          </cell>
        </row>
      </sheetData>
      <sheetData sheetId="6722">
        <row r="1">
          <cell r="J1">
            <v>1.7453292519943295E-2</v>
          </cell>
        </row>
      </sheetData>
      <sheetData sheetId="6723">
        <row r="1">
          <cell r="J1">
            <v>1.7453292519943295E-2</v>
          </cell>
        </row>
      </sheetData>
      <sheetData sheetId="6724">
        <row r="1">
          <cell r="J1">
            <v>1.7453292519943295E-2</v>
          </cell>
        </row>
      </sheetData>
      <sheetData sheetId="6725">
        <row r="1">
          <cell r="J1">
            <v>1.7453292519943295E-2</v>
          </cell>
        </row>
      </sheetData>
      <sheetData sheetId="6726">
        <row r="1">
          <cell r="J1">
            <v>1.7453292519943295E-2</v>
          </cell>
        </row>
      </sheetData>
      <sheetData sheetId="6727">
        <row r="1">
          <cell r="J1">
            <v>1.7453292519943295E-2</v>
          </cell>
        </row>
      </sheetData>
      <sheetData sheetId="6728">
        <row r="1">
          <cell r="J1">
            <v>1.7453292519943295E-2</v>
          </cell>
        </row>
      </sheetData>
      <sheetData sheetId="6729">
        <row r="1">
          <cell r="J1">
            <v>1.7453292519943295E-2</v>
          </cell>
        </row>
      </sheetData>
      <sheetData sheetId="6730">
        <row r="1">
          <cell r="J1">
            <v>1.7453292519943295E-2</v>
          </cell>
        </row>
      </sheetData>
      <sheetData sheetId="6731">
        <row r="1">
          <cell r="J1">
            <v>1.7453292519943295E-2</v>
          </cell>
        </row>
      </sheetData>
      <sheetData sheetId="6732">
        <row r="1">
          <cell r="J1">
            <v>1.7453292519943295E-2</v>
          </cell>
        </row>
      </sheetData>
      <sheetData sheetId="6733">
        <row r="1">
          <cell r="J1">
            <v>1.7453292519943295E-2</v>
          </cell>
        </row>
      </sheetData>
      <sheetData sheetId="6734">
        <row r="1">
          <cell r="J1">
            <v>1.7453292519943295E-2</v>
          </cell>
        </row>
      </sheetData>
      <sheetData sheetId="6735">
        <row r="1">
          <cell r="J1">
            <v>1.7453292519943295E-2</v>
          </cell>
        </row>
      </sheetData>
      <sheetData sheetId="6736">
        <row r="1">
          <cell r="J1">
            <v>1.7453292519943295E-2</v>
          </cell>
        </row>
      </sheetData>
      <sheetData sheetId="6737">
        <row r="1">
          <cell r="J1">
            <v>1.7453292519943295E-2</v>
          </cell>
        </row>
      </sheetData>
      <sheetData sheetId="6738">
        <row r="1">
          <cell r="J1">
            <v>1.7453292519943295E-2</v>
          </cell>
        </row>
      </sheetData>
      <sheetData sheetId="6739">
        <row r="1">
          <cell r="J1">
            <v>1.7453292519943295E-2</v>
          </cell>
        </row>
      </sheetData>
      <sheetData sheetId="6740">
        <row r="1">
          <cell r="J1">
            <v>1.7453292519943295E-2</v>
          </cell>
        </row>
      </sheetData>
      <sheetData sheetId="6741">
        <row r="1">
          <cell r="J1">
            <v>1.7453292519943295E-2</v>
          </cell>
        </row>
      </sheetData>
      <sheetData sheetId="6742">
        <row r="1">
          <cell r="J1">
            <v>1.7453292519943295E-2</v>
          </cell>
        </row>
      </sheetData>
      <sheetData sheetId="6743">
        <row r="1">
          <cell r="J1">
            <v>1.7453292519943295E-2</v>
          </cell>
        </row>
      </sheetData>
      <sheetData sheetId="6744">
        <row r="1">
          <cell r="J1">
            <v>1.7453292519943295E-2</v>
          </cell>
        </row>
      </sheetData>
      <sheetData sheetId="6745">
        <row r="1">
          <cell r="J1">
            <v>1.7453292519943295E-2</v>
          </cell>
        </row>
      </sheetData>
      <sheetData sheetId="6746">
        <row r="1">
          <cell r="J1">
            <v>1.7453292519943295E-2</v>
          </cell>
        </row>
      </sheetData>
      <sheetData sheetId="6747">
        <row r="1">
          <cell r="J1">
            <v>1.7453292519943295E-2</v>
          </cell>
        </row>
      </sheetData>
      <sheetData sheetId="6748">
        <row r="1">
          <cell r="J1">
            <v>1.7453292519943295E-2</v>
          </cell>
        </row>
      </sheetData>
      <sheetData sheetId="6749">
        <row r="1">
          <cell r="J1">
            <v>1.7453292519943295E-2</v>
          </cell>
        </row>
      </sheetData>
      <sheetData sheetId="6750">
        <row r="1">
          <cell r="J1">
            <v>1.7453292519943295E-2</v>
          </cell>
        </row>
      </sheetData>
      <sheetData sheetId="6751">
        <row r="1">
          <cell r="J1">
            <v>1.7453292519943295E-2</v>
          </cell>
        </row>
      </sheetData>
      <sheetData sheetId="6752">
        <row r="1">
          <cell r="J1">
            <v>1.7453292519943295E-2</v>
          </cell>
        </row>
      </sheetData>
      <sheetData sheetId="6753">
        <row r="1">
          <cell r="J1">
            <v>1.7453292519943295E-2</v>
          </cell>
        </row>
      </sheetData>
      <sheetData sheetId="6754">
        <row r="1">
          <cell r="J1">
            <v>1.7453292519943295E-2</v>
          </cell>
        </row>
      </sheetData>
      <sheetData sheetId="6755">
        <row r="1">
          <cell r="J1">
            <v>1.7453292519943295E-2</v>
          </cell>
        </row>
      </sheetData>
      <sheetData sheetId="6756">
        <row r="1">
          <cell r="J1">
            <v>1.7453292519943295E-2</v>
          </cell>
        </row>
      </sheetData>
      <sheetData sheetId="6757">
        <row r="1">
          <cell r="J1">
            <v>1.7453292519943295E-2</v>
          </cell>
        </row>
      </sheetData>
      <sheetData sheetId="6758">
        <row r="1">
          <cell r="J1">
            <v>1.7453292519943295E-2</v>
          </cell>
        </row>
      </sheetData>
      <sheetData sheetId="6759">
        <row r="1">
          <cell r="J1">
            <v>1.7453292519943295E-2</v>
          </cell>
        </row>
      </sheetData>
      <sheetData sheetId="6760">
        <row r="1">
          <cell r="J1">
            <v>1.7453292519943295E-2</v>
          </cell>
        </row>
      </sheetData>
      <sheetData sheetId="6761">
        <row r="1">
          <cell r="J1">
            <v>1.7453292519943295E-2</v>
          </cell>
        </row>
      </sheetData>
      <sheetData sheetId="6762">
        <row r="1">
          <cell r="J1">
            <v>1.7453292519943295E-2</v>
          </cell>
        </row>
      </sheetData>
      <sheetData sheetId="6763">
        <row r="1">
          <cell r="J1">
            <v>1.7453292519943295E-2</v>
          </cell>
        </row>
      </sheetData>
      <sheetData sheetId="6764">
        <row r="1">
          <cell r="J1">
            <v>1.7453292519943295E-2</v>
          </cell>
        </row>
      </sheetData>
      <sheetData sheetId="6765">
        <row r="1">
          <cell r="J1">
            <v>1.7453292519943295E-2</v>
          </cell>
        </row>
      </sheetData>
      <sheetData sheetId="6766">
        <row r="1">
          <cell r="J1">
            <v>1.7453292519943295E-2</v>
          </cell>
        </row>
      </sheetData>
      <sheetData sheetId="6767">
        <row r="1">
          <cell r="J1">
            <v>1.7453292519943295E-2</v>
          </cell>
        </row>
      </sheetData>
      <sheetData sheetId="6768">
        <row r="1">
          <cell r="J1">
            <v>1.7453292519943295E-2</v>
          </cell>
        </row>
      </sheetData>
      <sheetData sheetId="6769">
        <row r="1">
          <cell r="J1">
            <v>1.7453292519943295E-2</v>
          </cell>
        </row>
      </sheetData>
      <sheetData sheetId="6770">
        <row r="1">
          <cell r="J1">
            <v>1.7453292519943295E-2</v>
          </cell>
        </row>
      </sheetData>
      <sheetData sheetId="6771">
        <row r="1">
          <cell r="J1">
            <v>1.7453292519943295E-2</v>
          </cell>
        </row>
      </sheetData>
      <sheetData sheetId="6772">
        <row r="1">
          <cell r="J1">
            <v>1.7453292519943295E-2</v>
          </cell>
        </row>
      </sheetData>
      <sheetData sheetId="6773">
        <row r="1">
          <cell r="J1">
            <v>1.7453292519943295E-2</v>
          </cell>
        </row>
      </sheetData>
      <sheetData sheetId="6774">
        <row r="1">
          <cell r="J1">
            <v>1.7453292519943295E-2</v>
          </cell>
        </row>
      </sheetData>
      <sheetData sheetId="6775">
        <row r="1">
          <cell r="J1">
            <v>1.7453292519943295E-2</v>
          </cell>
        </row>
      </sheetData>
      <sheetData sheetId="6776">
        <row r="1">
          <cell r="J1">
            <v>1.7453292519943295E-2</v>
          </cell>
        </row>
      </sheetData>
      <sheetData sheetId="6777">
        <row r="1">
          <cell r="J1">
            <v>1.7453292519943295E-2</v>
          </cell>
        </row>
      </sheetData>
      <sheetData sheetId="6778">
        <row r="1">
          <cell r="J1">
            <v>1.7453292519943295E-2</v>
          </cell>
        </row>
      </sheetData>
      <sheetData sheetId="6779">
        <row r="1">
          <cell r="J1">
            <v>1.7453292519943295E-2</v>
          </cell>
        </row>
      </sheetData>
      <sheetData sheetId="6780">
        <row r="1">
          <cell r="J1">
            <v>1.7453292519943295E-2</v>
          </cell>
        </row>
      </sheetData>
      <sheetData sheetId="6781">
        <row r="1">
          <cell r="J1">
            <v>1.7453292519943295E-2</v>
          </cell>
        </row>
      </sheetData>
      <sheetData sheetId="6782">
        <row r="1">
          <cell r="J1">
            <v>1.7453292519943295E-2</v>
          </cell>
        </row>
      </sheetData>
      <sheetData sheetId="6783">
        <row r="1">
          <cell r="J1">
            <v>1.7453292519943295E-2</v>
          </cell>
        </row>
      </sheetData>
      <sheetData sheetId="6784">
        <row r="1">
          <cell r="J1">
            <v>1.7453292519943295E-2</v>
          </cell>
        </row>
      </sheetData>
      <sheetData sheetId="6785">
        <row r="1">
          <cell r="J1">
            <v>1.7453292519943295E-2</v>
          </cell>
        </row>
      </sheetData>
      <sheetData sheetId="6786">
        <row r="1">
          <cell r="J1">
            <v>1.7453292519943295E-2</v>
          </cell>
        </row>
      </sheetData>
      <sheetData sheetId="6787">
        <row r="1">
          <cell r="J1">
            <v>1.7453292519943295E-2</v>
          </cell>
        </row>
      </sheetData>
      <sheetData sheetId="6788">
        <row r="1">
          <cell r="J1">
            <v>1.7453292519943295E-2</v>
          </cell>
        </row>
      </sheetData>
      <sheetData sheetId="6789">
        <row r="1">
          <cell r="J1">
            <v>1.7453292519943295E-2</v>
          </cell>
        </row>
      </sheetData>
      <sheetData sheetId="6790">
        <row r="1">
          <cell r="J1">
            <v>1.7453292519943295E-2</v>
          </cell>
        </row>
      </sheetData>
      <sheetData sheetId="6791">
        <row r="1">
          <cell r="J1">
            <v>1.7453292519943295E-2</v>
          </cell>
        </row>
      </sheetData>
      <sheetData sheetId="6792">
        <row r="1">
          <cell r="J1">
            <v>1.7453292519943295E-2</v>
          </cell>
        </row>
      </sheetData>
      <sheetData sheetId="6793">
        <row r="1">
          <cell r="J1">
            <v>1.7453292519943295E-2</v>
          </cell>
        </row>
      </sheetData>
      <sheetData sheetId="6794">
        <row r="1">
          <cell r="J1">
            <v>1.7453292519943295E-2</v>
          </cell>
        </row>
      </sheetData>
      <sheetData sheetId="6795">
        <row r="1">
          <cell r="J1">
            <v>1.7453292519943295E-2</v>
          </cell>
        </row>
      </sheetData>
      <sheetData sheetId="6796">
        <row r="1">
          <cell r="J1">
            <v>1.7453292519943295E-2</v>
          </cell>
        </row>
      </sheetData>
      <sheetData sheetId="6797">
        <row r="1">
          <cell r="J1">
            <v>1.7453292519943295E-2</v>
          </cell>
        </row>
      </sheetData>
      <sheetData sheetId="6798">
        <row r="1">
          <cell r="J1">
            <v>1.7453292519943295E-2</v>
          </cell>
        </row>
      </sheetData>
      <sheetData sheetId="6799">
        <row r="1">
          <cell r="J1">
            <v>1.7453292519943295E-2</v>
          </cell>
        </row>
      </sheetData>
      <sheetData sheetId="6800">
        <row r="1">
          <cell r="J1">
            <v>1.7453292519943295E-2</v>
          </cell>
        </row>
      </sheetData>
      <sheetData sheetId="6801">
        <row r="1">
          <cell r="J1">
            <v>1.7453292519943295E-2</v>
          </cell>
        </row>
      </sheetData>
      <sheetData sheetId="6802">
        <row r="1">
          <cell r="J1">
            <v>1.7453292519943295E-2</v>
          </cell>
        </row>
      </sheetData>
      <sheetData sheetId="6803">
        <row r="1">
          <cell r="J1">
            <v>1.7453292519943295E-2</v>
          </cell>
        </row>
      </sheetData>
      <sheetData sheetId="6804">
        <row r="1">
          <cell r="J1">
            <v>1.7453292519943295E-2</v>
          </cell>
        </row>
      </sheetData>
      <sheetData sheetId="6805">
        <row r="1">
          <cell r="J1">
            <v>1.7453292519943295E-2</v>
          </cell>
        </row>
      </sheetData>
      <sheetData sheetId="6806">
        <row r="1">
          <cell r="J1">
            <v>1.7453292519943295E-2</v>
          </cell>
        </row>
      </sheetData>
      <sheetData sheetId="6807">
        <row r="1">
          <cell r="J1">
            <v>1.7453292519943295E-2</v>
          </cell>
        </row>
      </sheetData>
      <sheetData sheetId="6808">
        <row r="1">
          <cell r="J1">
            <v>1.7453292519943295E-2</v>
          </cell>
        </row>
      </sheetData>
      <sheetData sheetId="6809">
        <row r="1">
          <cell r="J1">
            <v>1.7453292519943295E-2</v>
          </cell>
        </row>
      </sheetData>
      <sheetData sheetId="6810">
        <row r="1">
          <cell r="J1">
            <v>1.7453292519943295E-2</v>
          </cell>
        </row>
      </sheetData>
      <sheetData sheetId="6811">
        <row r="1">
          <cell r="J1">
            <v>1.7453292519943295E-2</v>
          </cell>
        </row>
      </sheetData>
      <sheetData sheetId="6812">
        <row r="1">
          <cell r="J1">
            <v>1.7453292519943295E-2</v>
          </cell>
        </row>
      </sheetData>
      <sheetData sheetId="6813">
        <row r="1">
          <cell r="J1">
            <v>1.7453292519943295E-2</v>
          </cell>
        </row>
      </sheetData>
      <sheetData sheetId="6814">
        <row r="1">
          <cell r="J1">
            <v>1.7453292519943295E-2</v>
          </cell>
        </row>
      </sheetData>
      <sheetData sheetId="6815">
        <row r="1">
          <cell r="J1">
            <v>1.7453292519943295E-2</v>
          </cell>
        </row>
      </sheetData>
      <sheetData sheetId="6816">
        <row r="1">
          <cell r="J1">
            <v>1.7453292519943295E-2</v>
          </cell>
        </row>
      </sheetData>
      <sheetData sheetId="6817">
        <row r="1">
          <cell r="J1">
            <v>1.7453292519943295E-2</v>
          </cell>
        </row>
      </sheetData>
      <sheetData sheetId="6818">
        <row r="1">
          <cell r="J1">
            <v>1.7453292519943295E-2</v>
          </cell>
        </row>
      </sheetData>
      <sheetData sheetId="6819">
        <row r="1">
          <cell r="J1">
            <v>1.7453292519943295E-2</v>
          </cell>
        </row>
      </sheetData>
      <sheetData sheetId="6820">
        <row r="1">
          <cell r="J1">
            <v>1.7453292519943295E-2</v>
          </cell>
        </row>
      </sheetData>
      <sheetData sheetId="6821">
        <row r="1">
          <cell r="J1">
            <v>1.7453292519943295E-2</v>
          </cell>
        </row>
      </sheetData>
      <sheetData sheetId="6822">
        <row r="1">
          <cell r="J1">
            <v>1.7453292519943295E-2</v>
          </cell>
        </row>
      </sheetData>
      <sheetData sheetId="6823">
        <row r="1">
          <cell r="J1">
            <v>1.7453292519943295E-2</v>
          </cell>
        </row>
      </sheetData>
      <sheetData sheetId="6824">
        <row r="1">
          <cell r="J1">
            <v>1.7453292519943295E-2</v>
          </cell>
        </row>
      </sheetData>
      <sheetData sheetId="6825">
        <row r="1">
          <cell r="J1">
            <v>1.7453292519943295E-2</v>
          </cell>
        </row>
      </sheetData>
      <sheetData sheetId="6826">
        <row r="1">
          <cell r="J1">
            <v>1.7453292519943295E-2</v>
          </cell>
        </row>
      </sheetData>
      <sheetData sheetId="6827">
        <row r="1">
          <cell r="J1">
            <v>1.7453292519943295E-2</v>
          </cell>
        </row>
      </sheetData>
      <sheetData sheetId="6828">
        <row r="1">
          <cell r="J1">
            <v>1.7453292519943295E-2</v>
          </cell>
        </row>
      </sheetData>
      <sheetData sheetId="6829">
        <row r="1">
          <cell r="J1">
            <v>1.7453292519943295E-2</v>
          </cell>
        </row>
      </sheetData>
      <sheetData sheetId="6830">
        <row r="1">
          <cell r="J1">
            <v>1.7453292519943295E-2</v>
          </cell>
        </row>
      </sheetData>
      <sheetData sheetId="6831">
        <row r="1">
          <cell r="J1">
            <v>1.7453292519943295E-2</v>
          </cell>
        </row>
      </sheetData>
      <sheetData sheetId="6832">
        <row r="1">
          <cell r="J1">
            <v>1.7453292519943295E-2</v>
          </cell>
        </row>
      </sheetData>
      <sheetData sheetId="6833">
        <row r="1">
          <cell r="J1">
            <v>1.7453292519943295E-2</v>
          </cell>
        </row>
      </sheetData>
      <sheetData sheetId="6834">
        <row r="1">
          <cell r="J1">
            <v>1.7453292519943295E-2</v>
          </cell>
        </row>
      </sheetData>
      <sheetData sheetId="6835">
        <row r="1">
          <cell r="J1">
            <v>1.7453292519943295E-2</v>
          </cell>
        </row>
      </sheetData>
      <sheetData sheetId="6836">
        <row r="1">
          <cell r="J1">
            <v>1.7453292519943295E-2</v>
          </cell>
        </row>
      </sheetData>
      <sheetData sheetId="6837">
        <row r="1">
          <cell r="J1">
            <v>1.7453292519943295E-2</v>
          </cell>
        </row>
      </sheetData>
      <sheetData sheetId="6838">
        <row r="1">
          <cell r="J1">
            <v>1.7453292519943295E-2</v>
          </cell>
        </row>
      </sheetData>
      <sheetData sheetId="6839">
        <row r="1">
          <cell r="J1">
            <v>1.7453292519943295E-2</v>
          </cell>
        </row>
      </sheetData>
      <sheetData sheetId="6840">
        <row r="1">
          <cell r="J1">
            <v>1.7453292519943295E-2</v>
          </cell>
        </row>
      </sheetData>
      <sheetData sheetId="6841">
        <row r="1">
          <cell r="J1">
            <v>1.7453292519943295E-2</v>
          </cell>
        </row>
      </sheetData>
      <sheetData sheetId="6842">
        <row r="1">
          <cell r="J1">
            <v>1.7453292519943295E-2</v>
          </cell>
        </row>
      </sheetData>
      <sheetData sheetId="6843">
        <row r="1">
          <cell r="J1">
            <v>1.7453292519943295E-2</v>
          </cell>
        </row>
      </sheetData>
      <sheetData sheetId="6844">
        <row r="1">
          <cell r="J1">
            <v>1.7453292519943295E-2</v>
          </cell>
        </row>
      </sheetData>
      <sheetData sheetId="6845">
        <row r="1">
          <cell r="J1">
            <v>1.7453292519943295E-2</v>
          </cell>
        </row>
      </sheetData>
      <sheetData sheetId="6846">
        <row r="1">
          <cell r="J1">
            <v>1.7453292519943295E-2</v>
          </cell>
        </row>
      </sheetData>
      <sheetData sheetId="6847">
        <row r="1">
          <cell r="J1">
            <v>1.7453292519943295E-2</v>
          </cell>
        </row>
      </sheetData>
      <sheetData sheetId="6848">
        <row r="1">
          <cell r="J1">
            <v>1.7453292519943295E-2</v>
          </cell>
        </row>
      </sheetData>
      <sheetData sheetId="6849">
        <row r="1">
          <cell r="J1">
            <v>1.7453292519943295E-2</v>
          </cell>
        </row>
      </sheetData>
      <sheetData sheetId="6850">
        <row r="1">
          <cell r="J1">
            <v>1.7453292519943295E-2</v>
          </cell>
        </row>
      </sheetData>
      <sheetData sheetId="6851">
        <row r="1">
          <cell r="J1">
            <v>1.7453292519943295E-2</v>
          </cell>
        </row>
      </sheetData>
      <sheetData sheetId="6852">
        <row r="1">
          <cell r="J1">
            <v>1.7453292519943295E-2</v>
          </cell>
        </row>
      </sheetData>
      <sheetData sheetId="6853">
        <row r="1">
          <cell r="J1">
            <v>1.7453292519943295E-2</v>
          </cell>
        </row>
      </sheetData>
      <sheetData sheetId="6854">
        <row r="1">
          <cell r="J1">
            <v>1.7453292519943295E-2</v>
          </cell>
        </row>
      </sheetData>
      <sheetData sheetId="6855">
        <row r="1">
          <cell r="J1">
            <v>1.7453292519943295E-2</v>
          </cell>
        </row>
      </sheetData>
      <sheetData sheetId="6856">
        <row r="1">
          <cell r="J1">
            <v>1.7453292519943295E-2</v>
          </cell>
        </row>
      </sheetData>
      <sheetData sheetId="6857">
        <row r="1">
          <cell r="J1">
            <v>1.7453292519943295E-2</v>
          </cell>
        </row>
      </sheetData>
      <sheetData sheetId="6858">
        <row r="1">
          <cell r="J1">
            <v>1.7453292519943295E-2</v>
          </cell>
        </row>
      </sheetData>
      <sheetData sheetId="6859">
        <row r="1">
          <cell r="J1">
            <v>1.7453292519943295E-2</v>
          </cell>
        </row>
      </sheetData>
      <sheetData sheetId="6860">
        <row r="1">
          <cell r="J1">
            <v>1.7453292519943295E-2</v>
          </cell>
        </row>
      </sheetData>
      <sheetData sheetId="6861">
        <row r="1">
          <cell r="J1">
            <v>1.7453292519943295E-2</v>
          </cell>
        </row>
      </sheetData>
      <sheetData sheetId="6862">
        <row r="1">
          <cell r="J1">
            <v>1.7453292519943295E-2</v>
          </cell>
        </row>
      </sheetData>
      <sheetData sheetId="6863">
        <row r="1">
          <cell r="J1">
            <v>1.7453292519943295E-2</v>
          </cell>
        </row>
      </sheetData>
      <sheetData sheetId="6864">
        <row r="1">
          <cell r="J1">
            <v>1.7453292519943295E-2</v>
          </cell>
        </row>
      </sheetData>
      <sheetData sheetId="6865">
        <row r="1">
          <cell r="J1">
            <v>1.7453292519943295E-2</v>
          </cell>
        </row>
      </sheetData>
      <sheetData sheetId="6866">
        <row r="1">
          <cell r="J1">
            <v>1.7453292519943295E-2</v>
          </cell>
        </row>
      </sheetData>
      <sheetData sheetId="6867">
        <row r="1">
          <cell r="J1">
            <v>1.7453292519943295E-2</v>
          </cell>
        </row>
      </sheetData>
      <sheetData sheetId="6868">
        <row r="1">
          <cell r="J1">
            <v>1.7453292519943295E-2</v>
          </cell>
        </row>
      </sheetData>
      <sheetData sheetId="6869">
        <row r="1">
          <cell r="J1">
            <v>1.7453292519943295E-2</v>
          </cell>
        </row>
      </sheetData>
      <sheetData sheetId="6870">
        <row r="1">
          <cell r="J1">
            <v>1.7453292519943295E-2</v>
          </cell>
        </row>
      </sheetData>
      <sheetData sheetId="6871">
        <row r="1">
          <cell r="J1">
            <v>1.7453292519943295E-2</v>
          </cell>
        </row>
      </sheetData>
      <sheetData sheetId="6872">
        <row r="1">
          <cell r="J1">
            <v>1.7453292519943295E-2</v>
          </cell>
        </row>
      </sheetData>
      <sheetData sheetId="6873">
        <row r="1">
          <cell r="J1">
            <v>1.7453292519943295E-2</v>
          </cell>
        </row>
      </sheetData>
      <sheetData sheetId="6874">
        <row r="1">
          <cell r="J1">
            <v>1.7453292519943295E-2</v>
          </cell>
        </row>
      </sheetData>
      <sheetData sheetId="6875">
        <row r="1">
          <cell r="J1">
            <v>1.7453292519943295E-2</v>
          </cell>
        </row>
      </sheetData>
      <sheetData sheetId="6876">
        <row r="1">
          <cell r="J1">
            <v>1.7453292519943295E-2</v>
          </cell>
        </row>
      </sheetData>
      <sheetData sheetId="6877">
        <row r="1">
          <cell r="J1">
            <v>1.7453292519943295E-2</v>
          </cell>
        </row>
      </sheetData>
      <sheetData sheetId="6878">
        <row r="1">
          <cell r="J1">
            <v>1.7453292519943295E-2</v>
          </cell>
        </row>
      </sheetData>
      <sheetData sheetId="6879">
        <row r="1">
          <cell r="J1">
            <v>1.7453292519943295E-2</v>
          </cell>
        </row>
      </sheetData>
      <sheetData sheetId="6880">
        <row r="1">
          <cell r="J1">
            <v>1.7453292519943295E-2</v>
          </cell>
        </row>
      </sheetData>
      <sheetData sheetId="6881">
        <row r="1">
          <cell r="J1">
            <v>1.7453292519943295E-2</v>
          </cell>
        </row>
      </sheetData>
      <sheetData sheetId="6882">
        <row r="1">
          <cell r="J1">
            <v>1.7453292519943295E-2</v>
          </cell>
        </row>
      </sheetData>
      <sheetData sheetId="6883">
        <row r="1">
          <cell r="J1">
            <v>1.7453292519943295E-2</v>
          </cell>
        </row>
      </sheetData>
      <sheetData sheetId="6884">
        <row r="1">
          <cell r="J1">
            <v>1.7453292519943295E-2</v>
          </cell>
        </row>
      </sheetData>
      <sheetData sheetId="6885">
        <row r="1">
          <cell r="J1">
            <v>1.7453292519943295E-2</v>
          </cell>
        </row>
      </sheetData>
      <sheetData sheetId="6886">
        <row r="1">
          <cell r="J1">
            <v>1.7453292519943295E-2</v>
          </cell>
        </row>
      </sheetData>
      <sheetData sheetId="6887">
        <row r="1">
          <cell r="J1">
            <v>1.7453292519943295E-2</v>
          </cell>
        </row>
      </sheetData>
      <sheetData sheetId="6888">
        <row r="1">
          <cell r="J1">
            <v>1.7453292519943295E-2</v>
          </cell>
        </row>
      </sheetData>
      <sheetData sheetId="6889">
        <row r="1">
          <cell r="J1">
            <v>1.7453292519943295E-2</v>
          </cell>
        </row>
      </sheetData>
      <sheetData sheetId="6890">
        <row r="1">
          <cell r="J1">
            <v>1.7453292519943295E-2</v>
          </cell>
        </row>
      </sheetData>
      <sheetData sheetId="6891">
        <row r="1">
          <cell r="J1">
            <v>1.7453292519943295E-2</v>
          </cell>
        </row>
      </sheetData>
      <sheetData sheetId="6892">
        <row r="1">
          <cell r="J1">
            <v>1.7453292519943295E-2</v>
          </cell>
        </row>
      </sheetData>
      <sheetData sheetId="6893">
        <row r="1">
          <cell r="J1">
            <v>1.7453292519943295E-2</v>
          </cell>
        </row>
      </sheetData>
      <sheetData sheetId="6894">
        <row r="1">
          <cell r="J1">
            <v>1.7453292519943295E-2</v>
          </cell>
        </row>
      </sheetData>
      <sheetData sheetId="6895">
        <row r="1">
          <cell r="J1">
            <v>1.7453292519943295E-2</v>
          </cell>
        </row>
      </sheetData>
      <sheetData sheetId="6896">
        <row r="1">
          <cell r="J1">
            <v>1.7453292519943295E-2</v>
          </cell>
        </row>
      </sheetData>
      <sheetData sheetId="6897">
        <row r="1">
          <cell r="J1">
            <v>1.7453292519943295E-2</v>
          </cell>
        </row>
      </sheetData>
      <sheetData sheetId="6898">
        <row r="1">
          <cell r="J1">
            <v>1.7453292519943295E-2</v>
          </cell>
        </row>
      </sheetData>
      <sheetData sheetId="6899">
        <row r="1">
          <cell r="J1">
            <v>1.7453292519943295E-2</v>
          </cell>
        </row>
      </sheetData>
      <sheetData sheetId="6900">
        <row r="1">
          <cell r="J1">
            <v>1.7453292519943295E-2</v>
          </cell>
        </row>
      </sheetData>
      <sheetData sheetId="6901">
        <row r="1">
          <cell r="J1">
            <v>1.7453292519943295E-2</v>
          </cell>
        </row>
      </sheetData>
      <sheetData sheetId="6902">
        <row r="1">
          <cell r="J1">
            <v>1.7453292519943295E-2</v>
          </cell>
        </row>
      </sheetData>
      <sheetData sheetId="6903">
        <row r="1">
          <cell r="J1">
            <v>1.7453292519943295E-2</v>
          </cell>
        </row>
      </sheetData>
      <sheetData sheetId="6904">
        <row r="1">
          <cell r="J1">
            <v>1.7453292519943295E-2</v>
          </cell>
        </row>
      </sheetData>
      <sheetData sheetId="6905">
        <row r="1">
          <cell r="J1">
            <v>1.7453292519943295E-2</v>
          </cell>
        </row>
      </sheetData>
      <sheetData sheetId="6906">
        <row r="1">
          <cell r="J1">
            <v>1.7453292519943295E-2</v>
          </cell>
        </row>
      </sheetData>
      <sheetData sheetId="6907">
        <row r="1">
          <cell r="J1">
            <v>1.7453292519943295E-2</v>
          </cell>
        </row>
      </sheetData>
      <sheetData sheetId="6908">
        <row r="1">
          <cell r="J1">
            <v>1.7453292519943295E-2</v>
          </cell>
        </row>
      </sheetData>
      <sheetData sheetId="6909">
        <row r="1">
          <cell r="J1">
            <v>1.7453292519943295E-2</v>
          </cell>
        </row>
      </sheetData>
      <sheetData sheetId="6910">
        <row r="1">
          <cell r="J1">
            <v>1.7453292519943295E-2</v>
          </cell>
        </row>
      </sheetData>
      <sheetData sheetId="6911">
        <row r="1">
          <cell r="J1">
            <v>1.7453292519943295E-2</v>
          </cell>
        </row>
      </sheetData>
      <sheetData sheetId="6912">
        <row r="1">
          <cell r="J1">
            <v>1.7453292519943295E-2</v>
          </cell>
        </row>
      </sheetData>
      <sheetData sheetId="6913">
        <row r="1">
          <cell r="J1">
            <v>1.7453292519943295E-2</v>
          </cell>
        </row>
      </sheetData>
      <sheetData sheetId="6914">
        <row r="1">
          <cell r="J1">
            <v>1.7453292519943295E-2</v>
          </cell>
        </row>
      </sheetData>
      <sheetData sheetId="6915">
        <row r="1">
          <cell r="J1">
            <v>1.7453292519943295E-2</v>
          </cell>
        </row>
      </sheetData>
      <sheetData sheetId="6916">
        <row r="1">
          <cell r="J1">
            <v>1.7453292519943295E-2</v>
          </cell>
        </row>
      </sheetData>
      <sheetData sheetId="6917">
        <row r="1">
          <cell r="J1">
            <v>1.7453292519943295E-2</v>
          </cell>
        </row>
      </sheetData>
      <sheetData sheetId="6918">
        <row r="1">
          <cell r="J1">
            <v>1.7453292519943295E-2</v>
          </cell>
        </row>
      </sheetData>
      <sheetData sheetId="6919">
        <row r="1">
          <cell r="J1">
            <v>1.7453292519943295E-2</v>
          </cell>
        </row>
      </sheetData>
      <sheetData sheetId="6920">
        <row r="1">
          <cell r="J1">
            <v>1.7453292519943295E-2</v>
          </cell>
        </row>
      </sheetData>
      <sheetData sheetId="6921">
        <row r="1">
          <cell r="J1">
            <v>1.7453292519943295E-2</v>
          </cell>
        </row>
      </sheetData>
      <sheetData sheetId="6922">
        <row r="1">
          <cell r="J1">
            <v>1.7453292519943295E-2</v>
          </cell>
        </row>
      </sheetData>
      <sheetData sheetId="6923">
        <row r="1">
          <cell r="J1">
            <v>1.7453292519943295E-2</v>
          </cell>
        </row>
      </sheetData>
      <sheetData sheetId="6924">
        <row r="1">
          <cell r="J1">
            <v>1.7453292519943295E-2</v>
          </cell>
        </row>
      </sheetData>
      <sheetData sheetId="6925">
        <row r="1">
          <cell r="J1">
            <v>1.7453292519943295E-2</v>
          </cell>
        </row>
      </sheetData>
      <sheetData sheetId="6926">
        <row r="1">
          <cell r="J1">
            <v>1.7453292519943295E-2</v>
          </cell>
        </row>
      </sheetData>
      <sheetData sheetId="6927">
        <row r="1">
          <cell r="J1">
            <v>1.7453292519943295E-2</v>
          </cell>
        </row>
      </sheetData>
      <sheetData sheetId="6928">
        <row r="1">
          <cell r="J1">
            <v>1.7453292519943295E-2</v>
          </cell>
        </row>
      </sheetData>
      <sheetData sheetId="6929">
        <row r="1">
          <cell r="J1">
            <v>1.7453292519943295E-2</v>
          </cell>
        </row>
      </sheetData>
      <sheetData sheetId="6930">
        <row r="1">
          <cell r="J1">
            <v>1.7453292519943295E-2</v>
          </cell>
        </row>
      </sheetData>
      <sheetData sheetId="6931">
        <row r="1">
          <cell r="J1">
            <v>1.7453292519943295E-2</v>
          </cell>
        </row>
      </sheetData>
      <sheetData sheetId="6932">
        <row r="1">
          <cell r="J1">
            <v>1.7453292519943295E-2</v>
          </cell>
        </row>
      </sheetData>
      <sheetData sheetId="6933">
        <row r="1">
          <cell r="J1">
            <v>1.7453292519943295E-2</v>
          </cell>
        </row>
      </sheetData>
      <sheetData sheetId="6934">
        <row r="1">
          <cell r="J1">
            <v>1.7453292519943295E-2</v>
          </cell>
        </row>
      </sheetData>
      <sheetData sheetId="6935">
        <row r="1">
          <cell r="J1">
            <v>1.7453292519943295E-2</v>
          </cell>
        </row>
      </sheetData>
      <sheetData sheetId="6936">
        <row r="1">
          <cell r="J1">
            <v>1.7453292519943295E-2</v>
          </cell>
        </row>
      </sheetData>
      <sheetData sheetId="6937">
        <row r="1">
          <cell r="J1">
            <v>1.7453292519943295E-2</v>
          </cell>
        </row>
      </sheetData>
      <sheetData sheetId="6938">
        <row r="1">
          <cell r="J1">
            <v>1.7453292519943295E-2</v>
          </cell>
        </row>
      </sheetData>
      <sheetData sheetId="6939">
        <row r="1">
          <cell r="J1">
            <v>1.7453292519943295E-2</v>
          </cell>
        </row>
      </sheetData>
      <sheetData sheetId="6940">
        <row r="1">
          <cell r="J1">
            <v>1.7453292519943295E-2</v>
          </cell>
        </row>
      </sheetData>
      <sheetData sheetId="6941">
        <row r="1">
          <cell r="J1">
            <v>1.7453292519943295E-2</v>
          </cell>
        </row>
      </sheetData>
      <sheetData sheetId="6942">
        <row r="1">
          <cell r="J1">
            <v>1.7453292519943295E-2</v>
          </cell>
        </row>
      </sheetData>
      <sheetData sheetId="6943">
        <row r="1">
          <cell r="J1">
            <v>1.7453292519943295E-2</v>
          </cell>
        </row>
      </sheetData>
      <sheetData sheetId="6944">
        <row r="1">
          <cell r="J1">
            <v>1.7453292519943295E-2</v>
          </cell>
        </row>
      </sheetData>
      <sheetData sheetId="6945">
        <row r="1">
          <cell r="J1">
            <v>1.7453292519943295E-2</v>
          </cell>
        </row>
      </sheetData>
      <sheetData sheetId="6946">
        <row r="1">
          <cell r="J1">
            <v>1.7453292519943295E-2</v>
          </cell>
        </row>
      </sheetData>
      <sheetData sheetId="6947">
        <row r="1">
          <cell r="J1">
            <v>1.7453292519943295E-2</v>
          </cell>
        </row>
      </sheetData>
      <sheetData sheetId="6948">
        <row r="1">
          <cell r="J1">
            <v>1.7453292519943295E-2</v>
          </cell>
        </row>
      </sheetData>
      <sheetData sheetId="6949">
        <row r="1">
          <cell r="J1">
            <v>1.7453292519943295E-2</v>
          </cell>
        </row>
      </sheetData>
      <sheetData sheetId="6950">
        <row r="1">
          <cell r="J1">
            <v>1.7453292519943295E-2</v>
          </cell>
        </row>
      </sheetData>
      <sheetData sheetId="6951">
        <row r="1">
          <cell r="J1">
            <v>1.7453292519943295E-2</v>
          </cell>
        </row>
      </sheetData>
      <sheetData sheetId="6952">
        <row r="1">
          <cell r="J1">
            <v>1.7453292519943295E-2</v>
          </cell>
        </row>
      </sheetData>
      <sheetData sheetId="6953">
        <row r="1">
          <cell r="J1">
            <v>1.7453292519943295E-2</v>
          </cell>
        </row>
      </sheetData>
      <sheetData sheetId="6954">
        <row r="1">
          <cell r="J1">
            <v>1.7453292519943295E-2</v>
          </cell>
        </row>
      </sheetData>
      <sheetData sheetId="6955">
        <row r="1">
          <cell r="J1">
            <v>1.7453292519943295E-2</v>
          </cell>
        </row>
      </sheetData>
      <sheetData sheetId="6956">
        <row r="1">
          <cell r="J1">
            <v>1.7453292519943295E-2</v>
          </cell>
        </row>
      </sheetData>
      <sheetData sheetId="6957">
        <row r="1">
          <cell r="J1">
            <v>1.7453292519943295E-2</v>
          </cell>
        </row>
      </sheetData>
      <sheetData sheetId="6958">
        <row r="1">
          <cell r="J1">
            <v>1.7453292519943295E-2</v>
          </cell>
        </row>
      </sheetData>
      <sheetData sheetId="6959">
        <row r="1">
          <cell r="J1">
            <v>1.7453292519943295E-2</v>
          </cell>
        </row>
      </sheetData>
      <sheetData sheetId="6960">
        <row r="1">
          <cell r="J1">
            <v>1.7453292519943295E-2</v>
          </cell>
        </row>
      </sheetData>
      <sheetData sheetId="6961">
        <row r="1">
          <cell r="J1">
            <v>1.7453292519943295E-2</v>
          </cell>
        </row>
      </sheetData>
      <sheetData sheetId="6962">
        <row r="1">
          <cell r="J1">
            <v>1.7453292519943295E-2</v>
          </cell>
        </row>
      </sheetData>
      <sheetData sheetId="6963">
        <row r="1">
          <cell r="J1">
            <v>1.7453292519943295E-2</v>
          </cell>
        </row>
      </sheetData>
      <sheetData sheetId="6964">
        <row r="1">
          <cell r="J1">
            <v>1.7453292519943295E-2</v>
          </cell>
        </row>
      </sheetData>
      <sheetData sheetId="6965">
        <row r="1">
          <cell r="J1">
            <v>1.7453292519943295E-2</v>
          </cell>
        </row>
      </sheetData>
      <sheetData sheetId="6966">
        <row r="1">
          <cell r="J1">
            <v>1.7453292519943295E-2</v>
          </cell>
        </row>
      </sheetData>
      <sheetData sheetId="6967">
        <row r="1">
          <cell r="J1">
            <v>1.7453292519943295E-2</v>
          </cell>
        </row>
      </sheetData>
      <sheetData sheetId="6968">
        <row r="1">
          <cell r="J1">
            <v>1.7453292519943295E-2</v>
          </cell>
        </row>
      </sheetData>
      <sheetData sheetId="6969">
        <row r="1">
          <cell r="J1">
            <v>1.7453292519943295E-2</v>
          </cell>
        </row>
      </sheetData>
      <sheetData sheetId="6970">
        <row r="1">
          <cell r="J1">
            <v>1.7453292519943295E-2</v>
          </cell>
        </row>
      </sheetData>
      <sheetData sheetId="6971">
        <row r="1">
          <cell r="J1">
            <v>1.7453292519943295E-2</v>
          </cell>
        </row>
      </sheetData>
      <sheetData sheetId="6972">
        <row r="1">
          <cell r="J1">
            <v>1.7453292519943295E-2</v>
          </cell>
        </row>
      </sheetData>
      <sheetData sheetId="6973">
        <row r="1">
          <cell r="J1">
            <v>1.7453292519943295E-2</v>
          </cell>
        </row>
      </sheetData>
      <sheetData sheetId="6974">
        <row r="1">
          <cell r="J1">
            <v>1.7453292519943295E-2</v>
          </cell>
        </row>
      </sheetData>
      <sheetData sheetId="6975">
        <row r="1">
          <cell r="J1">
            <v>1.7453292519943295E-2</v>
          </cell>
        </row>
      </sheetData>
      <sheetData sheetId="6976">
        <row r="1">
          <cell r="J1">
            <v>1.7453292519943295E-2</v>
          </cell>
        </row>
      </sheetData>
      <sheetData sheetId="6977">
        <row r="1">
          <cell r="J1">
            <v>1.7453292519943295E-2</v>
          </cell>
        </row>
      </sheetData>
      <sheetData sheetId="6978">
        <row r="1">
          <cell r="J1">
            <v>1.7453292519943295E-2</v>
          </cell>
        </row>
      </sheetData>
      <sheetData sheetId="6979">
        <row r="1">
          <cell r="J1">
            <v>1.7453292519943295E-2</v>
          </cell>
        </row>
      </sheetData>
      <sheetData sheetId="6980">
        <row r="1">
          <cell r="J1">
            <v>1.7453292519943295E-2</v>
          </cell>
        </row>
      </sheetData>
      <sheetData sheetId="6981">
        <row r="1">
          <cell r="J1">
            <v>1.7453292519943295E-2</v>
          </cell>
        </row>
      </sheetData>
      <sheetData sheetId="6982">
        <row r="1">
          <cell r="J1">
            <v>1.7453292519943295E-2</v>
          </cell>
        </row>
      </sheetData>
      <sheetData sheetId="6983">
        <row r="1">
          <cell r="J1">
            <v>1.7453292519943295E-2</v>
          </cell>
        </row>
      </sheetData>
      <sheetData sheetId="6984">
        <row r="1">
          <cell r="J1">
            <v>1.7453292519943295E-2</v>
          </cell>
        </row>
      </sheetData>
      <sheetData sheetId="6985">
        <row r="1">
          <cell r="J1">
            <v>1.7453292519943295E-2</v>
          </cell>
        </row>
      </sheetData>
      <sheetData sheetId="6986">
        <row r="1">
          <cell r="J1">
            <v>1.7453292519943295E-2</v>
          </cell>
        </row>
      </sheetData>
      <sheetData sheetId="6987">
        <row r="1">
          <cell r="J1">
            <v>1.7453292519943295E-2</v>
          </cell>
        </row>
      </sheetData>
      <sheetData sheetId="6988">
        <row r="1">
          <cell r="J1">
            <v>1.7453292519943295E-2</v>
          </cell>
        </row>
      </sheetData>
      <sheetData sheetId="6989">
        <row r="1">
          <cell r="J1">
            <v>1.7453292519943295E-2</v>
          </cell>
        </row>
      </sheetData>
      <sheetData sheetId="6990">
        <row r="1">
          <cell r="J1">
            <v>1.7453292519943295E-2</v>
          </cell>
        </row>
      </sheetData>
      <sheetData sheetId="6991">
        <row r="1">
          <cell r="J1">
            <v>1.7453292519943295E-2</v>
          </cell>
        </row>
      </sheetData>
      <sheetData sheetId="6992">
        <row r="1">
          <cell r="J1">
            <v>1.7453292519943295E-2</v>
          </cell>
        </row>
      </sheetData>
      <sheetData sheetId="6993">
        <row r="1">
          <cell r="J1">
            <v>1.7453292519943295E-2</v>
          </cell>
        </row>
      </sheetData>
      <sheetData sheetId="6994">
        <row r="1">
          <cell r="J1">
            <v>1.7453292519943295E-2</v>
          </cell>
        </row>
      </sheetData>
      <sheetData sheetId="6995">
        <row r="1">
          <cell r="J1">
            <v>1.7453292519943295E-2</v>
          </cell>
        </row>
      </sheetData>
      <sheetData sheetId="6996">
        <row r="1">
          <cell r="J1">
            <v>1.7453292519943295E-2</v>
          </cell>
        </row>
      </sheetData>
      <sheetData sheetId="6997">
        <row r="1">
          <cell r="J1">
            <v>1.7453292519943295E-2</v>
          </cell>
        </row>
      </sheetData>
      <sheetData sheetId="6998">
        <row r="1">
          <cell r="J1">
            <v>1.7453292519943295E-2</v>
          </cell>
        </row>
      </sheetData>
      <sheetData sheetId="6999">
        <row r="1">
          <cell r="J1">
            <v>1.7453292519943295E-2</v>
          </cell>
        </row>
      </sheetData>
      <sheetData sheetId="7000">
        <row r="1">
          <cell r="J1">
            <v>1.7453292519943295E-2</v>
          </cell>
        </row>
      </sheetData>
      <sheetData sheetId="7001">
        <row r="1">
          <cell r="J1">
            <v>1.7453292519943295E-2</v>
          </cell>
        </row>
      </sheetData>
      <sheetData sheetId="7002">
        <row r="1">
          <cell r="J1">
            <v>1.7453292519943295E-2</v>
          </cell>
        </row>
      </sheetData>
      <sheetData sheetId="7003">
        <row r="1">
          <cell r="J1">
            <v>1.7453292519943295E-2</v>
          </cell>
        </row>
      </sheetData>
      <sheetData sheetId="7004">
        <row r="1">
          <cell r="J1">
            <v>1.7453292519943295E-2</v>
          </cell>
        </row>
      </sheetData>
      <sheetData sheetId="7005">
        <row r="1">
          <cell r="J1">
            <v>1.7453292519943295E-2</v>
          </cell>
        </row>
      </sheetData>
      <sheetData sheetId="7006">
        <row r="1">
          <cell r="J1">
            <v>1.7453292519943295E-2</v>
          </cell>
        </row>
      </sheetData>
      <sheetData sheetId="7007">
        <row r="1">
          <cell r="J1">
            <v>1.7453292519943295E-2</v>
          </cell>
        </row>
      </sheetData>
      <sheetData sheetId="7008">
        <row r="1">
          <cell r="J1">
            <v>1.7453292519943295E-2</v>
          </cell>
        </row>
      </sheetData>
      <sheetData sheetId="7009">
        <row r="1">
          <cell r="J1">
            <v>1.7453292519943295E-2</v>
          </cell>
        </row>
      </sheetData>
      <sheetData sheetId="7010">
        <row r="1">
          <cell r="J1">
            <v>1.7453292519943295E-2</v>
          </cell>
        </row>
      </sheetData>
      <sheetData sheetId="7011">
        <row r="1">
          <cell r="J1">
            <v>1.7453292519943295E-2</v>
          </cell>
        </row>
      </sheetData>
      <sheetData sheetId="7012">
        <row r="1">
          <cell r="J1">
            <v>1.7453292519943295E-2</v>
          </cell>
        </row>
      </sheetData>
      <sheetData sheetId="7013">
        <row r="1">
          <cell r="J1">
            <v>1.7453292519943295E-2</v>
          </cell>
        </row>
      </sheetData>
      <sheetData sheetId="7014">
        <row r="1">
          <cell r="J1">
            <v>1.7453292519943295E-2</v>
          </cell>
        </row>
      </sheetData>
      <sheetData sheetId="7015">
        <row r="1">
          <cell r="J1">
            <v>1.7453292519943295E-2</v>
          </cell>
        </row>
      </sheetData>
      <sheetData sheetId="7016">
        <row r="1">
          <cell r="J1">
            <v>1.7453292519943295E-2</v>
          </cell>
        </row>
      </sheetData>
      <sheetData sheetId="7017">
        <row r="1">
          <cell r="J1">
            <v>1.7453292519943295E-2</v>
          </cell>
        </row>
      </sheetData>
      <sheetData sheetId="7018">
        <row r="1">
          <cell r="J1">
            <v>1.7453292519943295E-2</v>
          </cell>
        </row>
      </sheetData>
      <sheetData sheetId="7019">
        <row r="1">
          <cell r="J1">
            <v>1.7453292519943295E-2</v>
          </cell>
        </row>
      </sheetData>
      <sheetData sheetId="7020">
        <row r="1">
          <cell r="J1">
            <v>1.7453292519943295E-2</v>
          </cell>
        </row>
      </sheetData>
      <sheetData sheetId="7021">
        <row r="1">
          <cell r="J1">
            <v>1.7453292519943295E-2</v>
          </cell>
        </row>
      </sheetData>
      <sheetData sheetId="7022">
        <row r="1">
          <cell r="J1">
            <v>1.7453292519943295E-2</v>
          </cell>
        </row>
      </sheetData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>
        <row r="1">
          <cell r="J1">
            <v>1.7453292519943295E-2</v>
          </cell>
        </row>
      </sheetData>
      <sheetData sheetId="7176">
        <row r="1">
          <cell r="J1">
            <v>1.7453292519943295E-2</v>
          </cell>
        </row>
      </sheetData>
      <sheetData sheetId="7177">
        <row r="1">
          <cell r="J1">
            <v>1.7453292519943295E-2</v>
          </cell>
        </row>
      </sheetData>
      <sheetData sheetId="7178">
        <row r="1">
          <cell r="J1">
            <v>1.7453292519943295E-2</v>
          </cell>
        </row>
      </sheetData>
      <sheetData sheetId="7179">
        <row r="1">
          <cell r="J1">
            <v>1.7453292519943295E-2</v>
          </cell>
        </row>
      </sheetData>
      <sheetData sheetId="7180">
        <row r="1">
          <cell r="J1">
            <v>1.7453292519943295E-2</v>
          </cell>
        </row>
      </sheetData>
      <sheetData sheetId="7181">
        <row r="1">
          <cell r="J1">
            <v>1.7453292519943295E-2</v>
          </cell>
        </row>
      </sheetData>
      <sheetData sheetId="7182">
        <row r="1">
          <cell r="J1">
            <v>1.7453292519943295E-2</v>
          </cell>
        </row>
      </sheetData>
      <sheetData sheetId="7183">
        <row r="1">
          <cell r="J1">
            <v>1.7453292519943295E-2</v>
          </cell>
        </row>
      </sheetData>
      <sheetData sheetId="7184">
        <row r="1">
          <cell r="J1">
            <v>1.7453292519943295E-2</v>
          </cell>
        </row>
      </sheetData>
      <sheetData sheetId="7185">
        <row r="1">
          <cell r="J1">
            <v>1.7453292519943295E-2</v>
          </cell>
        </row>
      </sheetData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>
        <row r="1">
          <cell r="J1">
            <v>1.7453292519943295E-2</v>
          </cell>
        </row>
      </sheetData>
      <sheetData sheetId="7215">
        <row r="1">
          <cell r="J1">
            <v>1.7453292519943295E-2</v>
          </cell>
        </row>
      </sheetData>
      <sheetData sheetId="7216">
        <row r="1">
          <cell r="J1">
            <v>1.7453292519943295E-2</v>
          </cell>
        </row>
      </sheetData>
      <sheetData sheetId="7217">
        <row r="1">
          <cell r="J1">
            <v>1.7453292519943295E-2</v>
          </cell>
        </row>
      </sheetData>
      <sheetData sheetId="7218">
        <row r="1">
          <cell r="J1">
            <v>1.7453292519943295E-2</v>
          </cell>
        </row>
      </sheetData>
      <sheetData sheetId="7219">
        <row r="1">
          <cell r="J1">
            <v>1.7453292519943295E-2</v>
          </cell>
        </row>
      </sheetData>
      <sheetData sheetId="7220">
        <row r="1">
          <cell r="J1">
            <v>1.7453292519943295E-2</v>
          </cell>
        </row>
      </sheetData>
      <sheetData sheetId="7221">
        <row r="1">
          <cell r="J1">
            <v>1.7453292519943295E-2</v>
          </cell>
        </row>
      </sheetData>
      <sheetData sheetId="7222">
        <row r="1">
          <cell r="J1">
            <v>1.7453292519943295E-2</v>
          </cell>
        </row>
      </sheetData>
      <sheetData sheetId="7223">
        <row r="1">
          <cell r="J1">
            <v>1.7453292519943295E-2</v>
          </cell>
        </row>
      </sheetData>
      <sheetData sheetId="7224">
        <row r="1">
          <cell r="J1">
            <v>1.7453292519943295E-2</v>
          </cell>
        </row>
      </sheetData>
      <sheetData sheetId="7225">
        <row r="1">
          <cell r="J1">
            <v>1.7453292519943295E-2</v>
          </cell>
        </row>
      </sheetData>
      <sheetData sheetId="7226">
        <row r="1">
          <cell r="J1">
            <v>1.7453292519943295E-2</v>
          </cell>
        </row>
      </sheetData>
      <sheetData sheetId="7227">
        <row r="1">
          <cell r="J1">
            <v>1.7453292519943295E-2</v>
          </cell>
        </row>
      </sheetData>
      <sheetData sheetId="7228">
        <row r="1">
          <cell r="J1">
            <v>1.7453292519943295E-2</v>
          </cell>
        </row>
      </sheetData>
      <sheetData sheetId="7229">
        <row r="1">
          <cell r="J1">
            <v>1.7453292519943295E-2</v>
          </cell>
        </row>
      </sheetData>
      <sheetData sheetId="7230">
        <row r="1">
          <cell r="J1">
            <v>1.7453292519943295E-2</v>
          </cell>
        </row>
      </sheetData>
      <sheetData sheetId="7231">
        <row r="1">
          <cell r="J1">
            <v>1.7453292519943295E-2</v>
          </cell>
        </row>
      </sheetData>
      <sheetData sheetId="7232">
        <row r="1">
          <cell r="J1">
            <v>1.7453292519943295E-2</v>
          </cell>
        </row>
      </sheetData>
      <sheetData sheetId="7233">
        <row r="1">
          <cell r="J1">
            <v>1.7453292519943295E-2</v>
          </cell>
        </row>
      </sheetData>
      <sheetData sheetId="7234">
        <row r="1">
          <cell r="J1">
            <v>1.7453292519943295E-2</v>
          </cell>
        </row>
      </sheetData>
      <sheetData sheetId="7235">
        <row r="1">
          <cell r="J1">
            <v>1.7453292519943295E-2</v>
          </cell>
        </row>
      </sheetData>
      <sheetData sheetId="7236">
        <row r="1">
          <cell r="J1">
            <v>1.7453292519943295E-2</v>
          </cell>
        </row>
      </sheetData>
      <sheetData sheetId="7237">
        <row r="1">
          <cell r="J1">
            <v>1.7453292519943295E-2</v>
          </cell>
        </row>
      </sheetData>
      <sheetData sheetId="7238">
        <row r="1">
          <cell r="J1">
            <v>1.7453292519943295E-2</v>
          </cell>
        </row>
      </sheetData>
      <sheetData sheetId="7239">
        <row r="1">
          <cell r="J1">
            <v>1.7453292519943295E-2</v>
          </cell>
        </row>
      </sheetData>
      <sheetData sheetId="7240">
        <row r="1">
          <cell r="J1">
            <v>1.7453292519943295E-2</v>
          </cell>
        </row>
      </sheetData>
      <sheetData sheetId="7241">
        <row r="1">
          <cell r="J1">
            <v>1.7453292519943295E-2</v>
          </cell>
        </row>
      </sheetData>
      <sheetData sheetId="7242">
        <row r="1">
          <cell r="J1">
            <v>1.7453292519943295E-2</v>
          </cell>
        </row>
      </sheetData>
      <sheetData sheetId="7243">
        <row r="1">
          <cell r="J1">
            <v>1.7453292519943295E-2</v>
          </cell>
        </row>
      </sheetData>
      <sheetData sheetId="7244">
        <row r="1">
          <cell r="J1">
            <v>1.7453292519943295E-2</v>
          </cell>
        </row>
      </sheetData>
      <sheetData sheetId="7245">
        <row r="1">
          <cell r="J1">
            <v>1.7453292519943295E-2</v>
          </cell>
        </row>
      </sheetData>
      <sheetData sheetId="7246">
        <row r="1">
          <cell r="J1">
            <v>1.7453292519943295E-2</v>
          </cell>
        </row>
      </sheetData>
      <sheetData sheetId="7247">
        <row r="1">
          <cell r="J1">
            <v>1.7453292519943295E-2</v>
          </cell>
        </row>
      </sheetData>
      <sheetData sheetId="7248">
        <row r="1">
          <cell r="J1">
            <v>1.7453292519943295E-2</v>
          </cell>
        </row>
      </sheetData>
      <sheetData sheetId="7249">
        <row r="1">
          <cell r="J1">
            <v>1.7453292519943295E-2</v>
          </cell>
        </row>
      </sheetData>
      <sheetData sheetId="7250">
        <row r="1">
          <cell r="J1">
            <v>1.7453292519943295E-2</v>
          </cell>
        </row>
      </sheetData>
      <sheetData sheetId="7251">
        <row r="1">
          <cell r="J1">
            <v>1.7453292519943295E-2</v>
          </cell>
        </row>
      </sheetData>
      <sheetData sheetId="7252">
        <row r="1">
          <cell r="J1">
            <v>1.7453292519943295E-2</v>
          </cell>
        </row>
      </sheetData>
      <sheetData sheetId="7253">
        <row r="1">
          <cell r="J1">
            <v>1.7453292519943295E-2</v>
          </cell>
        </row>
      </sheetData>
      <sheetData sheetId="7254">
        <row r="1">
          <cell r="J1">
            <v>1.7453292519943295E-2</v>
          </cell>
        </row>
      </sheetData>
      <sheetData sheetId="7255">
        <row r="1">
          <cell r="J1">
            <v>1.7453292519943295E-2</v>
          </cell>
        </row>
      </sheetData>
      <sheetData sheetId="7256">
        <row r="1">
          <cell r="J1">
            <v>1.7453292519943295E-2</v>
          </cell>
        </row>
      </sheetData>
      <sheetData sheetId="7257">
        <row r="1">
          <cell r="J1">
            <v>1.7453292519943295E-2</v>
          </cell>
        </row>
      </sheetData>
      <sheetData sheetId="7258">
        <row r="1">
          <cell r="J1">
            <v>1.7453292519943295E-2</v>
          </cell>
        </row>
      </sheetData>
      <sheetData sheetId="7259">
        <row r="1">
          <cell r="J1">
            <v>1.7453292519943295E-2</v>
          </cell>
        </row>
      </sheetData>
      <sheetData sheetId="7260">
        <row r="1">
          <cell r="J1">
            <v>1.7453292519943295E-2</v>
          </cell>
        </row>
      </sheetData>
      <sheetData sheetId="7261">
        <row r="1">
          <cell r="J1">
            <v>1.7453292519943295E-2</v>
          </cell>
        </row>
      </sheetData>
      <sheetData sheetId="7262">
        <row r="1">
          <cell r="J1">
            <v>1.7453292519943295E-2</v>
          </cell>
        </row>
      </sheetData>
      <sheetData sheetId="7263">
        <row r="1">
          <cell r="J1">
            <v>1.7453292519943295E-2</v>
          </cell>
        </row>
      </sheetData>
      <sheetData sheetId="7264">
        <row r="1">
          <cell r="J1">
            <v>1.7453292519943295E-2</v>
          </cell>
        </row>
      </sheetData>
      <sheetData sheetId="7265">
        <row r="1">
          <cell r="J1">
            <v>1.7453292519943295E-2</v>
          </cell>
        </row>
      </sheetData>
      <sheetData sheetId="7266">
        <row r="1">
          <cell r="J1">
            <v>1.7453292519943295E-2</v>
          </cell>
        </row>
      </sheetData>
      <sheetData sheetId="7267">
        <row r="1">
          <cell r="J1">
            <v>1.7453292519943295E-2</v>
          </cell>
        </row>
      </sheetData>
      <sheetData sheetId="7268">
        <row r="1">
          <cell r="J1">
            <v>1.7453292519943295E-2</v>
          </cell>
        </row>
      </sheetData>
      <sheetData sheetId="7269">
        <row r="1">
          <cell r="J1">
            <v>1.7453292519943295E-2</v>
          </cell>
        </row>
      </sheetData>
      <sheetData sheetId="7270">
        <row r="1">
          <cell r="J1">
            <v>1.7453292519943295E-2</v>
          </cell>
        </row>
      </sheetData>
      <sheetData sheetId="7271">
        <row r="1">
          <cell r="J1">
            <v>1.7453292519943295E-2</v>
          </cell>
        </row>
      </sheetData>
      <sheetData sheetId="7272">
        <row r="1">
          <cell r="J1">
            <v>1.7453292519943295E-2</v>
          </cell>
        </row>
      </sheetData>
      <sheetData sheetId="7273">
        <row r="1">
          <cell r="J1">
            <v>1.7453292519943295E-2</v>
          </cell>
        </row>
      </sheetData>
      <sheetData sheetId="7274">
        <row r="1">
          <cell r="J1">
            <v>1.7453292519943295E-2</v>
          </cell>
        </row>
      </sheetData>
      <sheetData sheetId="7275">
        <row r="1">
          <cell r="J1">
            <v>1.7453292519943295E-2</v>
          </cell>
        </row>
      </sheetData>
      <sheetData sheetId="7276">
        <row r="1">
          <cell r="J1">
            <v>1.7453292519943295E-2</v>
          </cell>
        </row>
      </sheetData>
      <sheetData sheetId="7277">
        <row r="1">
          <cell r="J1">
            <v>1.7453292519943295E-2</v>
          </cell>
        </row>
      </sheetData>
      <sheetData sheetId="7278">
        <row r="1">
          <cell r="J1">
            <v>1.7453292519943295E-2</v>
          </cell>
        </row>
      </sheetData>
      <sheetData sheetId="7279">
        <row r="1">
          <cell r="J1">
            <v>1.7453292519943295E-2</v>
          </cell>
        </row>
      </sheetData>
      <sheetData sheetId="7280">
        <row r="1">
          <cell r="J1">
            <v>1.7453292519943295E-2</v>
          </cell>
        </row>
      </sheetData>
      <sheetData sheetId="7281">
        <row r="1">
          <cell r="J1">
            <v>1.7453292519943295E-2</v>
          </cell>
        </row>
      </sheetData>
      <sheetData sheetId="7282">
        <row r="1">
          <cell r="J1">
            <v>1.7453292519943295E-2</v>
          </cell>
        </row>
      </sheetData>
      <sheetData sheetId="7283">
        <row r="1">
          <cell r="J1">
            <v>1.7453292519943295E-2</v>
          </cell>
        </row>
      </sheetData>
      <sheetData sheetId="7284">
        <row r="1">
          <cell r="J1">
            <v>1.7453292519943295E-2</v>
          </cell>
        </row>
      </sheetData>
      <sheetData sheetId="7285">
        <row r="1">
          <cell r="J1">
            <v>1.7453292519943295E-2</v>
          </cell>
        </row>
      </sheetData>
      <sheetData sheetId="7286">
        <row r="1">
          <cell r="J1">
            <v>1.7453292519943295E-2</v>
          </cell>
        </row>
      </sheetData>
      <sheetData sheetId="7287">
        <row r="1">
          <cell r="J1">
            <v>1.7453292519943295E-2</v>
          </cell>
        </row>
      </sheetData>
      <sheetData sheetId="7288">
        <row r="1">
          <cell r="J1">
            <v>1.7453292519943295E-2</v>
          </cell>
        </row>
      </sheetData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/>
      <sheetData sheetId="7569" refreshError="1"/>
      <sheetData sheetId="7570" refreshError="1"/>
      <sheetData sheetId="7571">
        <row r="1">
          <cell r="J1">
            <v>1.7453292519943295E-2</v>
          </cell>
        </row>
      </sheetData>
      <sheetData sheetId="7572"/>
      <sheetData sheetId="7573"/>
      <sheetData sheetId="7574">
        <row r="2">
          <cell r="B2">
            <v>1</v>
          </cell>
        </row>
      </sheetData>
      <sheetData sheetId="7575">
        <row r="1">
          <cell r="J1">
            <v>1.7453292519943295E-2</v>
          </cell>
        </row>
      </sheetData>
      <sheetData sheetId="7576">
        <row r="1">
          <cell r="J1">
            <v>1.7453292519943295E-2</v>
          </cell>
        </row>
      </sheetData>
      <sheetData sheetId="7577">
        <row r="1">
          <cell r="J1">
            <v>1.7453292519943295E-2</v>
          </cell>
        </row>
      </sheetData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>
        <row r="1">
          <cell r="J1">
            <v>1.7453292519943295E-2</v>
          </cell>
        </row>
      </sheetData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/>
      <sheetData sheetId="7789"/>
      <sheetData sheetId="7790"/>
      <sheetData sheetId="779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>
        <row r="1">
          <cell r="J1">
            <v>1.7453292519943295E-2</v>
          </cell>
        </row>
      </sheetData>
      <sheetData sheetId="8853">
        <row r="1">
          <cell r="J1">
            <v>1.7453292519943295E-2</v>
          </cell>
        </row>
      </sheetData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>
        <row r="1">
          <cell r="J1">
            <v>1.7453292519943295E-2</v>
          </cell>
        </row>
      </sheetData>
      <sheetData sheetId="8865" refreshError="1"/>
      <sheetData sheetId="8866">
        <row r="1">
          <cell r="J1">
            <v>1.7453292519943295E-2</v>
          </cell>
        </row>
      </sheetData>
      <sheetData sheetId="8867">
        <row r="1">
          <cell r="J1">
            <v>1.7453292519943295E-2</v>
          </cell>
        </row>
      </sheetData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>
        <row r="1">
          <cell r="J1">
            <v>1.7453292519943295E-2</v>
          </cell>
        </row>
      </sheetData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>
        <row r="1">
          <cell r="J1">
            <v>1.7453292519943295E-2</v>
          </cell>
        </row>
      </sheetData>
      <sheetData sheetId="8912" refreshError="1"/>
      <sheetData sheetId="8913">
        <row r="1">
          <cell r="J1">
            <v>1.7453292519943295E-2</v>
          </cell>
        </row>
      </sheetData>
      <sheetData sheetId="8914">
        <row r="1">
          <cell r="J1">
            <v>1.7453292519943295E-2</v>
          </cell>
        </row>
      </sheetData>
      <sheetData sheetId="8915" refreshError="1"/>
      <sheetData sheetId="8916" refreshError="1"/>
      <sheetData sheetId="8917">
        <row r="1">
          <cell r="J1">
            <v>1.7453292519943295E-2</v>
          </cell>
        </row>
      </sheetData>
      <sheetData sheetId="8918">
        <row r="1">
          <cell r="J1">
            <v>1.7453292519943295E-2</v>
          </cell>
        </row>
      </sheetData>
      <sheetData sheetId="8919">
        <row r="1">
          <cell r="J1">
            <v>1.7453292519943295E-2</v>
          </cell>
        </row>
      </sheetData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>
        <row r="1">
          <cell r="J1">
            <v>1.7453292519943295E-2</v>
          </cell>
        </row>
      </sheetData>
      <sheetData sheetId="8927">
        <row r="1">
          <cell r="J1">
            <v>1.7453292519943295E-2</v>
          </cell>
        </row>
      </sheetData>
      <sheetData sheetId="8928">
        <row r="1">
          <cell r="J1">
            <v>1.7453292519943295E-2</v>
          </cell>
        </row>
      </sheetData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>
        <row r="1">
          <cell r="J1">
            <v>1.7453292519943295E-2</v>
          </cell>
        </row>
      </sheetData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>
        <row r="1">
          <cell r="J1">
            <v>1.7453292519943295E-2</v>
          </cell>
        </row>
      </sheetData>
      <sheetData sheetId="8954" refreshError="1"/>
      <sheetData sheetId="8955">
        <row r="1">
          <cell r="J1">
            <v>1.7453292519943295E-2</v>
          </cell>
        </row>
      </sheetData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>
        <row r="1">
          <cell r="J1">
            <v>1.7453292519943295E-2</v>
          </cell>
        </row>
      </sheetData>
      <sheetData sheetId="8963">
        <row r="1">
          <cell r="J1">
            <v>1.7453292519943295E-2</v>
          </cell>
        </row>
      </sheetData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>
        <row r="1">
          <cell r="J1">
            <v>1.7453292519943295E-2</v>
          </cell>
        </row>
      </sheetData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>
        <row r="1">
          <cell r="J1">
            <v>1.7453292519943295E-2</v>
          </cell>
        </row>
      </sheetData>
      <sheetData sheetId="8995">
        <row r="1">
          <cell r="J1">
            <v>1.7453292519943295E-2</v>
          </cell>
        </row>
      </sheetData>
      <sheetData sheetId="8996" refreshError="1"/>
      <sheetData sheetId="8997" refreshError="1"/>
      <sheetData sheetId="8998">
        <row r="1">
          <cell r="J1">
            <v>1.7453292519943295E-2</v>
          </cell>
        </row>
      </sheetData>
      <sheetData sheetId="8999">
        <row r="1">
          <cell r="J1">
            <v>1.7453292519943295E-2</v>
          </cell>
        </row>
      </sheetData>
      <sheetData sheetId="9000">
        <row r="1">
          <cell r="J1">
            <v>1.7453292519943295E-2</v>
          </cell>
        </row>
      </sheetData>
      <sheetData sheetId="9001">
        <row r="1">
          <cell r="J1">
            <v>1.7453292519943295E-2</v>
          </cell>
        </row>
      </sheetData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>
        <row r="1">
          <cell r="J1">
            <v>1.7453292519943295E-2</v>
          </cell>
        </row>
      </sheetData>
      <sheetData sheetId="9013">
        <row r="1">
          <cell r="J1">
            <v>1.7453292519943295E-2</v>
          </cell>
        </row>
      </sheetData>
      <sheetData sheetId="9014">
        <row r="1">
          <cell r="J1">
            <v>1.7453292519943295E-2</v>
          </cell>
        </row>
      </sheetData>
      <sheetData sheetId="9015">
        <row r="1">
          <cell r="J1">
            <v>1.7453292519943295E-2</v>
          </cell>
        </row>
      </sheetData>
      <sheetData sheetId="9016" refreshError="1"/>
      <sheetData sheetId="9017" refreshError="1"/>
      <sheetData sheetId="9018" refreshError="1"/>
      <sheetData sheetId="9019" refreshError="1"/>
      <sheetData sheetId="9020">
        <row r="1">
          <cell r="J1">
            <v>1.7453292519943295E-2</v>
          </cell>
        </row>
      </sheetData>
      <sheetData sheetId="9021">
        <row r="1">
          <cell r="J1">
            <v>1.7453292519943295E-2</v>
          </cell>
        </row>
      </sheetData>
      <sheetData sheetId="9022">
        <row r="1">
          <cell r="J1">
            <v>1.7453292519943295E-2</v>
          </cell>
        </row>
      </sheetData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>
        <row r="1">
          <cell r="J1">
            <v>1.7453292519943295E-2</v>
          </cell>
        </row>
      </sheetData>
      <sheetData sheetId="9037" refreshError="1"/>
      <sheetData sheetId="9038" refreshError="1"/>
      <sheetData sheetId="9039" refreshError="1"/>
      <sheetData sheetId="9040">
        <row r="1">
          <cell r="J1">
            <v>1.7453292519943295E-2</v>
          </cell>
        </row>
      </sheetData>
      <sheetData sheetId="9041">
        <row r="1">
          <cell r="J1">
            <v>1.7453292519943295E-2</v>
          </cell>
        </row>
      </sheetData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>
        <row r="1">
          <cell r="J1">
            <v>1.7453292519943295E-2</v>
          </cell>
        </row>
      </sheetData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>
        <row r="1">
          <cell r="J1">
            <v>1.7453292519943295E-2</v>
          </cell>
        </row>
      </sheetData>
      <sheetData sheetId="9056">
        <row r="1">
          <cell r="J1">
            <v>1.7453292519943295E-2</v>
          </cell>
        </row>
      </sheetData>
      <sheetData sheetId="9057">
        <row r="1">
          <cell r="J1">
            <v>1.7453292519943295E-2</v>
          </cell>
        </row>
      </sheetData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>
        <row r="1">
          <cell r="J1">
            <v>1.7453292519943295E-2</v>
          </cell>
        </row>
      </sheetData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>
        <row r="1">
          <cell r="J1">
            <v>1.7453292519943295E-2</v>
          </cell>
        </row>
      </sheetData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>
        <row r="1">
          <cell r="J1">
            <v>1.7453292519943295E-2</v>
          </cell>
        </row>
      </sheetData>
      <sheetData sheetId="9082" refreshError="1"/>
      <sheetData sheetId="9083">
        <row r="1">
          <cell r="J1">
            <v>1.7453292519943295E-2</v>
          </cell>
        </row>
      </sheetData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>
        <row r="1">
          <cell r="J1">
            <v>1.7453292519943295E-2</v>
          </cell>
        </row>
      </sheetData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>
        <row r="1">
          <cell r="J1">
            <v>1.7453292519943295E-2</v>
          </cell>
        </row>
      </sheetData>
      <sheetData sheetId="9098">
        <row r="1">
          <cell r="J1">
            <v>1.7453292519943295E-2</v>
          </cell>
        </row>
      </sheetData>
      <sheetData sheetId="9099">
        <row r="1">
          <cell r="J1">
            <v>1.7453292519943295E-2</v>
          </cell>
        </row>
      </sheetData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>
        <row r="1">
          <cell r="J1">
            <v>1.7453292519943295E-2</v>
          </cell>
        </row>
      </sheetData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>
        <row r="1">
          <cell r="J1">
            <v>1.7453292519943295E-2</v>
          </cell>
        </row>
      </sheetData>
      <sheetData sheetId="9115">
        <row r="1">
          <cell r="J1">
            <v>1.7453292519943295E-2</v>
          </cell>
        </row>
      </sheetData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>
        <row r="1">
          <cell r="J1">
            <v>1.7453292519943295E-2</v>
          </cell>
        </row>
      </sheetData>
      <sheetData sheetId="9123">
        <row r="1">
          <cell r="J1">
            <v>1.7453292519943295E-2</v>
          </cell>
        </row>
      </sheetData>
      <sheetData sheetId="9124">
        <row r="1">
          <cell r="J1">
            <v>1.7453292519943295E-2</v>
          </cell>
        </row>
      </sheetData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>
        <row r="1">
          <cell r="J1">
            <v>1.7453292519943295E-2</v>
          </cell>
        </row>
      </sheetData>
      <sheetData sheetId="9132">
        <row r="1">
          <cell r="J1">
            <v>1.7453292519943295E-2</v>
          </cell>
        </row>
      </sheetData>
      <sheetData sheetId="9133" refreshError="1"/>
      <sheetData sheetId="9134" refreshError="1"/>
      <sheetData sheetId="9135" refreshError="1"/>
      <sheetData sheetId="9136">
        <row r="1">
          <cell r="J1">
            <v>1.7453292519943295E-2</v>
          </cell>
        </row>
      </sheetData>
      <sheetData sheetId="9137">
        <row r="1">
          <cell r="J1">
            <v>1.7453292519943295E-2</v>
          </cell>
        </row>
      </sheetData>
      <sheetData sheetId="9138" refreshError="1"/>
      <sheetData sheetId="9139">
        <row r="1">
          <cell r="J1">
            <v>1.7453292519943295E-2</v>
          </cell>
        </row>
      </sheetData>
      <sheetData sheetId="9140">
        <row r="1">
          <cell r="J1">
            <v>1.7453292519943295E-2</v>
          </cell>
        </row>
      </sheetData>
      <sheetData sheetId="9141">
        <row r="1">
          <cell r="J1">
            <v>1.7453292519943295E-2</v>
          </cell>
        </row>
      </sheetData>
      <sheetData sheetId="9142" refreshError="1"/>
      <sheetData sheetId="9143">
        <row r="1">
          <cell r="J1">
            <v>1.7453292519943295E-2</v>
          </cell>
        </row>
      </sheetData>
      <sheetData sheetId="9144" refreshError="1"/>
      <sheetData sheetId="9145" refreshError="1"/>
      <sheetData sheetId="9146" refreshError="1"/>
      <sheetData sheetId="9147" refreshError="1"/>
      <sheetData sheetId="9148">
        <row r="1">
          <cell r="J1">
            <v>1.7453292519943295E-2</v>
          </cell>
        </row>
      </sheetData>
      <sheetData sheetId="9149">
        <row r="1">
          <cell r="J1">
            <v>1.7453292519943295E-2</v>
          </cell>
        </row>
      </sheetData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>
        <row r="1">
          <cell r="J1">
            <v>1.7453292519943295E-2</v>
          </cell>
        </row>
      </sheetData>
      <sheetData sheetId="9156">
        <row r="1">
          <cell r="J1">
            <v>1.7453292519943295E-2</v>
          </cell>
        </row>
      </sheetData>
      <sheetData sheetId="9157">
        <row r="1">
          <cell r="J1">
            <v>1.7453292519943295E-2</v>
          </cell>
        </row>
      </sheetData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>
        <row r="1">
          <cell r="J1">
            <v>1.7453292519943295E-2</v>
          </cell>
        </row>
      </sheetData>
      <sheetData sheetId="9173">
        <row r="1">
          <cell r="J1">
            <v>1.7453292519943295E-2</v>
          </cell>
        </row>
      </sheetData>
      <sheetData sheetId="9174">
        <row r="1">
          <cell r="J1">
            <v>1.7453292519943295E-2</v>
          </cell>
        </row>
      </sheetData>
      <sheetData sheetId="9175">
        <row r="1">
          <cell r="J1">
            <v>1.7453292519943295E-2</v>
          </cell>
        </row>
      </sheetData>
      <sheetData sheetId="9176">
        <row r="1">
          <cell r="J1">
            <v>1.7453292519943295E-2</v>
          </cell>
        </row>
      </sheetData>
      <sheetData sheetId="9177" refreshError="1"/>
      <sheetData sheetId="9178" refreshError="1"/>
      <sheetData sheetId="9179" refreshError="1"/>
      <sheetData sheetId="9180" refreshError="1"/>
      <sheetData sheetId="9181">
        <row r="1">
          <cell r="J1">
            <v>1.7453292519943295E-2</v>
          </cell>
        </row>
      </sheetData>
      <sheetData sheetId="9182" refreshError="1"/>
      <sheetData sheetId="9183">
        <row r="1">
          <cell r="J1">
            <v>1.7453292519943295E-2</v>
          </cell>
        </row>
      </sheetData>
      <sheetData sheetId="9184" refreshError="1"/>
      <sheetData sheetId="9185">
        <row r="1">
          <cell r="J1">
            <v>1.7453292519943295E-2</v>
          </cell>
        </row>
      </sheetData>
      <sheetData sheetId="9186">
        <row r="1">
          <cell r="J1">
            <v>1.7453292519943295E-2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CCALHYD_GOO"/>
      <sheetName val="Detail In Door Stad"/>
      <sheetName val="final abstract"/>
      <sheetName val="SPT vs PHI"/>
      <sheetName val="FR3q2001SR-3"/>
      <sheetName val="UK"/>
      <sheetName val="01.11.2004"/>
      <sheetName val="RATIOS"/>
      <sheetName val="EDWise"/>
      <sheetName val="예가표"/>
      <sheetName val="Cash2"/>
      <sheetName val="Z"/>
      <sheetName val="Fee Rate Summary"/>
      <sheetName val="Total Executed"/>
      <sheetName val="Cummulative Progress"/>
      <sheetName val="Upto Previous Progress"/>
      <sheetName val="Today Progress"/>
      <sheetName val="PivotTable"/>
      <sheetName val="Manpower Status"/>
      <sheetName val="Online 67"/>
      <sheetName val="Online 62"/>
      <sheetName val="Machinery"/>
      <sheetName val="Poles Unloading Details"/>
      <sheetName val="Cummulative For RC"/>
      <sheetName val="TT Table"/>
      <sheetName val="Cummulative For DPR"/>
      <sheetName val="Flight-1"/>
      <sheetName val="Design"/>
      <sheetName val="Addl.40"/>
      <sheetName val="Scheme Area Details_Block__ C2"/>
      <sheetName val="New33KVSS_E3"/>
      <sheetName val="E8"/>
      <sheetName val="Prop aug of Ex 33KVSS_E3a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IDCCALHYD_GOO"/>
      <sheetName val="M"/>
      <sheetName val="final abstract"/>
      <sheetName val="SPT vs PHI"/>
      <sheetName val="Elect."/>
      <sheetName val="UK"/>
      <sheetName val="A"/>
      <sheetName val="RATIOS"/>
      <sheetName val="ITEM MASTER"/>
      <sheetName val="Supplier Master"/>
      <sheetName val="예가표"/>
      <sheetName val="Cash2"/>
      <sheetName val="Z"/>
      <sheetName val="01.11.2004"/>
      <sheetName val="Design"/>
      <sheetName val="Fee Rate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Sheet1"/>
      <sheetName val="Non CPA Rates"/>
      <sheetName val="Line formulas"/>
      <sheetName val="Data base (2)"/>
      <sheetName val="Overheads"/>
      <sheetName val="Comparision of CD Nov 07 Feb 08"/>
      <sheetName val="Rate Comparision Dec 07 July 08"/>
      <sheetName val="Rate Comparision Feb 06 Jul 08"/>
      <sheetName val="Activity No (A) ( 12)  "/>
      <sheetName val="Testing"/>
      <sheetName val="Data base Feb 09"/>
      <sheetName val="C_D__INDEX"/>
      <sheetName val="CPA_Cost"/>
      <sheetName val="RSJ_COst"/>
      <sheetName val="Group_IX"/>
      <sheetName val="Group_X"/>
      <sheetName val="Group_XI"/>
      <sheetName val="Group_XII"/>
      <sheetName val="Group_XIII"/>
      <sheetName val="C__D__Index1"/>
      <sheetName val="Data_base"/>
      <sheetName val="Index_(Print)"/>
      <sheetName val="COST_DATA"/>
      <sheetName val="Non_CPA_Rates"/>
      <sheetName val="Line_formulas"/>
      <sheetName val="Data_base_(2)"/>
      <sheetName val="Comparision_of_CD_Nov_07_Feb_08"/>
      <sheetName val="Rate_Comparision_Dec_07_July_08"/>
      <sheetName val="Rate_Comparision_Feb_06_Jul_08"/>
      <sheetName val="Data_base_Feb_09"/>
      <sheetName val="Vendor-Infra"/>
      <sheetName val="GTP_DRW_L"/>
      <sheetName val="C_D__INDEX1"/>
      <sheetName val="CPA_Cost1"/>
      <sheetName val="RSJ_COst1"/>
      <sheetName val="Group_IX1"/>
      <sheetName val="Group_X1"/>
      <sheetName val="Group_XI1"/>
      <sheetName val="Group_XII1"/>
      <sheetName val="Group_XIII1"/>
      <sheetName val="C__D__Index11"/>
      <sheetName val="Data_base1"/>
      <sheetName val="Index_(Print)1"/>
      <sheetName val="COST_DATA1"/>
      <sheetName val="Non_CPA_Rates1"/>
      <sheetName val="Line_formulas1"/>
      <sheetName val="Data_base_(2)1"/>
      <sheetName val="Comparision_of_CD_Nov_07_Feb_01"/>
      <sheetName val="Rate_Comparision_Dec_07_July_01"/>
      <sheetName val="Rate_Comparision_Feb_06_Jul_081"/>
      <sheetName val="Data_base_Feb_091"/>
      <sheetName val="C_D__INDEX2"/>
      <sheetName val="CPA_Cost2"/>
      <sheetName val="RSJ_COst2"/>
      <sheetName val="Group_IX2"/>
      <sheetName val="Group_X2"/>
      <sheetName val="Group_XI2"/>
      <sheetName val="Group_XII2"/>
      <sheetName val="Group_XIII2"/>
      <sheetName val="C__D__Index12"/>
      <sheetName val="Data_base2"/>
      <sheetName val="Index_(Print)2"/>
      <sheetName val="COST_DATA2"/>
      <sheetName val="Non_CPA_Rates2"/>
      <sheetName val="Line_formulas2"/>
      <sheetName val="Data_base_(2)2"/>
      <sheetName val="Comparision_of_CD_Nov_07_Feb_02"/>
      <sheetName val="Rate_Comparision_Dec_07_July_02"/>
      <sheetName val="Rate_Comparision_Feb_06_Jul_082"/>
      <sheetName val="Data_base_Feb_092"/>
      <sheetName val="C_D__INDEX3"/>
      <sheetName val="CPA_Cost3"/>
      <sheetName val="RSJ_COst3"/>
      <sheetName val="Group_IX3"/>
      <sheetName val="Group_X3"/>
      <sheetName val="Group_XI3"/>
      <sheetName val="Group_XII3"/>
      <sheetName val="Group_XIII3"/>
      <sheetName val="C__D__Index13"/>
      <sheetName val="Data_base3"/>
      <sheetName val="Index_(Print)3"/>
      <sheetName val="COST_DATA3"/>
      <sheetName val="Non_CPA_Rates3"/>
      <sheetName val="Line_formulas3"/>
      <sheetName val="Data_base_(2)3"/>
      <sheetName val="Comparision_of_CD_Nov_07_Feb_03"/>
      <sheetName val="Rate_Comparision_Dec_07_July_03"/>
      <sheetName val="Rate_Comparision_Feb_06_Jul_083"/>
      <sheetName val="Data_base_Feb_093"/>
      <sheetName val="C_D__INDEX4"/>
      <sheetName val="CPA_Cost4"/>
      <sheetName val="RSJ_COst4"/>
      <sheetName val="Group_IX4"/>
      <sheetName val="Group_X4"/>
      <sheetName val="Group_XI4"/>
      <sheetName val="Group_XII4"/>
      <sheetName val="Group_XIII4"/>
      <sheetName val="C__D__Index14"/>
      <sheetName val="Data_base4"/>
      <sheetName val="Index_(Print)4"/>
      <sheetName val="COST_DATA4"/>
      <sheetName val="Non_CPA_Rates4"/>
      <sheetName val="Line_formulas4"/>
      <sheetName val="Data_base_(2)4"/>
      <sheetName val="Comparision_of_CD_Nov_07_Feb_04"/>
      <sheetName val="Rate_Comparision_Dec_07_July_04"/>
      <sheetName val="Rate_Comparision_Feb_06_Jul_084"/>
      <sheetName val="Data_base_Feb_094"/>
      <sheetName val="IDCCALHYD_GOO"/>
      <sheetName val="I-CO"/>
      <sheetName val="cost data as per audited CPA ra"/>
      <sheetName val="Scheme Area Details_Block__ C2"/>
      <sheetName val="EDWise"/>
      <sheetName val="New33KVSS_E3"/>
      <sheetName val="Prop aug of Ex 33KVSS_E3a"/>
      <sheetName val="estimate"/>
      <sheetName val="A 3.7"/>
    </sheetNames>
    <sheetDataSet>
      <sheetData sheetId="0">
        <row r="1">
          <cell r="B1" t="str">
            <v>NAME OF MATERIAL</v>
          </cell>
        </row>
      </sheetData>
      <sheetData sheetId="1">
        <row r="1">
          <cell r="B1" t="str">
            <v>NAME OF MATERIAL</v>
          </cell>
        </row>
      </sheetData>
      <sheetData sheetId="2">
        <row r="1">
          <cell r="B1" t="str">
            <v>NAME OF MATERIAL</v>
          </cell>
        </row>
      </sheetData>
      <sheetData sheetId="3">
        <row r="5">
          <cell r="B5" t="str">
            <v>33 kV Pin Insulators with G.I. Pins</v>
          </cell>
        </row>
      </sheetData>
      <sheetData sheetId="4"/>
      <sheetData sheetId="5"/>
      <sheetData sheetId="6"/>
      <sheetData sheetId="7"/>
      <sheetData sheetId="8">
        <row r="1">
          <cell r="B1" t="str">
            <v>NAME OF MATERIAL</v>
          </cell>
        </row>
      </sheetData>
      <sheetData sheetId="9">
        <row r="1">
          <cell r="B1" t="str">
            <v>NAME OF MATERIAL</v>
          </cell>
        </row>
      </sheetData>
      <sheetData sheetId="10" refreshError="1">
        <row r="1">
          <cell r="B1" t="str">
            <v>NAME OF MATERIAL</v>
          </cell>
        </row>
        <row r="5">
          <cell r="B5" t="str">
            <v>33 kV Pin Insulators with G.I. Pins</v>
          </cell>
          <cell r="C5" t="str">
            <v>No</v>
          </cell>
          <cell r="D5">
            <v>333.82</v>
          </cell>
          <cell r="E5">
            <v>48.136843999999996</v>
          </cell>
          <cell r="F5">
            <v>381.95684399999999</v>
          </cell>
        </row>
        <row r="6">
          <cell r="B6" t="str">
            <v>22 kV Pin Insulators with G.I. Pins</v>
          </cell>
          <cell r="C6" t="str">
            <v>No</v>
          </cell>
          <cell r="D6">
            <v>277.33999999999997</v>
          </cell>
          <cell r="E6">
            <v>39.992427999999997</v>
          </cell>
          <cell r="F6">
            <v>317.33242799999999</v>
          </cell>
        </row>
        <row r="7">
          <cell r="B7" t="str">
            <v>11 kV Pin Insulators with G.I. Pins</v>
          </cell>
          <cell r="C7" t="str">
            <v>No</v>
          </cell>
          <cell r="D7">
            <v>72.36</v>
          </cell>
          <cell r="E7">
            <v>10.434312</v>
          </cell>
          <cell r="F7">
            <v>82.794312000000005</v>
          </cell>
        </row>
        <row r="8">
          <cell r="B8" t="str">
            <v>Antifog type Disc.Insulators 7000 Kg.for highly polluted area</v>
          </cell>
          <cell r="C8" t="str">
            <v>Nos</v>
          </cell>
          <cell r="D8">
            <v>493.46199999999999</v>
          </cell>
          <cell r="E8">
            <v>71.1572204</v>
          </cell>
          <cell r="F8">
            <v>564.61922040000002</v>
          </cell>
        </row>
        <row r="9">
          <cell r="B9" t="str">
            <v>Disc Insulator 11 KV 7000 KG.</v>
          </cell>
          <cell r="C9" t="str">
            <v>Nos</v>
          </cell>
          <cell r="D9">
            <v>227.11</v>
          </cell>
          <cell r="E9">
            <v>32.749262000000002</v>
          </cell>
          <cell r="F9">
            <v>259.859262</v>
          </cell>
        </row>
        <row r="10">
          <cell r="B10" t="str">
            <v>Disc Insulator 11 KV 4500 KG.</v>
          </cell>
          <cell r="C10" t="str">
            <v>Nos</v>
          </cell>
          <cell r="D10">
            <v>193</v>
          </cell>
          <cell r="E10">
            <v>27.8306</v>
          </cell>
          <cell r="F10">
            <v>220.8306</v>
          </cell>
        </row>
        <row r="11">
          <cell r="B11" t="str">
            <v>L.T.Shackle Insulator</v>
          </cell>
          <cell r="C11" t="str">
            <v>Nos</v>
          </cell>
          <cell r="D11" t="str">
            <v>-</v>
          </cell>
          <cell r="E11">
            <v>0</v>
          </cell>
          <cell r="F11">
            <v>6.6120000000000001</v>
          </cell>
        </row>
        <row r="12">
          <cell r="B12" t="str">
            <v>L.T.Shackle hardware</v>
          </cell>
          <cell r="C12" t="str">
            <v>Pair</v>
          </cell>
          <cell r="D12">
            <v>22.02</v>
          </cell>
          <cell r="E12">
            <v>3.175284</v>
          </cell>
          <cell r="F12">
            <v>25.195284000000001</v>
          </cell>
        </row>
        <row r="13">
          <cell r="B13" t="str">
            <v>Stay Insulators</v>
          </cell>
          <cell r="C13" t="str">
            <v>No</v>
          </cell>
          <cell r="D13" t="str">
            <v>-</v>
          </cell>
          <cell r="E13">
            <v>0</v>
          </cell>
          <cell r="F13">
            <v>4.63</v>
          </cell>
        </row>
        <row r="14">
          <cell r="B14" t="str">
            <v>H.T.Stay Set</v>
          </cell>
          <cell r="C14" t="str">
            <v>Set</v>
          </cell>
          <cell r="D14">
            <v>453.27</v>
          </cell>
          <cell r="E14">
            <v>65.361533999999992</v>
          </cell>
          <cell r="F14">
            <v>518.63153399999999</v>
          </cell>
        </row>
        <row r="15">
          <cell r="B15" t="str">
            <v>L.T. Stay sets</v>
          </cell>
          <cell r="C15" t="str">
            <v>Set</v>
          </cell>
          <cell r="D15">
            <v>427.96</v>
          </cell>
          <cell r="E15">
            <v>61.711831999999994</v>
          </cell>
          <cell r="F15">
            <v>489.67183199999999</v>
          </cell>
        </row>
        <row r="16">
          <cell r="B16" t="str">
            <v>Earthing Sets H.T</v>
          </cell>
          <cell r="C16" t="str">
            <v>Set</v>
          </cell>
          <cell r="D16">
            <v>207.29</v>
          </cell>
          <cell r="E16">
            <v>29.891217999999999</v>
          </cell>
          <cell r="F16">
            <v>237.181218</v>
          </cell>
        </row>
        <row r="17">
          <cell r="B17" t="str">
            <v>Earthing Sets L.T.</v>
          </cell>
          <cell r="C17" t="str">
            <v>Set</v>
          </cell>
          <cell r="D17">
            <v>100.44</v>
          </cell>
          <cell r="E17">
            <v>14.483447999999999</v>
          </cell>
          <cell r="F17">
            <v>114.92344799999999</v>
          </cell>
        </row>
        <row r="18">
          <cell r="B18" t="str">
            <v>W.P.Wire 10 mm2 T/C 1100 V Grade</v>
          </cell>
          <cell r="C18" t="str">
            <v>Coil</v>
          </cell>
          <cell r="D18">
            <v>1632.4485</v>
          </cell>
          <cell r="E18">
            <v>235.39907369999997</v>
          </cell>
          <cell r="F18">
            <v>1867.8475736999999</v>
          </cell>
        </row>
        <row r="19">
          <cell r="B19" t="str">
            <v>do-         4 mm2 T/C 1100 V Grade</v>
          </cell>
          <cell r="C19" t="str">
            <v>Coil</v>
          </cell>
          <cell r="D19">
            <v>786.15440000000001</v>
          </cell>
          <cell r="E19">
            <v>113.36346447999999</v>
          </cell>
          <cell r="F19">
            <v>899.51786447999996</v>
          </cell>
        </row>
        <row r="20">
          <cell r="B20" t="str">
            <v>do-       2.5 mm2 T/C 1100 V Grade</v>
          </cell>
          <cell r="C20" t="str">
            <v>Coil</v>
          </cell>
          <cell r="D20">
            <v>491.05279999999999</v>
          </cell>
          <cell r="E20">
            <v>70.809813759999997</v>
          </cell>
          <cell r="F20">
            <v>561.86261375999993</v>
          </cell>
        </row>
        <row r="21">
          <cell r="B21" t="str">
            <v>do-       1.5 mm2 T/C 1100 V Grade</v>
          </cell>
          <cell r="C21" t="str">
            <v>Coil</v>
          </cell>
          <cell r="D21">
            <v>412.97660000000002</v>
          </cell>
          <cell r="E21">
            <v>59.551225719999998</v>
          </cell>
          <cell r="F21">
            <v>472.52782572000001</v>
          </cell>
        </row>
        <row r="22">
          <cell r="B22" t="str">
            <v>L.T. PVC armoured cable 3 1/2 C 50 sq.mm.</v>
          </cell>
          <cell r="C22" t="str">
            <v>RMT</v>
          </cell>
          <cell r="D22">
            <v>149.31578200000001</v>
          </cell>
          <cell r="E22">
            <v>21.531335764400001</v>
          </cell>
          <cell r="F22">
            <v>170.84711776440002</v>
          </cell>
        </row>
        <row r="23">
          <cell r="B23" t="str">
            <v>L.T. PVC armoured cable 3 1/2 C 35 sq.mm.</v>
          </cell>
          <cell r="C23" t="str">
            <v>RMT</v>
          </cell>
          <cell r="D23">
            <v>111.76893</v>
          </cell>
          <cell r="E23">
            <v>16.117079705999998</v>
          </cell>
          <cell r="F23">
            <v>127.886009706</v>
          </cell>
        </row>
        <row r="24">
          <cell r="B24" t="str">
            <v>L.T.PVC Armoured cable 4core 16sq.mm.</v>
          </cell>
          <cell r="C24" t="str">
            <v>RMT</v>
          </cell>
          <cell r="D24">
            <v>77.141301999999996</v>
          </cell>
          <cell r="E24">
            <v>11.123775748399998</v>
          </cell>
          <cell r="F24">
            <v>88.265077748399989</v>
          </cell>
        </row>
        <row r="25">
          <cell r="B25" t="str">
            <v>L.T. PVC armoured cable 2/C 16 Sq.mm</v>
          </cell>
          <cell r="C25" t="str">
            <v>RMT</v>
          </cell>
          <cell r="D25">
            <v>49.473004000000003</v>
          </cell>
          <cell r="E25">
            <v>7.1340071768</v>
          </cell>
          <cell r="F25">
            <v>56.6070111768</v>
          </cell>
        </row>
        <row r="26">
          <cell r="B26" t="str">
            <v>L.T. XLPE cable 3.5 Core 300 mm2</v>
          </cell>
          <cell r="C26" t="str">
            <v>RMT</v>
          </cell>
          <cell r="D26">
            <v>604.79975200000001</v>
          </cell>
          <cell r="E26">
            <v>87.212124238399994</v>
          </cell>
          <cell r="F26">
            <v>692.01187623839996</v>
          </cell>
        </row>
        <row r="27">
          <cell r="B27" t="str">
            <v>L.T. XLPE cable 3.5 Core 240 mm2</v>
          </cell>
          <cell r="C27" t="str">
            <v>RMT</v>
          </cell>
          <cell r="D27">
            <v>491.979624</v>
          </cell>
          <cell r="E27">
            <v>70.943461780799993</v>
          </cell>
          <cell r="F27">
            <v>562.92308578079997</v>
          </cell>
        </row>
        <row r="28">
          <cell r="B28" t="str">
            <v>L.T. XLPE Armoured cable185 sq.mm.</v>
          </cell>
          <cell r="C28" t="str">
            <v>RMT</v>
          </cell>
          <cell r="D28">
            <v>389.73898400000002</v>
          </cell>
          <cell r="E28">
            <v>56.200361492799999</v>
          </cell>
          <cell r="F28">
            <v>445.93934549280004</v>
          </cell>
        </row>
        <row r="29">
          <cell r="B29" t="str">
            <v>L.T.XLPE Armoured cable120 sq.mm.</v>
          </cell>
          <cell r="C29" t="str">
            <v>RMT</v>
          </cell>
          <cell r="D29">
            <v>265.10682400000002</v>
          </cell>
          <cell r="E29">
            <v>38.228404020799999</v>
          </cell>
          <cell r="F29">
            <v>303.3352280208</v>
          </cell>
        </row>
        <row r="30">
          <cell r="B30" t="str">
            <v>L.T.XLPE Armoured cable70 sq.mm.</v>
          </cell>
          <cell r="C30" t="str">
            <v>RMT</v>
          </cell>
          <cell r="D30">
            <v>160.45592800000003</v>
          </cell>
          <cell r="E30">
            <v>23.137744817600002</v>
          </cell>
          <cell r="F30">
            <v>183.59367281760004</v>
          </cell>
        </row>
        <row r="31">
          <cell r="B31" t="str">
            <v>L.T.Aerial bunched cable(3x120)</v>
          </cell>
          <cell r="C31" t="str">
            <v>RMT</v>
          </cell>
          <cell r="D31">
            <v>229.22872799999999</v>
          </cell>
          <cell r="E31">
            <v>33.054782577599994</v>
          </cell>
          <cell r="F31">
            <v>262.2835105776</v>
          </cell>
        </row>
        <row r="32">
          <cell r="B32" t="str">
            <v>L.T.Aerial bunched cable(3x70)</v>
          </cell>
          <cell r="C32" t="str">
            <v>RMT</v>
          </cell>
          <cell r="D32">
            <v>146.90985599999999</v>
          </cell>
          <cell r="E32">
            <v>21.184401235199999</v>
          </cell>
          <cell r="F32">
            <v>168.09425723519999</v>
          </cell>
        </row>
        <row r="33">
          <cell r="B33" t="str">
            <v>L.T.Aerial bunched cable(3x50)</v>
          </cell>
          <cell r="C33" t="str">
            <v>RMT</v>
          </cell>
          <cell r="D33">
            <v>109.043792</v>
          </cell>
          <cell r="E33">
            <v>15.724114806399999</v>
          </cell>
          <cell r="F33">
            <v>124.76790680639999</v>
          </cell>
        </row>
        <row r="34">
          <cell r="B34" t="str">
            <v>XLPE Cable 33 KV, 3 C / 300 mm sq.</v>
          </cell>
          <cell r="C34" t="str">
            <v>RMT</v>
          </cell>
          <cell r="D34">
            <v>1759.33844</v>
          </cell>
          <cell r="E34">
            <v>253.69660304799999</v>
          </cell>
          <cell r="F34">
            <v>2013.035043048</v>
          </cell>
        </row>
        <row r="35">
          <cell r="B35" t="str">
            <v>XLPE Cable 22 KV, 3 C / 300 mm sq.</v>
          </cell>
          <cell r="C35" t="str">
            <v>RMT</v>
          </cell>
          <cell r="D35">
            <v>1367.33844</v>
          </cell>
          <cell r="E35">
            <v>197.17020304799999</v>
          </cell>
          <cell r="F35">
            <v>1564.5086430480001</v>
          </cell>
        </row>
        <row r="36">
          <cell r="B36" t="str">
            <v>XLPE Cable 22 KV, 3 C / 240 mm sq.</v>
          </cell>
          <cell r="C36" t="str">
            <v>RMT</v>
          </cell>
          <cell r="D36">
            <v>1266.438856</v>
          </cell>
          <cell r="E36">
            <v>182.62048303519998</v>
          </cell>
          <cell r="F36">
            <v>1449.0593390352001</v>
          </cell>
        </row>
        <row r="37">
          <cell r="B37" t="str">
            <v>XLPE Cable 22 KV, 3 C / 95 mm sq.</v>
          </cell>
          <cell r="C37" t="str">
            <v>RMT</v>
          </cell>
          <cell r="D37">
            <v>767.90962400000001</v>
          </cell>
          <cell r="E37">
            <v>110.7325677808</v>
          </cell>
          <cell r="F37">
            <v>878.64219178079998</v>
          </cell>
        </row>
        <row r="38">
          <cell r="B38" t="str">
            <v>XLPE Cable 11 kV 3C 400 sq.mm.</v>
          </cell>
          <cell r="C38" t="str">
            <v>RMT</v>
          </cell>
          <cell r="D38">
            <v>1409.9574560000001</v>
          </cell>
          <cell r="E38">
            <v>203.31586515520002</v>
          </cell>
          <cell r="F38">
            <v>1613.2733211552002</v>
          </cell>
        </row>
        <row r="39">
          <cell r="B39" t="str">
            <v>XLPE Cable 11 KV, 3 C / 300 mm sq.</v>
          </cell>
          <cell r="C39" t="str">
            <v>RMT</v>
          </cell>
          <cell r="D39">
            <v>1141.33844</v>
          </cell>
          <cell r="E39">
            <v>164.58100304799999</v>
          </cell>
          <cell r="F39">
            <v>1305.9194430479999</v>
          </cell>
        </row>
        <row r="40">
          <cell r="B40" t="str">
            <v>XLPE Cable 11 KV, 3 C / 240 mm sq.</v>
          </cell>
          <cell r="C40" t="str">
            <v>RMT</v>
          </cell>
          <cell r="D40">
            <v>957.43885599999999</v>
          </cell>
          <cell r="E40">
            <v>138.0626830352</v>
          </cell>
          <cell r="F40">
            <v>1095.5015390352</v>
          </cell>
        </row>
        <row r="41">
          <cell r="B41" t="str">
            <v>XLPE Cable 11 KV, 3 C / 185 mm sq.</v>
          </cell>
          <cell r="C41" t="str">
            <v>RMT</v>
          </cell>
          <cell r="D41">
            <v>829.68812000000003</v>
          </cell>
          <cell r="E41">
            <v>119.641026904</v>
          </cell>
          <cell r="F41">
            <v>949.32914690400003</v>
          </cell>
        </row>
        <row r="42">
          <cell r="B42" t="str">
            <v>XLPE Cable 11 KV, 3 C / 95 mm sq.</v>
          </cell>
          <cell r="C42" t="str">
            <v>RMT</v>
          </cell>
          <cell r="D42">
            <v>535.90962400000001</v>
          </cell>
          <cell r="E42">
            <v>77.278167780800004</v>
          </cell>
          <cell r="F42">
            <v>613.18779178080001</v>
          </cell>
        </row>
        <row r="43">
          <cell r="B43" t="str">
            <v>XLPE Cable 11 kV 3C 50 sq.mm.</v>
          </cell>
          <cell r="C43" t="str">
            <v>RMT</v>
          </cell>
          <cell r="D43">
            <v>417.45303999999999</v>
          </cell>
          <cell r="E43">
            <v>60.196728367999995</v>
          </cell>
          <cell r="F43">
            <v>477.64976836799997</v>
          </cell>
        </row>
        <row r="44">
          <cell r="B44" t="str">
            <v>XLPE Cable 11 kV 3C 35 sq.mm.</v>
          </cell>
          <cell r="C44" t="str">
            <v>RMT</v>
          </cell>
          <cell r="D44">
            <v>352.07028800000001</v>
          </cell>
          <cell r="E44">
            <v>50.768535529600001</v>
          </cell>
          <cell r="F44">
            <v>402.83882352960001</v>
          </cell>
        </row>
        <row r="45">
          <cell r="B45" t="str">
            <v>Armoured Copper control cable 7Cx2.5 sq.mm.</v>
          </cell>
          <cell r="C45" t="str">
            <v>RMT</v>
          </cell>
          <cell r="D45">
            <v>107.15008</v>
          </cell>
          <cell r="E45">
            <v>15.451041536</v>
          </cell>
          <cell r="F45">
            <v>122.60112153600001</v>
          </cell>
        </row>
        <row r="46">
          <cell r="B46" t="str">
            <v>Armoured Copper control cable 2Cx2.5 sq.mm.</v>
          </cell>
          <cell r="C46" t="str">
            <v>RMT</v>
          </cell>
          <cell r="D46">
            <v>52.089839999999995</v>
          </cell>
          <cell r="E46">
            <v>7.5113549279999994</v>
          </cell>
          <cell r="F46">
            <v>59.601194927999998</v>
          </cell>
        </row>
        <row r="47">
          <cell r="B47" t="str">
            <v>19 C X 2.5 sq mm  Copper Cable</v>
          </cell>
          <cell r="C47" t="str">
            <v>RMT</v>
          </cell>
          <cell r="D47">
            <v>255.63</v>
          </cell>
          <cell r="E47">
            <v>36.861846</v>
          </cell>
          <cell r="F47">
            <v>292.49184600000001</v>
          </cell>
        </row>
        <row r="48">
          <cell r="B48" t="str">
            <v>12 C X 2.5 sq mm  Copper Cable</v>
          </cell>
          <cell r="C48" t="str">
            <v>RMT</v>
          </cell>
          <cell r="D48">
            <v>142.38903999999999</v>
          </cell>
          <cell r="E48">
            <v>20.532499567999999</v>
          </cell>
          <cell r="F48">
            <v>162.92153956799999</v>
          </cell>
        </row>
        <row r="49">
          <cell r="B49" t="str">
            <v>Un-Armoured Copper control cable 7Cx2.5 sq.mm.</v>
          </cell>
          <cell r="C49" t="str">
            <v>RMT</v>
          </cell>
          <cell r="D49">
            <v>89.095079999999996</v>
          </cell>
          <cell r="E49">
            <v>12.847510536</v>
          </cell>
          <cell r="F49">
            <v>101.942590536</v>
          </cell>
        </row>
        <row r="50">
          <cell r="B50" t="str">
            <v>4 C X 2.5 sq mm  Copper Cable</v>
          </cell>
          <cell r="C50" t="str">
            <v>RMT</v>
          </cell>
          <cell r="D50">
            <v>58.332180000000001</v>
          </cell>
          <cell r="E50">
            <v>8.4115003559999995</v>
          </cell>
          <cell r="F50">
            <v>66.743680355999999</v>
          </cell>
        </row>
        <row r="51">
          <cell r="B51" t="str">
            <v>2 C X 2.5 sq mm  Copper Cable</v>
          </cell>
          <cell r="C51" t="str">
            <v>RMT</v>
          </cell>
          <cell r="D51">
            <v>34.844839999999998</v>
          </cell>
          <cell r="E51">
            <v>5.0246259279999999</v>
          </cell>
          <cell r="F51">
            <v>39.869465927999997</v>
          </cell>
        </row>
        <row r="52">
          <cell r="B52" t="str">
            <v>L.T. PVC armoured cable 2/C 50 Sq.mm</v>
          </cell>
          <cell r="C52" t="str">
            <v>KM</v>
          </cell>
          <cell r="D52">
            <v>86338.009000000005</v>
          </cell>
          <cell r="E52">
            <v>12449.940897800001</v>
          </cell>
          <cell r="F52">
            <v>98787.949897800005</v>
          </cell>
        </row>
        <row r="53">
          <cell r="B53" t="str">
            <v>R.S. service connection pipe 25 mm dia</v>
          </cell>
          <cell r="C53" t="str">
            <v>Mtr</v>
          </cell>
          <cell r="E53">
            <v>0</v>
          </cell>
          <cell r="F53">
            <v>0</v>
          </cell>
        </row>
        <row r="54">
          <cell r="B54" t="str">
            <v>R.S. service connection pipe 20 mm dia</v>
          </cell>
          <cell r="C54" t="str">
            <v>Mtr.</v>
          </cell>
          <cell r="E54">
            <v>0</v>
          </cell>
          <cell r="F54">
            <v>0</v>
          </cell>
        </row>
        <row r="55">
          <cell r="B55" t="str">
            <v>33 KV Pin Insulators{CD 840mm]</v>
          </cell>
          <cell r="C55" t="str">
            <v>No.</v>
          </cell>
          <cell r="D55">
            <v>355.21100000000001</v>
          </cell>
          <cell r="E55">
            <v>51.221426200000003</v>
          </cell>
          <cell r="F55">
            <v>406.43242620000001</v>
          </cell>
        </row>
        <row r="56">
          <cell r="B56" t="str">
            <v>33 KV Pin Insulators{CD 840mm]</v>
          </cell>
          <cell r="C56" t="str">
            <v>No.</v>
          </cell>
          <cell r="D56">
            <v>355.21100000000001</v>
          </cell>
          <cell r="E56">
            <v>51.221426000000001</v>
          </cell>
          <cell r="F56">
            <v>406.43242600000002</v>
          </cell>
        </row>
        <row r="57">
          <cell r="B57" t="str">
            <v>Material Description</v>
          </cell>
          <cell r="C57" t="str">
            <v>Unit</v>
          </cell>
          <cell r="D57" t="str">
            <v>Ex-works</v>
          </cell>
          <cell r="E57" t="str">
            <v>Excise</v>
          </cell>
          <cell r="F57" t="str">
            <v>Total Rate per unit As on Jul 08</v>
          </cell>
        </row>
        <row r="58">
          <cell r="B58" t="str">
            <v xml:space="preserve">S.P.Static Meter 5-30 A with LCD display with Box   </v>
          </cell>
          <cell r="C58" t="str">
            <v>No.</v>
          </cell>
          <cell r="D58">
            <v>632.46</v>
          </cell>
          <cell r="E58">
            <v>91.200732000000002</v>
          </cell>
          <cell r="F58">
            <v>723.66073200000005</v>
          </cell>
        </row>
        <row r="59">
          <cell r="B59" t="str">
            <v>S.P.Static Meter 5-30 A With LCD Display without Box</v>
          </cell>
          <cell r="C59" t="str">
            <v>No.</v>
          </cell>
          <cell r="D59">
            <v>537.64</v>
          </cell>
          <cell r="E59">
            <v>77.527687999999998</v>
          </cell>
          <cell r="F59">
            <v>615.167688</v>
          </cell>
        </row>
        <row r="60">
          <cell r="B60" t="str">
            <v>S.P.Static Meter 10-60 A with LCD Display with Box</v>
          </cell>
          <cell r="C60" t="str">
            <v>No.</v>
          </cell>
          <cell r="D60">
            <v>942.83</v>
          </cell>
          <cell r="E60">
            <v>0</v>
          </cell>
          <cell r="F60">
            <v>942.83</v>
          </cell>
        </row>
        <row r="61">
          <cell r="B61" t="str">
            <v xml:space="preserve">T.P.Meter 10-40 A Static type with KWH &amp; KVAMD </v>
          </cell>
          <cell r="C61" t="str">
            <v>No.</v>
          </cell>
          <cell r="D61">
            <v>2136.63</v>
          </cell>
          <cell r="E61">
            <v>0</v>
          </cell>
          <cell r="F61">
            <v>2136.63</v>
          </cell>
        </row>
        <row r="62">
          <cell r="B62" t="str">
            <v>C.T.Op Metering Unit of 50/5A rating with electronic type meter, cabinet etc.</v>
          </cell>
          <cell r="C62" t="str">
            <v>Set</v>
          </cell>
          <cell r="D62">
            <v>22610</v>
          </cell>
          <cell r="E62">
            <v>3260.3620000000001</v>
          </cell>
          <cell r="F62">
            <v>25870.362000000001</v>
          </cell>
        </row>
        <row r="63">
          <cell r="B63" t="str">
            <v>C.T.Op Metering Unit of 100/5A rating with electronic type meter, cabinet etc.</v>
          </cell>
          <cell r="C63" t="str">
            <v>Set</v>
          </cell>
          <cell r="D63">
            <v>22665.72</v>
          </cell>
          <cell r="E63">
            <v>3268.3968239999999</v>
          </cell>
          <cell r="F63">
            <v>25934.116824000001</v>
          </cell>
        </row>
        <row r="64">
          <cell r="B64" t="str">
            <v>C.T.Operated Electronic Meter 50/5A with Communication Port RS-232.</v>
          </cell>
          <cell r="C64" t="str">
            <v>No</v>
          </cell>
          <cell r="D64">
            <v>3822.22</v>
          </cell>
          <cell r="E64">
            <v>551.1641239999999</v>
          </cell>
          <cell r="F64">
            <v>4373.3841240000002</v>
          </cell>
        </row>
        <row r="65">
          <cell r="B65" t="str">
            <v>C.T.Operated Electronic Meter 100/5A with Communication Port RS-232.</v>
          </cell>
          <cell r="C65" t="str">
            <v>No.</v>
          </cell>
          <cell r="D65">
            <v>3690</v>
          </cell>
          <cell r="E65">
            <v>532.09799999999996</v>
          </cell>
          <cell r="F65">
            <v>4222.098</v>
          </cell>
        </row>
        <row r="66">
          <cell r="B66" t="str">
            <v>H.T.Static Three Vector T.O.D. Meter</v>
          </cell>
          <cell r="C66" t="str">
            <v>No</v>
          </cell>
          <cell r="D66">
            <v>3315</v>
          </cell>
          <cell r="E66">
            <v>478.02299999999997</v>
          </cell>
          <cell r="F66">
            <v>3793.0230000000001</v>
          </cell>
        </row>
        <row r="67">
          <cell r="B67" t="str">
            <v>L.T. C.T. Operated Meter Box [without CT &amp; Meter]</v>
          </cell>
          <cell r="C67" t="str">
            <v>No.</v>
          </cell>
          <cell r="D67">
            <v>1489.81</v>
          </cell>
          <cell r="E67">
            <v>214.83060199999997</v>
          </cell>
          <cell r="F67">
            <v>1704.6406019999999</v>
          </cell>
        </row>
        <row r="68">
          <cell r="B68" t="str">
            <v xml:space="preserve">L.T. Current Transformer. 500/5A  </v>
          </cell>
          <cell r="C68" t="str">
            <v>No.</v>
          </cell>
          <cell r="D68">
            <v>193</v>
          </cell>
          <cell r="E68">
            <v>0</v>
          </cell>
          <cell r="F68">
            <v>193</v>
          </cell>
        </row>
        <row r="69">
          <cell r="B69" t="str">
            <v xml:space="preserve">L.T. Current Transformer. 300/5A </v>
          </cell>
          <cell r="C69" t="str">
            <v>No.</v>
          </cell>
          <cell r="D69">
            <v>193</v>
          </cell>
          <cell r="E69">
            <v>0</v>
          </cell>
          <cell r="F69">
            <v>193</v>
          </cell>
        </row>
        <row r="70">
          <cell r="B70" t="str">
            <v xml:space="preserve">L.T. Current Transformer. 200/5A </v>
          </cell>
          <cell r="C70" t="str">
            <v>No.</v>
          </cell>
          <cell r="D70">
            <v>148</v>
          </cell>
          <cell r="E70">
            <v>21.3416</v>
          </cell>
          <cell r="F70">
            <v>169.3416</v>
          </cell>
        </row>
        <row r="71">
          <cell r="B71" t="str">
            <v>L.T.Dist.Boxes 25/63 KVA with MCCB</v>
          </cell>
          <cell r="C71" t="str">
            <v>No</v>
          </cell>
          <cell r="D71">
            <v>18289.55</v>
          </cell>
          <cell r="E71">
            <v>2637.35311</v>
          </cell>
          <cell r="F71">
            <v>20926.903109999999</v>
          </cell>
        </row>
        <row r="72">
          <cell r="B72" t="str">
            <v>L.T.Dist.Boxes 25/63 KVA with KITKAT</v>
          </cell>
          <cell r="C72" t="str">
            <v>No</v>
          </cell>
          <cell r="D72">
            <v>16406.75</v>
          </cell>
          <cell r="E72">
            <v>2365.8533499999999</v>
          </cell>
          <cell r="F72">
            <v>18772.603350000001</v>
          </cell>
        </row>
        <row r="73">
          <cell r="B73" t="str">
            <v>L.T.Dist.Boxes 100 KVA with MCCB</v>
          </cell>
          <cell r="C73" t="str">
            <v>No</v>
          </cell>
          <cell r="D73">
            <v>18281.349999999999</v>
          </cell>
          <cell r="E73">
            <v>2636.1706699999995</v>
          </cell>
          <cell r="F73">
            <v>20917.520669999998</v>
          </cell>
        </row>
        <row r="74">
          <cell r="B74" t="str">
            <v>L.T.Dist.Boxes 100 KVA with KITKAT</v>
          </cell>
          <cell r="C74" t="str">
            <v>No</v>
          </cell>
          <cell r="D74">
            <v>17159.34</v>
          </cell>
          <cell r="E74">
            <v>2474.3768279999999</v>
          </cell>
          <cell r="F74">
            <v>19633.716828000001</v>
          </cell>
        </row>
        <row r="75">
          <cell r="B75" t="str">
            <v>L.T.Dist.Boxes 200 KVA with MCCB</v>
          </cell>
          <cell r="C75" t="str">
            <v>No</v>
          </cell>
          <cell r="D75">
            <v>34325.300000000003</v>
          </cell>
          <cell r="E75">
            <v>4949.7082600000003</v>
          </cell>
          <cell r="F75">
            <v>39275.008260000002</v>
          </cell>
        </row>
        <row r="76">
          <cell r="B76" t="str">
            <v>Common Meter Reading Instru. for Static Meters.</v>
          </cell>
          <cell r="C76" t="str">
            <v>No</v>
          </cell>
          <cell r="D76">
            <v>25767.61</v>
          </cell>
          <cell r="E76">
            <v>3715.6893620000001</v>
          </cell>
          <cell r="F76">
            <v>29483.299362000002</v>
          </cell>
        </row>
        <row r="77">
          <cell r="B77" t="str">
            <v>Single Phase Distribution Box 15/25 KVA</v>
          </cell>
          <cell r="C77" t="str">
            <v>No</v>
          </cell>
          <cell r="D77">
            <v>2651.32</v>
          </cell>
          <cell r="E77">
            <v>382.32034400000003</v>
          </cell>
          <cell r="F77">
            <v>3033.6403440000004</v>
          </cell>
        </row>
        <row r="80">
          <cell r="B80" t="str">
            <v>Single Phase Distribution Box 15/25 KVA</v>
          </cell>
          <cell r="C80" t="str">
            <v>No</v>
          </cell>
          <cell r="D80">
            <v>2651.32</v>
          </cell>
          <cell r="E80">
            <v>382.32034399999998</v>
          </cell>
          <cell r="F80">
            <v>3033.6403439999999</v>
          </cell>
        </row>
        <row r="81">
          <cell r="B81" t="str">
            <v>Item</v>
          </cell>
          <cell r="C81" t="str">
            <v>Size</v>
          </cell>
          <cell r="F81" t="str">
            <v>Ex. Work Rate</v>
          </cell>
        </row>
        <row r="82">
          <cell r="B82" t="str">
            <v>Ant To Ant</v>
          </cell>
          <cell r="C82" t="str">
            <v>50 SQ. MM</v>
          </cell>
          <cell r="F82">
            <v>125</v>
          </cell>
        </row>
        <row r="83">
          <cell r="B83" t="str">
            <v>GNAT To GNAT</v>
          </cell>
          <cell r="C83" t="str">
            <v xml:space="preserve">25 SQ. MM </v>
          </cell>
          <cell r="F83">
            <v>125</v>
          </cell>
        </row>
        <row r="84">
          <cell r="B84" t="str">
            <v>WEASEL TO WEASEL</v>
          </cell>
          <cell r="C84" t="str">
            <v>0.03 SQ. INCH</v>
          </cell>
          <cell r="F84">
            <v>150</v>
          </cell>
        </row>
        <row r="85">
          <cell r="B85" t="str">
            <v>WEASEL To ANT/ GNAT</v>
          </cell>
          <cell r="C85" t="str">
            <v>0.03 SQ. INCH</v>
          </cell>
          <cell r="F85">
            <v>155</v>
          </cell>
        </row>
        <row r="86">
          <cell r="B86" t="str">
            <v>RABIT To RABIT</v>
          </cell>
          <cell r="C86" t="str">
            <v>0.05 SQ. Inch</v>
          </cell>
          <cell r="F86">
            <v>150</v>
          </cell>
        </row>
        <row r="87">
          <cell r="B87" t="str">
            <v>DOG TO DOG</v>
          </cell>
          <cell r="C87" t="str">
            <v>0.1SQ. INCH</v>
          </cell>
          <cell r="F87">
            <v>750</v>
          </cell>
        </row>
        <row r="88">
          <cell r="B88" t="str">
            <v>RACCON TO RACCON</v>
          </cell>
          <cell r="C88" t="str">
            <v>0.08 SQ. INCH</v>
          </cell>
          <cell r="F88">
            <v>550</v>
          </cell>
        </row>
        <row r="89">
          <cell r="B89" t="str">
            <v>PANTHER TO PANTHER</v>
          </cell>
          <cell r="C89" t="str">
            <v>0.2 SQ. INCH</v>
          </cell>
          <cell r="F89">
            <v>1000</v>
          </cell>
        </row>
        <row r="92">
          <cell r="F92">
            <v>1000</v>
          </cell>
        </row>
        <row r="93">
          <cell r="B93" t="str">
            <v>UPDATED RATES OF ITEMS FOR SUPPLIES IN OCT- 07</v>
          </cell>
        </row>
        <row r="94">
          <cell r="B94" t="str">
            <v>Item Code No.</v>
          </cell>
          <cell r="C94" t="str">
            <v>Material</v>
          </cell>
          <cell r="D94" t="str">
            <v>Ex-works</v>
          </cell>
          <cell r="E94" t="str">
            <v>Excise</v>
          </cell>
          <cell r="F94" t="str">
            <v>Total Rate per unit As on Jul 08</v>
          </cell>
        </row>
        <row r="95">
          <cell r="B95" t="str">
            <v>ACSR Panther</v>
          </cell>
          <cell r="C95" t="str">
            <v>Rmt</v>
          </cell>
          <cell r="D95">
            <v>112.63947</v>
          </cell>
          <cell r="E95">
            <v>16.242611574000001</v>
          </cell>
          <cell r="F95">
            <v>128.88208157400001</v>
          </cell>
        </row>
        <row r="96">
          <cell r="B96" t="str">
            <v>ACSR Dog</v>
          </cell>
          <cell r="C96" t="str">
            <v>Rmt</v>
          </cell>
          <cell r="D96">
            <v>52.050229999999999</v>
          </cell>
          <cell r="E96">
            <v>7.5056431659999996</v>
          </cell>
          <cell r="F96">
            <v>59.555873165999998</v>
          </cell>
        </row>
        <row r="97">
          <cell r="B97" t="str">
            <v>ACSR Weasel</v>
          </cell>
          <cell r="C97" t="str">
            <v>Rmt</v>
          </cell>
          <cell r="D97">
            <v>16.23949</v>
          </cell>
          <cell r="E97">
            <v>2.3417344579999999</v>
          </cell>
          <cell r="F97">
            <v>18.581224458000001</v>
          </cell>
        </row>
        <row r="98">
          <cell r="B98" t="str">
            <v>AAC Ant</v>
          </cell>
          <cell r="C98" t="str">
            <v>Rmt</v>
          </cell>
          <cell r="D98">
            <v>22.194179999999999</v>
          </cell>
          <cell r="E98">
            <v>3.2004007559999996</v>
          </cell>
          <cell r="F98">
            <v>25.394580756</v>
          </cell>
        </row>
        <row r="99">
          <cell r="B99" t="str">
            <v>AAC Gnat</v>
          </cell>
          <cell r="C99" t="str">
            <v>Rmt</v>
          </cell>
          <cell r="D99">
            <v>11.636620000000001</v>
          </cell>
          <cell r="E99">
            <v>1.678000604</v>
          </cell>
          <cell r="F99">
            <v>13.314620604</v>
          </cell>
        </row>
        <row r="100">
          <cell r="B100" t="str">
            <v>AAAC 34 mm2</v>
          </cell>
          <cell r="C100" t="str">
            <v>Rmt</v>
          </cell>
          <cell r="D100">
            <v>16.0503</v>
          </cell>
          <cell r="E100">
            <v>2.3144532600000001</v>
          </cell>
          <cell r="F100">
            <v>18.364753260000001</v>
          </cell>
        </row>
        <row r="101">
          <cell r="B101" t="str">
            <v>AAAC 55 mm2</v>
          </cell>
          <cell r="C101" t="str">
            <v>Rmt</v>
          </cell>
          <cell r="D101">
            <v>25.333539999999999</v>
          </cell>
          <cell r="E101">
            <v>3.6530964679999998</v>
          </cell>
          <cell r="F101">
            <v>28.986636468</v>
          </cell>
        </row>
        <row r="102">
          <cell r="B102" t="str">
            <v>AAAC 100 mm2</v>
          </cell>
          <cell r="C102" t="str">
            <v>Rmt</v>
          </cell>
          <cell r="D102">
            <v>46.132910000000003</v>
          </cell>
          <cell r="E102">
            <v>6.6523656220000005</v>
          </cell>
          <cell r="F102">
            <v>52.785275622</v>
          </cell>
        </row>
        <row r="103">
          <cell r="B103" t="str">
            <v>AAAC 232 mm2</v>
          </cell>
          <cell r="C103" t="str">
            <v>Rmt</v>
          </cell>
          <cell r="D103">
            <v>96.1845</v>
          </cell>
          <cell r="E103">
            <v>13.8698049</v>
          </cell>
          <cell r="F103">
            <v>110.05430490000001</v>
          </cell>
        </row>
        <row r="104">
          <cell r="B104" t="str">
            <v>11KV A.B. Switch</v>
          </cell>
          <cell r="C104" t="str">
            <v>Set</v>
          </cell>
          <cell r="D104">
            <v>8376.41</v>
          </cell>
          <cell r="E104">
            <v>1207.878322</v>
          </cell>
          <cell r="F104">
            <v>9584.2883220000003</v>
          </cell>
        </row>
        <row r="105">
          <cell r="B105" t="str">
            <v>22KV A.B.Switch</v>
          </cell>
          <cell r="C105" t="str">
            <v>Set</v>
          </cell>
          <cell r="D105">
            <v>13851.04</v>
          </cell>
          <cell r="E105">
            <v>0</v>
          </cell>
          <cell r="F105">
            <v>13851.04</v>
          </cell>
        </row>
        <row r="106">
          <cell r="B106" t="str">
            <v>11KV H.G.Fuses</v>
          </cell>
          <cell r="C106" t="str">
            <v>Set</v>
          </cell>
          <cell r="D106">
            <v>1953.09</v>
          </cell>
          <cell r="E106">
            <v>0</v>
          </cell>
          <cell r="F106">
            <v>1953.09</v>
          </cell>
        </row>
        <row r="107">
          <cell r="B107" t="str">
            <v>22KV H.G.Fuses</v>
          </cell>
          <cell r="C107" t="str">
            <v>Set</v>
          </cell>
          <cell r="D107">
            <v>4882.8</v>
          </cell>
          <cell r="E107">
            <v>0</v>
          </cell>
          <cell r="F107">
            <v>4882.8</v>
          </cell>
        </row>
        <row r="108">
          <cell r="B108" t="str">
            <v>Strain Hardware for AAAC232 sq.mm.</v>
          </cell>
          <cell r="C108" t="str">
            <v>Set</v>
          </cell>
          <cell r="D108">
            <v>495</v>
          </cell>
          <cell r="E108">
            <v>0</v>
          </cell>
          <cell r="F108">
            <v>495</v>
          </cell>
        </row>
        <row r="109">
          <cell r="B109" t="str">
            <v xml:space="preserve">Strain Hardware for0.2 ACSR </v>
          </cell>
          <cell r="C109" t="str">
            <v>Set</v>
          </cell>
          <cell r="D109">
            <v>538.72</v>
          </cell>
          <cell r="E109">
            <v>0</v>
          </cell>
          <cell r="F109">
            <v>538.72</v>
          </cell>
        </row>
        <row r="110">
          <cell r="B110" t="str">
            <v xml:space="preserve">Suspension Hardware for 0.2 ACSR </v>
          </cell>
          <cell r="C110" t="str">
            <v>Set</v>
          </cell>
          <cell r="D110">
            <v>280</v>
          </cell>
          <cell r="E110">
            <v>0</v>
          </cell>
          <cell r="F110">
            <v>280</v>
          </cell>
        </row>
        <row r="111">
          <cell r="B111" t="str">
            <v>Strain Hardware forWeasel/Squirrel</v>
          </cell>
          <cell r="C111" t="str">
            <v>Set</v>
          </cell>
          <cell r="D111">
            <v>171.76</v>
          </cell>
          <cell r="E111">
            <v>0</v>
          </cell>
          <cell r="F111">
            <v>171.76</v>
          </cell>
        </row>
        <row r="112">
          <cell r="B112" t="str">
            <v>Strain Hardware for Dog0.1 or Equ.AAAC.</v>
          </cell>
          <cell r="C112" t="str">
            <v>Set</v>
          </cell>
          <cell r="D112">
            <v>332.22</v>
          </cell>
          <cell r="E112">
            <v>0</v>
          </cell>
          <cell r="F112">
            <v>332.22</v>
          </cell>
        </row>
        <row r="113">
          <cell r="B113" t="str">
            <v>SSN Hardware for 0.1 Dog or AAAC 100 Sq.mm</v>
          </cell>
          <cell r="C113" t="str">
            <v>Set</v>
          </cell>
          <cell r="D113">
            <v>185.62</v>
          </cell>
          <cell r="E113">
            <v>0</v>
          </cell>
          <cell r="F113">
            <v>185.62</v>
          </cell>
        </row>
        <row r="114">
          <cell r="B114" t="str">
            <v>G.I.Wire 8 SWG/ 6 SWG</v>
          </cell>
          <cell r="C114" t="str">
            <v>Kg.</v>
          </cell>
          <cell r="D114">
            <v>43.375500000000002</v>
          </cell>
          <cell r="E114">
            <v>6.2547471000000003</v>
          </cell>
          <cell r="F114">
            <v>49.630247100000005</v>
          </cell>
        </row>
        <row r="115">
          <cell r="B115" t="str">
            <v>G.I.Wire 8 SWG/ 6 SWG</v>
          </cell>
          <cell r="C115" t="str">
            <v>Kg.</v>
          </cell>
          <cell r="D115">
            <v>43.375500000000002</v>
          </cell>
          <cell r="E115">
            <v>6.2547471000000003</v>
          </cell>
          <cell r="F115">
            <v>49.630247100000005</v>
          </cell>
        </row>
        <row r="116">
          <cell r="B116" t="str">
            <v>G.I.Wire 3.15mm (10 SWG)</v>
          </cell>
          <cell r="C116" t="str">
            <v>Kg.</v>
          </cell>
          <cell r="D116">
            <v>43.375500000000002</v>
          </cell>
          <cell r="E116">
            <v>6.2547471000000003</v>
          </cell>
          <cell r="F116">
            <v>49.630247100000005</v>
          </cell>
        </row>
        <row r="117">
          <cell r="B117" t="str">
            <v>G.I.Stay Wire 7/4mm(8 SWG)</v>
          </cell>
          <cell r="C117" t="str">
            <v>Kg.</v>
          </cell>
          <cell r="D117">
            <v>45.441000000000003</v>
          </cell>
          <cell r="E117">
            <v>6.5525922000000003</v>
          </cell>
          <cell r="F117">
            <v>51.993592200000002</v>
          </cell>
        </row>
        <row r="118">
          <cell r="B118" t="str">
            <v>G.I.Stay Wire 7/3.15mm(10SWG)</v>
          </cell>
          <cell r="C118" t="str">
            <v>Kg.</v>
          </cell>
          <cell r="D118">
            <v>45.441000000000003</v>
          </cell>
          <cell r="E118">
            <v>6.5525922000000003</v>
          </cell>
          <cell r="F118">
            <v>51.993592200000002</v>
          </cell>
        </row>
        <row r="119">
          <cell r="B119" t="str">
            <v xml:space="preserve">G.I.Barbed Wire `A' type. </v>
          </cell>
          <cell r="C119" t="str">
            <v>Kg.</v>
          </cell>
          <cell r="D119">
            <v>51.787999999999997</v>
          </cell>
          <cell r="E119">
            <v>0</v>
          </cell>
          <cell r="F119">
            <v>51.787999999999997</v>
          </cell>
        </row>
        <row r="120">
          <cell r="B120" t="str">
            <v>RSJ 116x100, 6 m long</v>
          </cell>
          <cell r="C120" t="str">
            <v>No.</v>
          </cell>
          <cell r="D120">
            <v>5887.8665999999994</v>
          </cell>
          <cell r="E120">
            <v>849.03036371999985</v>
          </cell>
          <cell r="F120">
            <v>6736.8969637199989</v>
          </cell>
        </row>
        <row r="121">
          <cell r="B121" t="str">
            <v>RSJ 116x100, 8 m long</v>
          </cell>
          <cell r="C121" t="str">
            <v>No.</v>
          </cell>
          <cell r="D121">
            <v>7850.4888000000001</v>
          </cell>
          <cell r="E121">
            <v>1132.04048496</v>
          </cell>
          <cell r="F121">
            <v>8982.529284960001</v>
          </cell>
        </row>
        <row r="122">
          <cell r="B122" t="str">
            <v>RSJ 116x100, 9 m long</v>
          </cell>
          <cell r="C122" t="str">
            <v>No.</v>
          </cell>
          <cell r="D122">
            <v>8831.7998999999982</v>
          </cell>
          <cell r="E122">
            <v>1273.5455455799997</v>
          </cell>
          <cell r="F122">
            <v>10105.345445579998</v>
          </cell>
        </row>
        <row r="123">
          <cell r="B123" t="str">
            <v>RSJ 116x100, 10 m long</v>
          </cell>
          <cell r="C123" t="str">
            <v>No.</v>
          </cell>
          <cell r="D123">
            <v>9813.1110000000008</v>
          </cell>
          <cell r="E123">
            <v>1415.0506062000002</v>
          </cell>
          <cell r="F123">
            <v>11228.161606200001</v>
          </cell>
        </row>
        <row r="124">
          <cell r="B124" t="str">
            <v>RSJ 116x100, 11 m long</v>
          </cell>
          <cell r="C124" t="str">
            <v>No.</v>
          </cell>
          <cell r="D124">
            <v>10794.4221</v>
          </cell>
          <cell r="E124">
            <v>1556.5556668199999</v>
          </cell>
          <cell r="F124">
            <v>12350.97776682</v>
          </cell>
        </row>
        <row r="125">
          <cell r="B125" t="str">
            <v>RSJ 116x100, 12 m long</v>
          </cell>
          <cell r="C125" t="str">
            <v>No.</v>
          </cell>
          <cell r="D125">
            <v>11775.733199999999</v>
          </cell>
          <cell r="E125">
            <v>1698.0607274399997</v>
          </cell>
          <cell r="F125">
            <v>13473.793927439998</v>
          </cell>
        </row>
        <row r="126">
          <cell r="B126" t="str">
            <v>RSJ 116x100, 13 m long</v>
          </cell>
          <cell r="C126" t="str">
            <v>No.</v>
          </cell>
          <cell r="D126">
            <v>12757.0443</v>
          </cell>
          <cell r="E126">
            <v>1839.5657880599999</v>
          </cell>
          <cell r="F126">
            <v>14596.610088059999</v>
          </cell>
        </row>
        <row r="127">
          <cell r="B127" t="str">
            <v>RSJ 152x152, 6 m long</v>
          </cell>
          <cell r="C127" t="str">
            <v>No.</v>
          </cell>
          <cell r="D127">
            <v>9497.3848200000011</v>
          </cell>
          <cell r="E127">
            <v>1369.5228910440001</v>
          </cell>
          <cell r="F127">
            <v>10866.907711044001</v>
          </cell>
        </row>
        <row r="128">
          <cell r="B128" t="str">
            <v>RSJ 152x152, 8 m long</v>
          </cell>
          <cell r="C128" t="str">
            <v>No.</v>
          </cell>
          <cell r="D128">
            <v>12663.179759999999</v>
          </cell>
          <cell r="E128">
            <v>1826.0305213919999</v>
          </cell>
          <cell r="F128">
            <v>14489.210281391999</v>
          </cell>
        </row>
        <row r="129">
          <cell r="B129" t="str">
            <v>RSJ 152x152, 9 m long</v>
          </cell>
          <cell r="C129" t="str">
            <v>No.</v>
          </cell>
          <cell r="D129">
            <v>14246.077230000001</v>
          </cell>
          <cell r="E129">
            <v>2054.2843365660001</v>
          </cell>
          <cell r="F129">
            <v>16300.361566566</v>
          </cell>
        </row>
        <row r="130">
          <cell r="B130" t="str">
            <v>RSJ 152x152, 10 m long</v>
          </cell>
          <cell r="C130" t="str">
            <v>No.</v>
          </cell>
          <cell r="D130">
            <v>15828.974699999999</v>
          </cell>
          <cell r="E130">
            <v>2282.5381517399996</v>
          </cell>
          <cell r="F130">
            <v>18111.512851739997</v>
          </cell>
        </row>
        <row r="131">
          <cell r="B131" t="str">
            <v>RSJ 152x152, 11 m long</v>
          </cell>
          <cell r="C131" t="str">
            <v>No.</v>
          </cell>
          <cell r="D131">
            <v>17411.872169999999</v>
          </cell>
          <cell r="E131">
            <v>2510.7919669139997</v>
          </cell>
          <cell r="F131">
            <v>19922.664136913998</v>
          </cell>
        </row>
        <row r="132">
          <cell r="B132" t="str">
            <v>RSJ 152x152, 12 m long</v>
          </cell>
          <cell r="C132" t="str">
            <v>No.</v>
          </cell>
          <cell r="D132">
            <v>18994.769640000002</v>
          </cell>
          <cell r="E132">
            <v>2739.0457820880001</v>
          </cell>
          <cell r="F132">
            <v>21733.815422088002</v>
          </cell>
        </row>
        <row r="133">
          <cell r="B133" t="str">
            <v>RSJ 152x152, 13 m long</v>
          </cell>
          <cell r="C133" t="str">
            <v>No.</v>
          </cell>
          <cell r="D133">
            <v>20577.667109999999</v>
          </cell>
          <cell r="E133">
            <v>2967.2995972619997</v>
          </cell>
          <cell r="F133">
            <v>23544.966707262</v>
          </cell>
        </row>
        <row r="134">
          <cell r="B134" t="str">
            <v>RSJ 125x70, 6 m long</v>
          </cell>
          <cell r="C134" t="str">
            <v>No.</v>
          </cell>
          <cell r="D134">
            <v>3305.4596400000005</v>
          </cell>
          <cell r="E134">
            <v>476.64728008800006</v>
          </cell>
          <cell r="F134">
            <v>3782.1069200880006</v>
          </cell>
        </row>
        <row r="135">
          <cell r="B135" t="str">
            <v>RSJ 125x70, 8 m long</v>
          </cell>
          <cell r="C135" t="str">
            <v>No.</v>
          </cell>
          <cell r="D135">
            <v>4407.27952</v>
          </cell>
          <cell r="E135">
            <v>635.52970678400004</v>
          </cell>
          <cell r="F135">
            <v>5042.8092267840002</v>
          </cell>
        </row>
        <row r="136">
          <cell r="B136" t="str">
            <v>RSJ 125x70, 9 m long</v>
          </cell>
          <cell r="C136" t="str">
            <v>No.</v>
          </cell>
          <cell r="D136">
            <v>4958.1894600000005</v>
          </cell>
          <cell r="E136">
            <v>714.97092013200006</v>
          </cell>
          <cell r="F136">
            <v>5673.1603801320007</v>
          </cell>
        </row>
        <row r="137">
          <cell r="B137" t="str">
            <v>RSJ 125x70, 10 m long</v>
          </cell>
          <cell r="C137" t="str">
            <v>No.</v>
          </cell>
          <cell r="D137">
            <v>5509.0994000000001</v>
          </cell>
          <cell r="E137">
            <v>794.41213347999997</v>
          </cell>
          <cell r="F137">
            <v>6303.5115334800003</v>
          </cell>
        </row>
        <row r="138">
          <cell r="B138" t="str">
            <v>RSJ 125x70, 11 m long</v>
          </cell>
          <cell r="C138" t="str">
            <v>No.</v>
          </cell>
          <cell r="D138">
            <v>6060.0093400000005</v>
          </cell>
          <cell r="E138">
            <v>873.8533468280001</v>
          </cell>
          <cell r="F138">
            <v>6933.8626868280007</v>
          </cell>
        </row>
        <row r="139">
          <cell r="B139" t="str">
            <v>RSJ 125x70, 12 m long</v>
          </cell>
          <cell r="C139" t="str">
            <v>No.</v>
          </cell>
          <cell r="D139">
            <v>6610.919280000001</v>
          </cell>
          <cell r="E139">
            <v>953.29456017600012</v>
          </cell>
          <cell r="F139">
            <v>7564.2138401760012</v>
          </cell>
        </row>
        <row r="140">
          <cell r="B140" t="str">
            <v>RSJ 125x70, 13 m long</v>
          </cell>
          <cell r="C140" t="str">
            <v>No.</v>
          </cell>
          <cell r="D140">
            <v>7161.8292200000005</v>
          </cell>
          <cell r="E140">
            <v>1032.735773524</v>
          </cell>
          <cell r="F140">
            <v>8194.5649935239999</v>
          </cell>
        </row>
        <row r="141">
          <cell r="B141" t="str">
            <v>RSJ 175x85, 6 m long</v>
          </cell>
          <cell r="C141" t="str">
            <v>No.</v>
          </cell>
          <cell r="D141">
            <v>6657.2172540000001</v>
          </cell>
          <cell r="E141">
            <v>959.97072802679997</v>
          </cell>
          <cell r="F141">
            <v>7617.1879820268005</v>
          </cell>
        </row>
        <row r="142">
          <cell r="B142" t="str">
            <v>RSJ 175x85, 8 m long</v>
          </cell>
          <cell r="C142" t="str">
            <v>No.</v>
          </cell>
          <cell r="D142">
            <v>8876.2896720000008</v>
          </cell>
          <cell r="E142">
            <v>1279.9609707024001</v>
          </cell>
          <cell r="F142">
            <v>10156.250642702402</v>
          </cell>
        </row>
        <row r="143">
          <cell r="B143" t="str">
            <v>RSJ 175x85, 9 m long</v>
          </cell>
          <cell r="C143" t="str">
            <v>No.</v>
          </cell>
          <cell r="D143">
            <v>9985.8258809999988</v>
          </cell>
          <cell r="E143">
            <v>1439.9560920401998</v>
          </cell>
          <cell r="F143">
            <v>11425.781973040199</v>
          </cell>
        </row>
        <row r="144">
          <cell r="B144" t="str">
            <v>RSJ 175x85, 10 m long</v>
          </cell>
          <cell r="C144" t="str">
            <v>No.</v>
          </cell>
          <cell r="D144">
            <v>11095.362089999999</v>
          </cell>
          <cell r="E144">
            <v>1599.9512133779997</v>
          </cell>
          <cell r="F144">
            <v>12695.313303377998</v>
          </cell>
        </row>
        <row r="145">
          <cell r="B145" t="str">
            <v>RSJ 175x85, 11 m long</v>
          </cell>
          <cell r="C145" t="str">
            <v>No.</v>
          </cell>
          <cell r="D145">
            <v>12204.898298999999</v>
          </cell>
          <cell r="E145">
            <v>1759.9463347157998</v>
          </cell>
          <cell r="F145">
            <v>13964.844633715798</v>
          </cell>
        </row>
        <row r="146">
          <cell r="B146" t="str">
            <v>RSJ 175x85, 12 m long</v>
          </cell>
          <cell r="C146" t="str">
            <v>No.</v>
          </cell>
          <cell r="D146">
            <v>13314.434508</v>
          </cell>
          <cell r="E146">
            <v>1919.9414560535999</v>
          </cell>
          <cell r="F146">
            <v>15234.375964053601</v>
          </cell>
        </row>
        <row r="147">
          <cell r="B147" t="str">
            <v>RSJ 175x85, 13 m long</v>
          </cell>
          <cell r="C147" t="str">
            <v>No.</v>
          </cell>
          <cell r="D147">
            <v>14423.970716999998</v>
          </cell>
          <cell r="E147">
            <v>2079.9365773913996</v>
          </cell>
          <cell r="F147">
            <v>16503.9072943914</v>
          </cell>
        </row>
        <row r="149">
          <cell r="B149" t="str">
            <v>RSJ 175x85, 13 m long</v>
          </cell>
          <cell r="C149" t="str">
            <v>No.</v>
          </cell>
          <cell r="D149">
            <v>14423.970717</v>
          </cell>
          <cell r="E149">
            <v>2079.9365769999999</v>
          </cell>
          <cell r="F149">
            <v>16503.907294000001</v>
          </cell>
        </row>
        <row r="150">
          <cell r="B150" t="str">
            <v>Name of material</v>
          </cell>
          <cell r="C150" t="str">
            <v>Unit</v>
          </cell>
          <cell r="D150" t="str">
            <v>Exworks</v>
          </cell>
          <cell r="E150" t="str">
            <v>E.D.</v>
          </cell>
          <cell r="F150" t="str">
            <v>Rate per unit as on june 08</v>
          </cell>
        </row>
        <row r="151">
          <cell r="B151" t="str">
            <v>Dist.Trans.  22/0.433 kV  ID  630 KVA</v>
          </cell>
          <cell r="C151" t="str">
            <v>No</v>
          </cell>
          <cell r="D151">
            <v>593317.61</v>
          </cell>
          <cell r="E151">
            <v>85556.399361999996</v>
          </cell>
          <cell r="F151">
            <v>678874.00936200004</v>
          </cell>
        </row>
        <row r="152">
          <cell r="B152" t="str">
            <v>Dist. Transformer 630 KVA, 22/0.43 kv</v>
          </cell>
          <cell r="C152" t="str">
            <v>No</v>
          </cell>
          <cell r="D152">
            <v>592548.4</v>
          </cell>
          <cell r="E152">
            <v>85445.47928</v>
          </cell>
          <cell r="F152">
            <v>677993.87927999999</v>
          </cell>
        </row>
        <row r="153">
          <cell r="B153" t="str">
            <v>Dist. Transformer 315 KVA, 22/0.43 kv</v>
          </cell>
          <cell r="C153" t="str">
            <v>No</v>
          </cell>
          <cell r="D153">
            <v>357994.28</v>
          </cell>
          <cell r="E153">
            <v>51622.775176000003</v>
          </cell>
          <cell r="F153">
            <v>409617.05517600005</v>
          </cell>
        </row>
        <row r="154">
          <cell r="B154" t="str">
            <v>Dist.transformer 200kva,22/0.4kv(con)</v>
          </cell>
          <cell r="C154" t="str">
            <v>No</v>
          </cell>
          <cell r="D154">
            <v>280832.53999999998</v>
          </cell>
          <cell r="E154">
            <v>40496.052267999992</v>
          </cell>
          <cell r="F154">
            <v>321328.59226799995</v>
          </cell>
        </row>
        <row r="155">
          <cell r="B155" t="str">
            <v>Dist.transformer 100kva,22/0.4kv(con)</v>
          </cell>
          <cell r="C155" t="str">
            <v>No</v>
          </cell>
          <cell r="D155">
            <v>164004.38</v>
          </cell>
          <cell r="E155">
            <v>23649.431595999999</v>
          </cell>
          <cell r="F155">
            <v>187653.81159600001</v>
          </cell>
        </row>
        <row r="156">
          <cell r="B156" t="str">
            <v>Dist. transformer 63kva,22/0.4kv(con)</v>
          </cell>
          <cell r="C156" t="str">
            <v>No</v>
          </cell>
          <cell r="D156">
            <v>133770.95000000001</v>
          </cell>
          <cell r="E156">
            <v>19289.770990000001</v>
          </cell>
          <cell r="F156">
            <v>153060.72099</v>
          </cell>
        </row>
        <row r="157">
          <cell r="B157" t="str">
            <v>Dist. Transformer 630 KVA, 11/0.43 kv</v>
          </cell>
          <cell r="C157" t="str">
            <v>No.</v>
          </cell>
          <cell r="D157">
            <v>545499.68999999994</v>
          </cell>
          <cell r="E157">
            <v>78661.055297999992</v>
          </cell>
          <cell r="F157">
            <v>624160.74529799994</v>
          </cell>
        </row>
        <row r="158">
          <cell r="B158" t="str">
            <v>Dist.Trans.  11/0.433 kV  ID 315 KVA</v>
          </cell>
          <cell r="C158" t="str">
            <v>No</v>
          </cell>
          <cell r="D158">
            <v>339369.67</v>
          </cell>
          <cell r="E158">
            <v>48937.106413999994</v>
          </cell>
          <cell r="F158">
            <v>388306.77641399996</v>
          </cell>
        </row>
        <row r="159">
          <cell r="B159" t="str">
            <v>Dist. Transformer 315 KVA, 11/0.43 kv</v>
          </cell>
          <cell r="C159" t="str">
            <v>No</v>
          </cell>
          <cell r="D159">
            <v>337650.77</v>
          </cell>
          <cell r="E159">
            <v>48689.241033999999</v>
          </cell>
          <cell r="F159">
            <v>386340.01103400002</v>
          </cell>
        </row>
        <row r="160">
          <cell r="B160" t="str">
            <v>Dist. Transformer 200 KVA, 11/0.43 kv</v>
          </cell>
          <cell r="C160" t="str">
            <v>No</v>
          </cell>
          <cell r="D160">
            <v>200929.37</v>
          </cell>
          <cell r="E160">
            <v>28974.015153999997</v>
          </cell>
          <cell r="F160">
            <v>229903.38515399999</v>
          </cell>
        </row>
        <row r="161">
          <cell r="B161" t="str">
            <v>Dist. Transformer 100 KVA, 11/0.43 kv</v>
          </cell>
          <cell r="C161" t="str">
            <v>No</v>
          </cell>
          <cell r="D161">
            <v>110842.71</v>
          </cell>
          <cell r="E161">
            <v>15983.518782000001</v>
          </cell>
          <cell r="F161">
            <v>126826.22878200001</v>
          </cell>
        </row>
        <row r="162">
          <cell r="B162" t="str">
            <v>Dist. transformer 63kva,11/.4kv(con)</v>
          </cell>
          <cell r="C162" t="str">
            <v>No</v>
          </cell>
          <cell r="D162">
            <v>89064.81</v>
          </cell>
          <cell r="E162">
            <v>12843.145601999999</v>
          </cell>
          <cell r="F162">
            <v>101907.955602</v>
          </cell>
        </row>
        <row r="163">
          <cell r="B163" t="str">
            <v>Dist Trans.  11/0.433 KV 200 KVA (AMDT)</v>
          </cell>
          <cell r="D163">
            <v>216371.7</v>
          </cell>
          <cell r="E163">
            <v>31200.799139999999</v>
          </cell>
          <cell r="F163">
            <v>247572.49914</v>
          </cell>
        </row>
        <row r="164">
          <cell r="B164" t="str">
            <v>Dist Trans.  11/0.433 KV 100 KVA (AMDT)</v>
          </cell>
          <cell r="C164" t="str">
            <v>No</v>
          </cell>
          <cell r="D164">
            <v>110701.8</v>
          </cell>
          <cell r="E164">
            <v>15963.199559999999</v>
          </cell>
          <cell r="F164">
            <v>126664.99956</v>
          </cell>
        </row>
        <row r="165">
          <cell r="B165" t="str">
            <v>Dist.Trans.  11/0.433 KV  63 KVA (AMDT)</v>
          </cell>
          <cell r="C165" t="str">
            <v>No</v>
          </cell>
          <cell r="D165">
            <v>89456</v>
          </cell>
          <cell r="E165">
            <v>12899.555199999999</v>
          </cell>
          <cell r="F165">
            <v>102355.5552</v>
          </cell>
        </row>
        <row r="166">
          <cell r="B166" t="str">
            <v>Dist.Trans.  11/0.433 KV  25 KVA (AMDT) Single phase</v>
          </cell>
          <cell r="D166">
            <v>49625.36</v>
          </cell>
          <cell r="E166">
            <v>7155.9769120000001</v>
          </cell>
          <cell r="F166">
            <v>56781.336911999999</v>
          </cell>
        </row>
        <row r="167">
          <cell r="B167" t="str">
            <v>Dist.Trans.  11/0.433 KV  15 KVA (AMDT) Single phase</v>
          </cell>
          <cell r="D167">
            <v>36448.25</v>
          </cell>
          <cell r="E167">
            <v>5255.8376499999995</v>
          </cell>
          <cell r="F167">
            <v>41704.087650000001</v>
          </cell>
        </row>
        <row r="168">
          <cell r="B168" t="str">
            <v>Dist Trans.  11/0.433 KV 25 KVA Single Phase</v>
          </cell>
          <cell r="C168" t="str">
            <v>No</v>
          </cell>
          <cell r="D168">
            <v>41130.080000000002</v>
          </cell>
          <cell r="E168">
            <v>5930.9575359999999</v>
          </cell>
          <cell r="F168">
            <v>47061.037536000003</v>
          </cell>
        </row>
        <row r="169">
          <cell r="B169" t="str">
            <v>Dist Trans.  11/0.433 KV 15 KVA Single Phase</v>
          </cell>
          <cell r="C169" t="str">
            <v>No</v>
          </cell>
          <cell r="D169">
            <v>31176.73</v>
          </cell>
          <cell r="E169">
            <v>4495.6844659999997</v>
          </cell>
          <cell r="F169">
            <v>35672.414466000002</v>
          </cell>
        </row>
        <row r="170">
          <cell r="B170" t="str">
            <v>L.A.s 22KV (Gapless type) with disconnector</v>
          </cell>
          <cell r="C170" t="str">
            <v>Set</v>
          </cell>
          <cell r="D170">
            <v>1144.8399999999999</v>
          </cell>
          <cell r="E170">
            <v>165.085928</v>
          </cell>
          <cell r="F170">
            <v>1309.9259279999999</v>
          </cell>
        </row>
        <row r="171">
          <cell r="B171" t="str">
            <v>L.As. 11 KV (Gapless type)  with disconector</v>
          </cell>
          <cell r="C171" t="str">
            <v>Set</v>
          </cell>
          <cell r="D171">
            <v>641.68499999999995</v>
          </cell>
          <cell r="E171">
            <v>92.530976999999993</v>
          </cell>
          <cell r="F171">
            <v>734.21597699999995</v>
          </cell>
        </row>
        <row r="172">
          <cell r="B172" t="str">
            <v>Capacitor banks without Switchgear 11 KV 0.6 MVAR</v>
          </cell>
          <cell r="C172" t="str">
            <v>Set</v>
          </cell>
          <cell r="D172">
            <v>42175.9</v>
          </cell>
          <cell r="E172">
            <v>6081.7647800000004</v>
          </cell>
          <cell r="F172">
            <v>48257.664779999999</v>
          </cell>
        </row>
        <row r="173">
          <cell r="B173" t="str">
            <v>Automatic capacitor switch 11 KV</v>
          </cell>
          <cell r="C173" t="str">
            <v>No.</v>
          </cell>
          <cell r="D173">
            <v>96991.65</v>
          </cell>
          <cell r="E173">
            <v>13986.195929999998</v>
          </cell>
          <cell r="F173">
            <v>110977.84593</v>
          </cell>
        </row>
        <row r="174">
          <cell r="B174" t="str">
            <v>Kit Kat fuses 415 V 200 A</v>
          </cell>
          <cell r="C174" t="str">
            <v>No</v>
          </cell>
          <cell r="D174">
            <v>358.14</v>
          </cell>
          <cell r="E174">
            <v>0</v>
          </cell>
          <cell r="F174">
            <v>358.14</v>
          </cell>
        </row>
        <row r="175">
          <cell r="B175" t="str">
            <v>Kit Kat fuses 415 V 100 A</v>
          </cell>
          <cell r="C175" t="str">
            <v>No</v>
          </cell>
          <cell r="D175">
            <v>189.91</v>
          </cell>
          <cell r="E175">
            <v>0</v>
          </cell>
          <cell r="F175">
            <v>189.91</v>
          </cell>
        </row>
        <row r="176">
          <cell r="B176" t="str">
            <v>Single pole MCB with encloser 32 A</v>
          </cell>
          <cell r="C176" t="str">
            <v>No</v>
          </cell>
          <cell r="D176">
            <v>120.17</v>
          </cell>
          <cell r="E176">
            <v>17.328513999999998</v>
          </cell>
          <cell r="F176">
            <v>137.498514</v>
          </cell>
        </row>
        <row r="177">
          <cell r="B177" t="str">
            <v>Single pole MCB with encloser 20 A</v>
          </cell>
          <cell r="C177" t="str">
            <v>No</v>
          </cell>
          <cell r="D177">
            <v>116.55</v>
          </cell>
          <cell r="E177">
            <v>16.806509999999999</v>
          </cell>
          <cell r="F177">
            <v>133.35650999999999</v>
          </cell>
        </row>
        <row r="178">
          <cell r="B178" t="str">
            <v>Single pole MCB with encloser 10 A</v>
          </cell>
          <cell r="C178" t="str">
            <v>No</v>
          </cell>
          <cell r="D178">
            <v>116.55</v>
          </cell>
          <cell r="E178">
            <v>16.806509999999999</v>
          </cell>
          <cell r="F178">
            <v>133.35650999999999</v>
          </cell>
        </row>
        <row r="179">
          <cell r="B179" t="str">
            <v xml:space="preserve">22KV   metering cubical with ratio 5/5A CTs &amp; PTs but without meter </v>
          </cell>
          <cell r="C179" t="str">
            <v>Set</v>
          </cell>
          <cell r="D179">
            <v>120138.77</v>
          </cell>
          <cell r="E179">
            <v>17324.010633999998</v>
          </cell>
          <cell r="F179">
            <v>137462.780634</v>
          </cell>
        </row>
        <row r="180">
          <cell r="B180" t="str">
            <v>-do-          with ratio 10/5A</v>
          </cell>
          <cell r="C180" t="str">
            <v>Set</v>
          </cell>
          <cell r="D180">
            <v>120138.77</v>
          </cell>
          <cell r="E180">
            <v>17324.010633999998</v>
          </cell>
          <cell r="F180">
            <v>137462.780634</v>
          </cell>
        </row>
        <row r="181">
          <cell r="B181" t="str">
            <v>-do-         with ratio 25/5A</v>
          </cell>
          <cell r="C181" t="str">
            <v>Set</v>
          </cell>
          <cell r="D181">
            <v>120138.77</v>
          </cell>
          <cell r="E181">
            <v>17324.010633999998</v>
          </cell>
          <cell r="F181">
            <v>137462.780634</v>
          </cell>
        </row>
        <row r="182">
          <cell r="B182" t="str">
            <v>-do-          with ratio 50/5A</v>
          </cell>
          <cell r="C182" t="str">
            <v>Set</v>
          </cell>
          <cell r="D182">
            <v>120138.77</v>
          </cell>
          <cell r="E182">
            <v>17324.010633999998</v>
          </cell>
          <cell r="F182">
            <v>137462.780634</v>
          </cell>
        </row>
        <row r="183">
          <cell r="B183" t="str">
            <v xml:space="preserve">11KV   metering cubical with ratio 5/5A CTs &amp; PTs but without meter </v>
          </cell>
          <cell r="C183" t="str">
            <v>Set</v>
          </cell>
          <cell r="D183">
            <v>82780.06</v>
          </cell>
          <cell r="E183">
            <v>11936.884651999999</v>
          </cell>
          <cell r="F183">
            <v>94716.944651999991</v>
          </cell>
        </row>
        <row r="184">
          <cell r="B184" t="str">
            <v>-do-          with ratio 10/5A</v>
          </cell>
          <cell r="C184" t="str">
            <v>Set</v>
          </cell>
          <cell r="D184">
            <v>79681.56</v>
          </cell>
          <cell r="E184">
            <v>11490.080951999998</v>
          </cell>
          <cell r="F184">
            <v>91171.640952000002</v>
          </cell>
        </row>
        <row r="185">
          <cell r="B185" t="str">
            <v>-do-         with ratio 25/5A</v>
          </cell>
          <cell r="C185" t="str">
            <v>Set</v>
          </cell>
          <cell r="D185">
            <v>76687.69</v>
          </cell>
          <cell r="E185">
            <v>11058.364898</v>
          </cell>
          <cell r="F185">
            <v>87746.054898000002</v>
          </cell>
        </row>
        <row r="186">
          <cell r="B186" t="str">
            <v>-do-          with ratio 50/5A</v>
          </cell>
          <cell r="C186" t="str">
            <v>Set</v>
          </cell>
          <cell r="D186">
            <v>74175.850000000006</v>
          </cell>
          <cell r="E186">
            <v>10696.157570000001</v>
          </cell>
          <cell r="F186">
            <v>84872.007570000002</v>
          </cell>
        </row>
        <row r="187">
          <cell r="B187" t="str">
            <v>-do-          with ratio 100/5A</v>
          </cell>
          <cell r="C187" t="str">
            <v>Set</v>
          </cell>
          <cell r="D187">
            <v>73765.06</v>
          </cell>
          <cell r="E187">
            <v>10636.921651999999</v>
          </cell>
          <cell r="F187">
            <v>84401.981652000002</v>
          </cell>
        </row>
        <row r="188">
          <cell r="B188" t="str">
            <v>11 kV Extendable Ring Main unit</v>
          </cell>
          <cell r="C188" t="str">
            <v>No</v>
          </cell>
          <cell r="D188">
            <v>297191.11</v>
          </cell>
          <cell r="E188">
            <v>42854.958061999998</v>
          </cell>
          <cell r="F188">
            <v>340046.06806199998</v>
          </cell>
        </row>
        <row r="189">
          <cell r="B189" t="str">
            <v>11 kV Non Extendable Ring Main unit</v>
          </cell>
          <cell r="C189" t="str">
            <v>No</v>
          </cell>
          <cell r="D189">
            <v>286184.03000000003</v>
          </cell>
          <cell r="E189">
            <v>41267.737126</v>
          </cell>
          <cell r="F189">
            <v>327451.76712600002</v>
          </cell>
        </row>
        <row r="190">
          <cell r="B190" t="str">
            <v>22 kV Non Extendable Ring Main unit</v>
          </cell>
          <cell r="C190" t="str">
            <v>No</v>
          </cell>
          <cell r="D190">
            <v>417415.92</v>
          </cell>
          <cell r="E190">
            <v>60191.375663999992</v>
          </cell>
          <cell r="F190">
            <v>477607.29566399998</v>
          </cell>
        </row>
        <row r="191">
          <cell r="B191" t="str">
            <v xml:space="preserve">Transformer Oil </v>
          </cell>
          <cell r="C191" t="str">
            <v>KL</v>
          </cell>
          <cell r="D191">
            <v>50467.199999999997</v>
          </cell>
          <cell r="E191">
            <v>7277.3702399999993</v>
          </cell>
          <cell r="F191">
            <v>57744.570239999994</v>
          </cell>
        </row>
        <row r="192">
          <cell r="B192" t="str">
            <v>Transformer Oil</v>
          </cell>
          <cell r="C192" t="str">
            <v>KL</v>
          </cell>
          <cell r="D192">
            <v>50467.199999999997</v>
          </cell>
          <cell r="E192">
            <v>7277.3702400000002</v>
          </cell>
          <cell r="F192">
            <v>57744.570240000001</v>
          </cell>
        </row>
        <row r="193">
          <cell r="B193" t="str">
            <v>Cost of material</v>
          </cell>
        </row>
        <row r="194">
          <cell r="B194" t="str">
            <v>Cost of material</v>
          </cell>
        </row>
        <row r="195">
          <cell r="B195" t="str">
            <v xml:space="preserve">Erection on material                                         </v>
          </cell>
          <cell r="F195">
            <v>0.1</v>
          </cell>
        </row>
        <row r="196">
          <cell r="B196" t="str">
            <v xml:space="preserve">Transportation on material   </v>
          </cell>
          <cell r="F196">
            <v>0.05</v>
          </cell>
        </row>
        <row r="197">
          <cell r="B197" t="str">
            <v xml:space="preserve">Insurance on material </v>
          </cell>
          <cell r="F197">
            <v>0.01</v>
          </cell>
        </row>
        <row r="198">
          <cell r="B198" t="str">
            <v>Service Tax @ (12.24%  On 1+2+3)</v>
          </cell>
          <cell r="F198">
            <v>1.9599999999999999E-2</v>
          </cell>
        </row>
        <row r="199">
          <cell r="B199" t="str">
            <v xml:space="preserve">Contingencies on material                     </v>
          </cell>
          <cell r="F199">
            <v>0.03</v>
          </cell>
        </row>
        <row r="200">
          <cell r="B200" t="str">
            <v xml:space="preserve">T &amp; P on material        </v>
          </cell>
          <cell r="F200">
            <v>1.4999999999999999E-2</v>
          </cell>
        </row>
        <row r="201">
          <cell r="B201" t="str">
            <v>Contractor supervision on charges on material</v>
          </cell>
          <cell r="F201">
            <v>0.1</v>
          </cell>
        </row>
        <row r="202">
          <cell r="B202" t="str">
            <v>Contractor profit on Total Project Cost i.e. on Sub-Total-I</v>
          </cell>
          <cell r="F202">
            <v>0.05</v>
          </cell>
        </row>
        <row r="203">
          <cell r="B203" t="str">
            <v xml:space="preserve">Contractors Financing on material                                    </v>
          </cell>
          <cell r="F203">
            <v>0.03</v>
          </cell>
        </row>
        <row r="204">
          <cell r="B204" t="str">
            <v>Price Escalation on Material Cost</v>
          </cell>
          <cell r="F204">
            <v>0.05</v>
          </cell>
        </row>
        <row r="205">
          <cell r="B205" t="str">
            <v>H.O.supervision charges @ 1.5% (i.e. 15% of 10% on errection of material)</v>
          </cell>
          <cell r="F205">
            <v>1.4999999999999999E-2</v>
          </cell>
        </row>
        <row r="206">
          <cell r="B206" t="str">
            <v>Interest during Construction Period (on total project</v>
          </cell>
          <cell r="F206">
            <v>2.5000000000000001E-2</v>
          </cell>
        </row>
        <row r="207">
          <cell r="F207">
            <v>2.5000000000000001E-2</v>
          </cell>
        </row>
        <row r="208">
          <cell r="B208" t="str">
            <v>GROUP - XIII</v>
          </cell>
        </row>
        <row r="209">
          <cell r="B209" t="str">
            <v>Name of material</v>
          </cell>
          <cell r="C209" t="str">
            <v>Unit</v>
          </cell>
          <cell r="D209" t="str">
            <v>Exworks</v>
          </cell>
          <cell r="E209" t="str">
            <v>E.D.</v>
          </cell>
          <cell r="F209" t="str">
            <v>Rate per unit as on june 08</v>
          </cell>
        </row>
        <row r="210">
          <cell r="B210" t="str">
            <v>11 KV Isolators with EB (800 A)</v>
          </cell>
          <cell r="C210" t="str">
            <v>Set</v>
          </cell>
          <cell r="D210">
            <v>67920.509999999995</v>
          </cell>
          <cell r="E210">
            <v>9794.1375419999986</v>
          </cell>
          <cell r="F210">
            <v>77714.647541999992</v>
          </cell>
        </row>
        <row r="211">
          <cell r="B211" t="str">
            <v>11 KV Isolators without EB (800 Amp.)</v>
          </cell>
          <cell r="C211" t="str">
            <v>Set</v>
          </cell>
          <cell r="D211">
            <v>65668.149999999994</v>
          </cell>
          <cell r="E211">
            <v>0</v>
          </cell>
          <cell r="F211">
            <v>65668.149999999994</v>
          </cell>
        </row>
        <row r="212">
          <cell r="B212" t="str">
            <v>22 KV Isolators with EB (800 A)</v>
          </cell>
          <cell r="C212" t="str">
            <v>Set</v>
          </cell>
          <cell r="D212">
            <v>67920.509999999995</v>
          </cell>
          <cell r="E212">
            <v>9794.1375419999986</v>
          </cell>
          <cell r="F212">
            <v>77714.647541999992</v>
          </cell>
        </row>
        <row r="213">
          <cell r="B213" t="str">
            <v>22 KV Isolators without EB (800 Amp.)</v>
          </cell>
          <cell r="C213" t="str">
            <v>Set</v>
          </cell>
          <cell r="D213">
            <v>65668.149999999994</v>
          </cell>
          <cell r="E213">
            <v>0</v>
          </cell>
          <cell r="F213">
            <v>65668.149999999994</v>
          </cell>
        </row>
        <row r="214">
          <cell r="B214" t="str">
            <v>33 KV Isolators with EB (800 A)</v>
          </cell>
          <cell r="C214" t="str">
            <v>Set</v>
          </cell>
          <cell r="D214">
            <v>67920.509999999995</v>
          </cell>
          <cell r="E214">
            <v>9794.1375419999986</v>
          </cell>
          <cell r="F214">
            <v>77714.647541999992</v>
          </cell>
        </row>
        <row r="215">
          <cell r="B215" t="str">
            <v>33 KV Isolators without EB (800 Amp.)</v>
          </cell>
          <cell r="C215" t="str">
            <v>Set</v>
          </cell>
          <cell r="D215">
            <v>65668.149999999994</v>
          </cell>
          <cell r="E215">
            <v>0</v>
          </cell>
          <cell r="F215">
            <v>65668.149999999994</v>
          </cell>
        </row>
        <row r="216">
          <cell r="B216" t="str">
            <v>AC Distribution Board 'B' type</v>
          </cell>
          <cell r="C216" t="str">
            <v>No.</v>
          </cell>
          <cell r="D216">
            <v>19878.21</v>
          </cell>
          <cell r="E216">
            <v>2866.4378819999997</v>
          </cell>
          <cell r="F216">
            <v>22744.647881999997</v>
          </cell>
        </row>
        <row r="217">
          <cell r="B217" t="str">
            <v xml:space="preserve">C&amp;R panel for 33 KV for feeder breaker </v>
          </cell>
          <cell r="C217" t="str">
            <v>Set</v>
          </cell>
          <cell r="D217">
            <v>94723.29</v>
          </cell>
          <cell r="E217">
            <v>13659.098417999998</v>
          </cell>
          <cell r="F217">
            <v>108382.38841799999</v>
          </cell>
        </row>
        <row r="218">
          <cell r="B218" t="str">
            <v>C&amp;R panel for 22 KV feeder breaker</v>
          </cell>
          <cell r="C218" t="str">
            <v>Set</v>
          </cell>
          <cell r="D218">
            <v>94723.29</v>
          </cell>
          <cell r="E218">
            <v>13659.098417999998</v>
          </cell>
          <cell r="F218">
            <v>108382.38841799999</v>
          </cell>
        </row>
        <row r="219">
          <cell r="B219" t="str">
            <v>C&amp;R panel for 33 KV Transformer with 1 Amp. Relay</v>
          </cell>
          <cell r="C219" t="str">
            <v>Set</v>
          </cell>
          <cell r="D219">
            <v>64462.95</v>
          </cell>
          <cell r="E219">
            <v>9295.5573899999999</v>
          </cell>
          <cell r="F219">
            <v>73758.507389999999</v>
          </cell>
        </row>
        <row r="220">
          <cell r="B220" t="str">
            <v>C&amp;R panel for 22 KV Transformer with 1 A relay</v>
          </cell>
          <cell r="C220" t="str">
            <v>Set</v>
          </cell>
          <cell r="D220">
            <v>64462.95</v>
          </cell>
          <cell r="E220">
            <v>9295.5573899999999</v>
          </cell>
          <cell r="F220">
            <v>73758.507389999999</v>
          </cell>
        </row>
        <row r="221">
          <cell r="B221" t="str">
            <v>33 KV VCB complete  1600 Amp (O.D.)</v>
          </cell>
          <cell r="C221" t="str">
            <v>No.</v>
          </cell>
          <cell r="D221">
            <v>258165</v>
          </cell>
          <cell r="E221">
            <v>37227.392999999996</v>
          </cell>
          <cell r="F221">
            <v>295392.39299999998</v>
          </cell>
        </row>
        <row r="222">
          <cell r="B222" t="str">
            <v>22 KV VCB complete  1600 Amp (O.D.)</v>
          </cell>
          <cell r="C222" t="str">
            <v>No.</v>
          </cell>
          <cell r="D222">
            <v>233341.75</v>
          </cell>
          <cell r="E222">
            <v>33647.880349999999</v>
          </cell>
          <cell r="F222">
            <v>266989.63034999999</v>
          </cell>
        </row>
        <row r="223">
          <cell r="B223" t="str">
            <v>C&amp;R panel for 33 KV Transformer with Diff. Protection</v>
          </cell>
          <cell r="C223" t="str">
            <v>Set</v>
          </cell>
          <cell r="D223">
            <v>123195.86</v>
          </cell>
          <cell r="E223">
            <v>17764.843012000001</v>
          </cell>
          <cell r="F223">
            <v>140960.70301200001</v>
          </cell>
        </row>
        <row r="224">
          <cell r="B224" t="str">
            <v>C&amp;R panel for 22 KV Transformer with Diff. Protection</v>
          </cell>
          <cell r="C224" t="str">
            <v>Set</v>
          </cell>
          <cell r="D224">
            <v>123195.86</v>
          </cell>
          <cell r="E224">
            <v>17764.843012000001</v>
          </cell>
          <cell r="F224">
            <v>140960.70301200001</v>
          </cell>
        </row>
        <row r="225">
          <cell r="B225" t="str">
            <v>11 kv 250 MVA OD Switchgears comprising of 1 Incomer and 3 single feeder with associated OD panels, Islators, C.T. &amp; P.T. etc.</v>
          </cell>
          <cell r="C225" t="str">
            <v>Set</v>
          </cell>
          <cell r="D225">
            <v>1177848</v>
          </cell>
          <cell r="E225">
            <v>169845.68159999998</v>
          </cell>
          <cell r="F225">
            <v>1347693.6816</v>
          </cell>
        </row>
        <row r="226">
          <cell r="B226" t="str">
            <v>11kV I D switchgear (2 I/c+1 B/c+8O/G)</v>
          </cell>
          <cell r="C226" t="str">
            <v>Set</v>
          </cell>
          <cell r="D226">
            <v>4291706.16</v>
          </cell>
          <cell r="E226">
            <v>618864.02827200003</v>
          </cell>
          <cell r="F226">
            <v>4910570.1882720003</v>
          </cell>
        </row>
        <row r="227">
          <cell r="B227" t="str">
            <v>11kV I D switchgear (2 I/c+1 B/c+8O/G)</v>
          </cell>
          <cell r="C227" t="str">
            <v>Set</v>
          </cell>
          <cell r="E227">
            <v>0</v>
          </cell>
          <cell r="F227">
            <v>0</v>
          </cell>
        </row>
        <row r="228">
          <cell r="B228" t="str">
            <v>33 KV P.T.</v>
          </cell>
          <cell r="C228" t="str">
            <v>No.</v>
          </cell>
          <cell r="D228">
            <v>16251.91</v>
          </cell>
          <cell r="E228">
            <v>2343.5254219999997</v>
          </cell>
          <cell r="F228">
            <v>18595.435421999999</v>
          </cell>
        </row>
        <row r="229">
          <cell r="B229" t="str">
            <v>22 KV P.T.</v>
          </cell>
          <cell r="C229" t="str">
            <v>No.</v>
          </cell>
          <cell r="D229">
            <v>16252.91</v>
          </cell>
          <cell r="E229">
            <v>2343.6696219999999</v>
          </cell>
          <cell r="F229">
            <v>18596.579622000001</v>
          </cell>
        </row>
        <row r="230">
          <cell r="B230" t="str">
            <v>33 kV C. T. (400-200/1-1-1)</v>
          </cell>
          <cell r="D230">
            <v>22904.639999999999</v>
          </cell>
          <cell r="E230">
            <v>0</v>
          </cell>
          <cell r="F230">
            <v>22904.639999999999</v>
          </cell>
        </row>
        <row r="231">
          <cell r="B231" t="str">
            <v>22 KV C.T. Three core.</v>
          </cell>
          <cell r="C231" t="str">
            <v>No.</v>
          </cell>
          <cell r="D231">
            <v>22904.639999999999</v>
          </cell>
          <cell r="E231">
            <v>0</v>
          </cell>
          <cell r="F231">
            <v>22904.639999999999</v>
          </cell>
        </row>
        <row r="232">
          <cell r="B232" t="str">
            <v>30 V, 100 AH Lead Acid Battery  sets</v>
          </cell>
          <cell r="C232" t="str">
            <v>Sets</v>
          </cell>
          <cell r="D232">
            <v>15299.04</v>
          </cell>
          <cell r="E232">
            <v>0</v>
          </cell>
          <cell r="F232">
            <v>15299.04</v>
          </cell>
        </row>
        <row r="233">
          <cell r="B233" t="str">
            <v>Battery chargers suitable  for above</v>
          </cell>
          <cell r="C233" t="str">
            <v>No.</v>
          </cell>
          <cell r="D233">
            <v>24366.89</v>
          </cell>
          <cell r="E233">
            <v>0</v>
          </cell>
          <cell r="F233">
            <v>24366.89</v>
          </cell>
        </row>
        <row r="234">
          <cell r="B234" t="str">
            <v>Battery set 30 Volt, 100 AH with Battery charger</v>
          </cell>
          <cell r="C234" t="str">
            <v>Set</v>
          </cell>
          <cell r="D234">
            <v>39665.93</v>
          </cell>
          <cell r="E234">
            <v>0</v>
          </cell>
          <cell r="F234">
            <v>39665.93</v>
          </cell>
        </row>
        <row r="235">
          <cell r="B235" t="str">
            <v>33 KV Lightning Arrestors  (Station type)</v>
          </cell>
          <cell r="C235" t="str">
            <v>Set</v>
          </cell>
          <cell r="D235">
            <v>11633.16</v>
          </cell>
          <cell r="E235">
            <v>1677.5016719999999</v>
          </cell>
          <cell r="F235">
            <v>13310.661672</v>
          </cell>
        </row>
        <row r="236">
          <cell r="B236" t="str">
            <v>22 KV Lightning Arrestors  (Station type)</v>
          </cell>
          <cell r="C236" t="str">
            <v>set</v>
          </cell>
          <cell r="D236">
            <v>10263.119999999999</v>
          </cell>
          <cell r="E236">
            <v>1479.9419039999998</v>
          </cell>
          <cell r="F236">
            <v>13310.66</v>
          </cell>
        </row>
        <row r="237">
          <cell r="B237" t="str">
            <v>Power Transformer 33/11 KV, 5 MVA</v>
          </cell>
          <cell r="C237" t="str">
            <v>No.</v>
          </cell>
          <cell r="D237">
            <v>2852150</v>
          </cell>
          <cell r="E237">
            <v>411280.02999999997</v>
          </cell>
          <cell r="F237">
            <v>3263430.03</v>
          </cell>
        </row>
        <row r="238">
          <cell r="B238" t="str">
            <v xml:space="preserve">Power Transformer 33/11 KV, 10 MVA </v>
          </cell>
          <cell r="C238" t="str">
            <v>No.</v>
          </cell>
          <cell r="D238">
            <v>5424685</v>
          </cell>
          <cell r="E238">
            <v>782239.57699999993</v>
          </cell>
          <cell r="F238">
            <v>6206924.5769999996</v>
          </cell>
        </row>
      </sheetData>
      <sheetData sheetId="11"/>
      <sheetData sheetId="12">
        <row r="58">
          <cell r="F58">
            <v>12968569.363851115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5">
          <cell r="B5" t="str">
            <v>33 kV Pin Insulators with G.I. Pins</v>
          </cell>
        </row>
      </sheetData>
      <sheetData sheetId="45">
        <row r="5">
          <cell r="B5" t="str">
            <v>33 kV Pin Insulators with G.I. Pins</v>
          </cell>
        </row>
      </sheetData>
      <sheetData sheetId="46">
        <row r="5">
          <cell r="B5" t="str">
            <v>33 kV Pin Insulators with G.I. Pins</v>
          </cell>
        </row>
      </sheetData>
      <sheetData sheetId="47">
        <row r="5">
          <cell r="B5" t="str">
            <v>33 kV Pin Insulators with G.I. Pins</v>
          </cell>
        </row>
      </sheetData>
      <sheetData sheetId="48">
        <row r="5">
          <cell r="B5" t="str">
            <v>33 kV Pin Insulators with G.I. Pins</v>
          </cell>
        </row>
      </sheetData>
      <sheetData sheetId="49">
        <row r="5">
          <cell r="B5" t="str">
            <v>33 kV Pin Insulators with G.I. Pins</v>
          </cell>
        </row>
      </sheetData>
      <sheetData sheetId="50">
        <row r="5">
          <cell r="B5" t="str">
            <v>33 kV Pin Insulators with G.I. Pins</v>
          </cell>
        </row>
      </sheetData>
      <sheetData sheetId="51">
        <row r="5">
          <cell r="B5" t="str">
            <v>33 kV Pin Insulators with G.I. Pins</v>
          </cell>
        </row>
      </sheetData>
      <sheetData sheetId="52">
        <row r="5">
          <cell r="B5" t="str">
            <v>33 kV Pin Insulators with G.I. Pins</v>
          </cell>
        </row>
      </sheetData>
      <sheetData sheetId="53">
        <row r="5">
          <cell r="B5" t="str">
            <v>33 kV Pin Insulators with G.I. Pins</v>
          </cell>
        </row>
      </sheetData>
      <sheetData sheetId="54">
        <row r="5">
          <cell r="B5" t="str">
            <v>33 kV Pin Insulators with G.I. Pins</v>
          </cell>
        </row>
      </sheetData>
      <sheetData sheetId="55"/>
      <sheetData sheetId="56">
        <row r="5">
          <cell r="B5" t="str">
            <v>33 kV Pin Insulators with G.I. Pins</v>
          </cell>
        </row>
      </sheetData>
      <sheetData sheetId="57"/>
      <sheetData sheetId="58"/>
      <sheetData sheetId="59"/>
      <sheetData sheetId="60"/>
      <sheetData sheetId="61"/>
      <sheetData sheetId="62"/>
      <sheetData sheetId="63">
        <row r="5">
          <cell r="B5" t="str">
            <v>33 kV Pin Insulators with G.I. Pins</v>
          </cell>
        </row>
      </sheetData>
      <sheetData sheetId="64">
        <row r="5">
          <cell r="B5" t="str">
            <v>33 kV Pin Insulators with G.I. Pins</v>
          </cell>
        </row>
      </sheetData>
      <sheetData sheetId="65">
        <row r="5">
          <cell r="B5" t="str">
            <v>33 kV Pin Insulators with G.I. Pins</v>
          </cell>
        </row>
      </sheetData>
      <sheetData sheetId="66">
        <row r="5">
          <cell r="B5" t="str">
            <v>33 kV Pin Insulators with G.I. Pins</v>
          </cell>
        </row>
      </sheetData>
      <sheetData sheetId="67">
        <row r="5">
          <cell r="B5" t="str">
            <v>33 kV Pin Insulators with G.I. Pins</v>
          </cell>
        </row>
      </sheetData>
      <sheetData sheetId="68">
        <row r="5">
          <cell r="B5" t="str">
            <v>33 kV Pin Insulators with G.I. Pins</v>
          </cell>
        </row>
      </sheetData>
      <sheetData sheetId="69">
        <row r="5">
          <cell r="B5" t="str">
            <v>33 kV Pin Insulators with G.I. Pins</v>
          </cell>
        </row>
      </sheetData>
      <sheetData sheetId="70">
        <row r="5">
          <cell r="B5" t="str">
            <v>33 kV Pin Insulators with G.I. Pins</v>
          </cell>
        </row>
      </sheetData>
      <sheetData sheetId="71">
        <row r="5">
          <cell r="B5" t="str">
            <v>33 kV Pin Insulators with G.I. Pins</v>
          </cell>
        </row>
      </sheetData>
      <sheetData sheetId="72">
        <row r="5">
          <cell r="B5" t="str">
            <v>33 kV Pin Insulators with G.I. Pins</v>
          </cell>
        </row>
      </sheetData>
      <sheetData sheetId="73">
        <row r="5">
          <cell r="B5" t="str">
            <v>33 kV Pin Insulators with G.I. Pins</v>
          </cell>
        </row>
      </sheetData>
      <sheetData sheetId="74"/>
      <sheetData sheetId="75">
        <row r="5">
          <cell r="B5" t="str">
            <v>33 kV Pin Insulators with G.I. Pins</v>
          </cell>
        </row>
      </sheetData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Assumptions"/>
      <sheetName val="Data base"/>
      <sheetName val="receipts"/>
      <sheetName val="Sheet1 (2)"/>
      <sheetName val="Improvements"/>
      <sheetName val="final abstract"/>
      <sheetName val="steam table"/>
      <sheetName val="Activity No (A) ( 12)  "/>
      <sheetName val="Scheme Area Details_Block__ C2"/>
      <sheetName val="01.11.2004"/>
      <sheetName val="ord-lost_98&amp;99"/>
      <sheetName val="Lead (Fina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Cd"/>
      <sheetName val="THK"/>
      <sheetName val="CPIPE 1"/>
      <sheetName val="QTY"/>
      <sheetName val="receipts"/>
      <sheetName val="Activity No (A) ( 12)  "/>
      <sheetName val="PRICE BID"/>
      <sheetName val="wt"/>
      <sheetName val="Data"/>
      <sheetName val="IDC"/>
      <sheetName val="ord-lost_98&amp;99"/>
      <sheetName val="Sheet1 (2)"/>
      <sheetName val="Data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 Boq"/>
      <sheetName val="Calculations"/>
      <sheetName val="List"/>
      <sheetName val="Pre-cast"/>
      <sheetName val="floor slab-RS2"/>
      <sheetName val="ANALYSIS"/>
      <sheetName val="SPT vs PHI"/>
      <sheetName val="std.wt."/>
      <sheetName val="THK"/>
      <sheetName val="Sheet1"/>
      <sheetName val="rev 01"/>
      <sheetName val="Civil_Boq"/>
      <sheetName val="floor_slab-RS2"/>
      <sheetName val="SPT_vs_PHI"/>
      <sheetName val="std_wt_"/>
      <sheetName val="E1"/>
      <sheetName val="BOQ_Direct_selling cost"/>
      <sheetName val="RA-markate"/>
      <sheetName val="Material "/>
      <sheetName val="Pur"/>
      <sheetName val="dummy"/>
      <sheetName val="Pile cap"/>
      <sheetName val="Summary"/>
      <sheetName val="Chandrawal -1"/>
      <sheetName val="policies"/>
      <sheetName val="BOQ"/>
      <sheetName val="HDD"/>
      <sheetName val="Works"/>
      <sheetName val="FUSION"/>
      <sheetName val="OFC-Design"/>
      <sheetName val="PCS"/>
      <sheetName val="ETC"/>
      <sheetName val="Guide VAT_ED_Credit"/>
      <sheetName val="JTS"/>
      <sheetName val="AMC &amp; O&amp;M"/>
      <sheetName val="JTS Costing"/>
      <sheetName val="Instructions"/>
      <sheetName val="moments-table(tri)"/>
      <sheetName val="conc-foot-gradeslab"/>
      <sheetName val="Staff Forecast spread"/>
      <sheetName val="149"/>
      <sheetName val="Design"/>
      <sheetName val="3"/>
      <sheetName val="General Summary"/>
      <sheetName val="switch"/>
      <sheetName val="+X &amp; -X DIR PRE"/>
      <sheetName val="Civil_Boq1"/>
      <sheetName val="Pile_cap"/>
      <sheetName val="Material_"/>
      <sheetName val="Chandrawal_-1"/>
      <sheetName val="Guide_VAT_ED_Credit"/>
      <sheetName val="AMC_&amp;_O&amp;M"/>
      <sheetName val="JTS_Costing"/>
      <sheetName val="PRECAST lightconc-II"/>
      <sheetName val="Legal Risk Analysis"/>
      <sheetName val="COLUMN"/>
      <sheetName val="Abstract Sheet"/>
      <sheetName val="PIpe Pushing"/>
      <sheetName val="Break up Sheet"/>
      <sheetName val="sept-plan"/>
      <sheetName val="d-safe specs"/>
      <sheetName val="RES-PLANNING"/>
      <sheetName val="Pay_Sep06"/>
      <sheetName val="Table10"/>
      <sheetName val="Table11"/>
      <sheetName val="Table12"/>
      <sheetName val="Table9"/>
      <sheetName val="A"/>
      <sheetName val="3. Subcon Recon"/>
      <sheetName val="EDWise"/>
      <sheetName val="Notes"/>
      <sheetName val="V.O.4 - PCC Qty"/>
      <sheetName val="TBAL9697 -group wise  sdpl"/>
      <sheetName val="Field Values"/>
      <sheetName val="p&amp;m"/>
      <sheetName val="Sheet4"/>
      <sheetName val="Main-Material"/>
      <sheetName val="girder"/>
      <sheetName val="13. Steel - Ratio"/>
      <sheetName val="Footings"/>
      <sheetName val="WPR-IV"/>
      <sheetName val="Labour productivity"/>
      <sheetName val="Supplier"/>
      <sheetName val="CABLE DATA"/>
      <sheetName val="organi synthesis lab"/>
      <sheetName val="INPUT SHEET"/>
      <sheetName val="Extra Item"/>
      <sheetName val="Fill this out first..."/>
      <sheetName val="Lead"/>
      <sheetName val="Labour &amp; Plant"/>
      <sheetName val="Project Budget Worksheet"/>
      <sheetName val="TASKRSRC (2)"/>
      <sheetName val="TARGET"/>
      <sheetName val="BASELINE"/>
      <sheetName val="Fin Sum"/>
      <sheetName val="BOQ -II ph 2"/>
      <sheetName val="shuttering"/>
      <sheetName val="FORM7"/>
      <sheetName val="GBW"/>
      <sheetName val="2.1 受電設備棟"/>
      <sheetName val="2.2 受・防火水槽"/>
      <sheetName val="2.3 排水処理設備棟"/>
      <sheetName val="2.4 倉庫棟"/>
      <sheetName val="2.5 守衛棟"/>
      <sheetName val="PointNo.5"/>
      <sheetName val="cubes_M20"/>
      <sheetName val="P&amp;L-BDMC"/>
      <sheetName val="MainSheet"/>
      <sheetName val="d-safe DELUXE"/>
      <sheetName val="Plant Cost"/>
      <sheetName val="Site wise NADs"/>
      <sheetName val="Sheet3"/>
      <sheetName val="Sheet2"/>
      <sheetName val="RECAPITULATION"/>
      <sheetName val="T1037 Entire School"/>
      <sheetName val="COST"/>
      <sheetName val="LANGUAGE"/>
      <sheetName val="Aseet1998"/>
      <sheetName val="PC Master List"/>
      <sheetName val="1.01 (a)"/>
      <sheetName val="RCC,Ret. Wall"/>
      <sheetName val="Balance sheet"/>
      <sheetName val="BOQ fire proofing"/>
      <sheetName val="DETAIL SHEET"/>
      <sheetName val="spool"/>
      <sheetName val="UNIT2"/>
      <sheetName val="Input"/>
      <sheetName val="Detail"/>
      <sheetName val="RMZ Summary"/>
      <sheetName val="Employee List"/>
      <sheetName val="receipts"/>
      <sheetName val="dBase"/>
      <sheetName val="PRECAST lightconc_II"/>
      <sheetName val="IS3370"/>
      <sheetName val="IS456"/>
      <sheetName val="Purlin(7m)"/>
      <sheetName val="1st and 4th flight"/>
      <sheetName val="Costing"/>
      <sheetName val="Vehicles"/>
      <sheetName val="VCH-SLC"/>
      <sheetName val="except wiring"/>
      <sheetName val="3cd Annexure"/>
      <sheetName val="LABOUR"/>
      <sheetName val="STAFFSCHED "/>
      <sheetName val="Voucher"/>
      <sheetName val="Basement Budget"/>
      <sheetName val="IO LIST"/>
      <sheetName val="Construction"/>
      <sheetName val=" "/>
      <sheetName val="ORDER BOOKING"/>
      <sheetName val="Cover sheet"/>
      <sheetName val="Storage"/>
      <sheetName val="foot"/>
      <sheetName val="3-3(750)"/>
      <sheetName val="Calc1"/>
      <sheetName val="Cal"/>
      <sheetName val="Data"/>
      <sheetName val="Boiler&amp;TG"/>
      <sheetName val="WWR"/>
      <sheetName val="Equipment"/>
      <sheetName val="AOR"/>
      <sheetName val="labour coeff"/>
      <sheetName val="Macro1"/>
      <sheetName val="tower"/>
      <sheetName val="x-items"/>
      <sheetName val="BOQ_Direct_selling_cost"/>
      <sheetName val="Staff_Forecast_spread"/>
      <sheetName val="PRECAST_lightconc-II"/>
      <sheetName val="PIpe_Pushing"/>
      <sheetName val="d-safe_specs"/>
      <sheetName val="Labour_productivity"/>
      <sheetName val="BOQ (2)"/>
      <sheetName val="main"/>
      <sheetName val="Site Dev BOQ"/>
      <sheetName val="10. &amp; 11. Rate Code &amp; BQ"/>
      <sheetName val="Names&amp;Cases"/>
      <sheetName val="Scope Reconciliation"/>
      <sheetName val="analysis-superstructure"/>
      <sheetName val="loadcal"/>
      <sheetName val="Current Bill MB ref"/>
      <sheetName val="NT LBH"/>
      <sheetName val="Desgn(zone I)"/>
      <sheetName val="@Risk Inputs"/>
      <sheetName val="Non-Factory"/>
      <sheetName val="Summary_Bank"/>
      <sheetName val="Calc"/>
      <sheetName val="master"/>
      <sheetName val="Electrical"/>
      <sheetName val="Build-up"/>
      <sheetName val="Calc_ISC"/>
      <sheetName val="AK-Offertstammblatt"/>
      <sheetName val="Tender Summary"/>
      <sheetName val="BOQ_SERENO"/>
      <sheetName val="T&amp;M"/>
      <sheetName val="purpose&amp;input"/>
      <sheetName val="Depreciation Calc"/>
      <sheetName val="b.s.-p.l.-sch."/>
      <sheetName val="Factors"/>
      <sheetName val="Rate analysis"/>
      <sheetName val="M.S."/>
      <sheetName val="INPUT_SHEET"/>
      <sheetName val="BOQ Distribution"/>
      <sheetName val="Fee Rate Summary"/>
      <sheetName val="beam-reinft"/>
      <sheetName val="Wire"/>
      <sheetName val="Project Details.."/>
      <sheetName val="Top Line - WWW"/>
      <sheetName val="Publicbuilding"/>
      <sheetName val="Activity Costing Breakup"/>
      <sheetName val="Unit Rate(CIS)"/>
      <sheetName val="Conc Analysis"/>
      <sheetName val="Basic "/>
      <sheetName val="Back-UP IRA (CIS)"/>
      <sheetName val="Precast IRA"/>
      <sheetName val="Precast IRA Backup"/>
      <sheetName val="Precast RA"/>
      <sheetName val="Mat_Cost"/>
      <sheetName val="Staff Acco."/>
      <sheetName val="Block A - BOQ"/>
      <sheetName val="lookups"/>
      <sheetName val="Chandrawal_-11"/>
      <sheetName val="Guide_VAT_ED_Credit1"/>
      <sheetName val="AMC_&amp;_O&amp;M1"/>
      <sheetName val="JTS_Costing1"/>
      <sheetName val="SPT_vs_PHI1"/>
      <sheetName val="std_wt_1"/>
      <sheetName val="Material_1"/>
      <sheetName val="Pile_cap1"/>
      <sheetName val="d-safe_specs1"/>
      <sheetName val="CABLE_DATA"/>
      <sheetName val="radar"/>
      <sheetName val="E &amp; R"/>
      <sheetName val="Vind-BtB"/>
      <sheetName val="FT-05-02IsoBOM"/>
      <sheetName val="KH-Q1,Q2,01"/>
      <sheetName val="civil"/>
      <sheetName val="Intro."/>
      <sheetName val=" WORKING"/>
      <sheetName val="Summary year Plan"/>
      <sheetName val="SC revtrgt"/>
      <sheetName val="POI_MASTER_1"/>
      <sheetName val="目录"/>
      <sheetName val="Invoice"/>
      <sheetName val="Section Catalogue"/>
      <sheetName val="BS Schdl- 1 &amp; 2"/>
      <sheetName val="L3"/>
      <sheetName val="st"/>
      <sheetName val="BOQ "/>
      <sheetName val="Flooring"/>
      <sheetName val="ELEC_BOQ"/>
      <sheetName val="nglrpt042964858"/>
      <sheetName val="Trial Bal"/>
      <sheetName val="Detailed Summary (5)"/>
      <sheetName val="DG3285"/>
      <sheetName val="HEAD"/>
      <sheetName val="Cashflow projection"/>
      <sheetName val="RA_EIL"/>
      <sheetName val="RA_MKT_QUOTE"/>
      <sheetName val="Risk &amp; Opportunities"/>
      <sheetName val="inWords"/>
      <sheetName val="CFForecast detail"/>
      <sheetName val="RateAnalysis"/>
      <sheetName val="final abstract"/>
      <sheetName val="월선수금"/>
      <sheetName val="OHT_Abs"/>
      <sheetName val="Sheet 1"/>
      <sheetName val="CLform"/>
      <sheetName val="RFP002"/>
      <sheetName val="PCS DATA"/>
      <sheetName val="Mat &amp; Lab Rate"/>
      <sheetName val="Final 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Assmpns"/>
      <sheetName val="Cul_detail"/>
      <sheetName val="1_Project_Profile"/>
      <sheetName val="sq ftg detail"/>
      <sheetName val="lookup"/>
      <sheetName val="Database"/>
      <sheetName val="FORM-W3"/>
      <sheetName val="Micro"/>
      <sheetName val="Macro"/>
      <sheetName val="Scaff-Rose"/>
      <sheetName val="wordsdata"/>
      <sheetName val="ORDER_BOOKING"/>
      <sheetName val="Direct cost shed A-2 "/>
      <sheetName val="Material Rate"/>
      <sheetName val="Performance Report"/>
      <sheetName val="Generic Sum"/>
      <sheetName val="7 Other Costs"/>
      <sheetName val="EQT-ESTN"/>
      <sheetName val="PILE-C1"/>
      <sheetName val="Civil_Boq2"/>
      <sheetName val="Abstract_Sheet"/>
      <sheetName val="RCC,Ret__Wall"/>
      <sheetName val="floor_slab-RS21"/>
      <sheetName val="General_Summary"/>
      <sheetName val="BOQ_Direct_selling_cost1"/>
      <sheetName val="Legal_Risk_Analysis"/>
      <sheetName val="PRECAST_lightconc-II1"/>
      <sheetName val="Staff_Forecast_spread1"/>
      <sheetName val="PIpe_Pushing1"/>
      <sheetName val="13__Steel_-_Ratio"/>
      <sheetName val="+X_&amp;_-X_DIR_PRE"/>
      <sheetName val="Break_up_Sheet"/>
      <sheetName val="1_01_(a)"/>
      <sheetName val="TASKRSRC_(2)"/>
      <sheetName val="Labour_productivity1"/>
      <sheetName val="INPUT_SHEET1"/>
      <sheetName val="Extra_Item"/>
      <sheetName val="Fill_this_out_first___"/>
      <sheetName val="Labour_&amp;_Plant"/>
      <sheetName val="Project_Budget_Worksheet"/>
      <sheetName val="V_O_4_-_PCC_Qty"/>
      <sheetName val="TBAL9697_-group_wise__sdpl"/>
      <sheetName val="Field_Values"/>
      <sheetName val="BOQ_-II_ph_2"/>
      <sheetName val="PRECAST_lightconc_II"/>
      <sheetName val="2_1_受電設備棟"/>
      <sheetName val="2_2_受・防火水槽"/>
      <sheetName val="2_3_排水処理設備棟"/>
      <sheetName val="2_4_倉庫棟"/>
      <sheetName val="2_5_守衛棟"/>
      <sheetName val="organi_synthesis_lab"/>
      <sheetName val="Fin_Sum"/>
      <sheetName val="Plant_Cost"/>
      <sheetName val="PointNo_5"/>
      <sheetName val="BOQ_fire_proofing"/>
      <sheetName val="Balance_sheet"/>
      <sheetName val="DETAIL_SHEET"/>
      <sheetName val="Cashflow_projection"/>
      <sheetName val="d-safe_DELUXE"/>
      <sheetName val="_"/>
      <sheetName val="PC_Master_List"/>
      <sheetName val="BOQ_(2)"/>
      <sheetName val="T1037_Entire_School"/>
      <sheetName val="Site_Dev_BOQ"/>
      <sheetName val="RMZ_Summary"/>
      <sheetName val="Employee_List"/>
      <sheetName val="STAFFSCHED_"/>
      <sheetName val="Basement_Budget"/>
      <sheetName val="IO_LIST"/>
      <sheetName val="except_wiring"/>
      <sheetName val="3cd_Annexure"/>
      <sheetName val="1st_and_4th_flight"/>
      <sheetName val="Tender_Summary"/>
      <sheetName val="Staff_Acco_"/>
      <sheetName val="labour_coeff"/>
      <sheetName val="Current_Bill_MB_ref"/>
      <sheetName val="10__&amp;_11__Rate_Code_&amp;_BQ"/>
      <sheetName val="Scope_Reconciliation"/>
      <sheetName val="Site_wise_NADs"/>
      <sheetName val="NT_LBH"/>
      <sheetName val="Project_Details__"/>
      <sheetName val="Top_Line_-_WWW"/>
      <sheetName val="Cover_sheet"/>
      <sheetName val="Desgn(zone_I)"/>
      <sheetName val="Rate_analysis"/>
      <sheetName val="Trial_Bal"/>
      <sheetName val="@Risk_Inputs"/>
      <sheetName val="Depreciation_Calc"/>
      <sheetName val="b_s_-p_l_-sch_"/>
      <sheetName val="Activity_Costing_Breakup"/>
      <sheetName val="Unit_Rate(CIS)"/>
      <sheetName val="Conc_Analysis"/>
      <sheetName val="Basic_"/>
      <sheetName val="Back-UP_IRA_(CIS)"/>
      <sheetName val="Precast_IRA"/>
      <sheetName val="Precast_IRA_Backup"/>
      <sheetName val="Precast_RA"/>
      <sheetName val="Block_A_-_BOQ"/>
      <sheetName val="Fee_Rate_Summary"/>
      <sheetName val="M_S_"/>
      <sheetName val="SC_revtrgt"/>
      <sheetName val="BOQ_Distribution"/>
      <sheetName val="Summary_year_Plan"/>
      <sheetName val="Detailed_Summary_(5)"/>
      <sheetName val="Global factors"/>
      <sheetName val="M.R.List (2)"/>
      <sheetName val="Assumptions"/>
      <sheetName val="Equpt"/>
      <sheetName val="Pay Rec"/>
      <sheetName val="Certificate"/>
      <sheetName val="Advice"/>
      <sheetName val="Int(Ho con &amp; LH)"/>
      <sheetName val="General_Summary1"/>
      <sheetName val="BOQ_fire_proofing1"/>
      <sheetName val="Intro_"/>
      <sheetName val="R.A"/>
      <sheetName val="RANGE"/>
      <sheetName val="Indices"/>
      <sheetName val="GUT"/>
      <sheetName val="AR"/>
      <sheetName val="Abstract - Single Line"/>
      <sheetName val="keyword"/>
      <sheetName val="Final Bill of Material"/>
      <sheetName val="mem-property"/>
      <sheetName val="Controls"/>
      <sheetName val="Analy_7-10"/>
      <sheetName val="BOQ-Part1"/>
      <sheetName val="Approved MTD Proj #'s"/>
      <sheetName val="SPT_vs_PHI2"/>
      <sheetName val="std_wt_2"/>
      <sheetName val="Material_2"/>
      <sheetName val="Chandrawal_-12"/>
      <sheetName val="Guide_VAT_ED_Credit2"/>
      <sheetName val="AMC_&amp;_O&amp;M2"/>
      <sheetName val="JTS_Costing2"/>
      <sheetName val="Pile_cap2"/>
      <sheetName val="d-safe_specs2"/>
      <sheetName val="CABLE_DATA1"/>
      <sheetName val="final_abstract"/>
      <sheetName val="BS_Schdl-_1_&amp;_2"/>
      <sheetName val="PM_Action_"/>
      <sheetName val="PE_Status"/>
      <sheetName val="Major_Events_"/>
      <sheetName val="Crtitical_Issues"/>
      <sheetName val="Fault_Statistics"/>
      <sheetName val="Ageing_Pending__CLeared"/>
      <sheetName val="Fault_Cleared_After_24Hrs"/>
      <sheetName val="BOQ_"/>
      <sheetName val="Risk_&amp;_Opportunities"/>
      <sheetName val="E_&amp;_R"/>
      <sheetName val="Mat_&amp;_Lab_Rate"/>
      <sheetName val="CFForecast_detail"/>
      <sheetName val="Final_Summary"/>
      <sheetName val="sq_ftg_detail"/>
      <sheetName val="Sheet_1"/>
      <sheetName val="9. Package split - Cost "/>
      <sheetName val="India F&amp;S Template"/>
      <sheetName val="Data-Month"/>
      <sheetName val="Column Bracket"/>
      <sheetName val="Sqn_Abs _G_1"/>
      <sheetName val="Inter unit set off"/>
      <sheetName val="Cor_01Br6_8"/>
      <sheetName val="Cd"/>
      <sheetName val="Cs"/>
      <sheetName val="CPIPE"/>
      <sheetName val="CPIPE 1"/>
      <sheetName val="UNIT WT LIST"/>
      <sheetName val="Sheet7"/>
      <sheetName val="Sub-str."/>
      <sheetName val="Variation Statement"/>
      <sheetName val="Basic Resources"/>
      <sheetName val="COMP WALL"/>
      <sheetName val="환율"/>
      <sheetName val="Register"/>
      <sheetName val="Civil_Boq3"/>
      <sheetName val="BOQ_Direct_selling_cost2"/>
      <sheetName val="Staff_Forecast_spread2"/>
      <sheetName val="floor_slab-RS22"/>
      <sheetName val="+X_&amp;_-X_DIR_PRE1"/>
      <sheetName val="PIpe_Pushing2"/>
      <sheetName val="Break_up_Sheet1"/>
      <sheetName val="PRECAST_lightconc-II2"/>
      <sheetName val="Labour_productivity2"/>
      <sheetName val="13__Steel_-_Ratio1"/>
      <sheetName val="2_1_受電設備棟1"/>
      <sheetName val="2_2_受・防火水槽1"/>
      <sheetName val="2_3_排水処理設備棟1"/>
      <sheetName val="2_4_倉庫棟1"/>
      <sheetName val="2_5_守衛棟1"/>
      <sheetName val="Abstract_Sheet1"/>
      <sheetName val="Plant_Cost1"/>
      <sheetName val="DETAIL_SHEET1"/>
      <sheetName val="INPUT_SHEET2"/>
      <sheetName val="Extra_Item1"/>
      <sheetName val="Fill_this_out_first___1"/>
      <sheetName val="Labour_&amp;_Plant1"/>
      <sheetName val="Project_Budget_Worksheet1"/>
      <sheetName val="TASKRSRC_(2)1"/>
      <sheetName val="organi_synthesis_lab1"/>
      <sheetName val="Legal_Risk_Analysis1"/>
      <sheetName val="V_O_4_-_PCC_Qty1"/>
      <sheetName val="Field_Values1"/>
      <sheetName val="TBAL9697_-group_wise__sdpl1"/>
      <sheetName val="BOQ_-II_ph_21"/>
      <sheetName val="PointNo_51"/>
      <sheetName val="1_01_(a)1"/>
      <sheetName val="d-safe_DELUXE1"/>
      <sheetName val="Site_wise_NADs1"/>
      <sheetName val="T1037_Entire_School1"/>
      <sheetName val="PC_Master_List1"/>
      <sheetName val="Balance_sheet1"/>
      <sheetName val="SC_revtrgt1"/>
      <sheetName val="Fin_Sum1"/>
      <sheetName val="RCC,Ret__Wall1"/>
      <sheetName val="_1"/>
      <sheetName val="RMZ_Summary1"/>
      <sheetName val="Employee_List1"/>
      <sheetName val="STAFFSCHED_1"/>
      <sheetName val="PRECAST_lightconc_II1"/>
      <sheetName val="Basement_Budget1"/>
      <sheetName val="IO_LIST1"/>
      <sheetName val="ORDER_BOOKING1"/>
      <sheetName val="except_wiring1"/>
      <sheetName val="3cd_Annexure1"/>
      <sheetName val="BOQ_(2)1"/>
      <sheetName val="Site_Dev_BOQ1"/>
      <sheetName val="1st_and_4th_flight1"/>
      <sheetName val="Cover_sheet1"/>
      <sheetName val="labour_coeff1"/>
      <sheetName val="Fee_Rate_Summary1"/>
      <sheetName val="Rate_analysis1"/>
      <sheetName val="Tender_Summary1"/>
      <sheetName val="10__&amp;_11__Rate_Code_&amp;_BQ1"/>
      <sheetName val="Scope_Reconciliation1"/>
      <sheetName val="Current_Bill_MB_ref1"/>
      <sheetName val="NT_LBH1"/>
      <sheetName val="Activity_Costing_Breakup1"/>
      <sheetName val="Unit_Rate(CIS)1"/>
      <sheetName val="Conc_Analysis1"/>
      <sheetName val="Basic_1"/>
      <sheetName val="Back-UP_IRA_(CIS)1"/>
      <sheetName val="Precast_IRA1"/>
      <sheetName val="Precast_IRA_Backup1"/>
      <sheetName val="Precast_RA1"/>
      <sheetName val="Summary_year_Plan1"/>
      <sheetName val="Desgn(zone_I)1"/>
      <sheetName val="Project_Details__1"/>
      <sheetName val="Top_Line_-_WWW1"/>
      <sheetName val="Depreciation_Calc1"/>
      <sheetName val="Staff_Acco_1"/>
      <sheetName val="Trial_Bal1"/>
      <sheetName val="Detailed_Summary_(5)1"/>
      <sheetName val="Block_A_-_BOQ1"/>
      <sheetName val="b_s_-p_l_-sch_1"/>
      <sheetName val="M_S_1"/>
      <sheetName val="Final_Summary1"/>
      <sheetName val="Rising Main"/>
      <sheetName val="Rob. elektr."/>
      <sheetName val="SILICATE"/>
      <sheetName val="Civil_Boq4"/>
      <sheetName val="SPT_vs_PHI3"/>
      <sheetName val="std_wt_3"/>
      <sheetName val="Material_3"/>
      <sheetName val="Chandrawal_-13"/>
      <sheetName val="Guide_VAT_ED_Credit3"/>
      <sheetName val="AMC_&amp;_O&amp;M3"/>
      <sheetName val="JTS_Costing3"/>
      <sheetName val="Control"/>
      <sheetName val="Pile_cap3"/>
      <sheetName val="BOQ_Direct_selling_cost3"/>
      <sheetName val="Staff_Forecast_spread3"/>
      <sheetName val="floor_slab-RS23"/>
      <sheetName val="General_Summary2"/>
      <sheetName val="+X_&amp;_-X_DIR_PRE2"/>
      <sheetName val="PIpe_Pushing3"/>
      <sheetName val="Break_up_Sheet2"/>
      <sheetName val="PRECAST_lightconc-II3"/>
      <sheetName val="d-safe_specs3"/>
      <sheetName val="Labour_productivity3"/>
      <sheetName val="13__Steel_-_Ratio2"/>
      <sheetName val="2_1_受電設備棟2"/>
      <sheetName val="2_2_受・防火水槽2"/>
      <sheetName val="2_3_排水処理設備棟2"/>
      <sheetName val="2_4_倉庫棟2"/>
      <sheetName val="2_5_守衛棟2"/>
      <sheetName val="Abstract_Sheet2"/>
      <sheetName val="Plant_Cost2"/>
      <sheetName val="DETAIL_SHEET2"/>
      <sheetName val="CABLE_DATA2"/>
      <sheetName val="INPUT_SHEET3"/>
      <sheetName val="Extra_Item2"/>
      <sheetName val="Fill_this_out_first___2"/>
      <sheetName val="Labour_&amp;_Plant2"/>
      <sheetName val="Project_Budget_Worksheet2"/>
      <sheetName val="TASKRSRC_(2)2"/>
      <sheetName val="organi_synthesis_lab2"/>
      <sheetName val="1C Data"/>
      <sheetName val="Legal_Risk_Analysis2"/>
      <sheetName val="V_O_4_-_PCC_Qty2"/>
      <sheetName val="Field_Values2"/>
      <sheetName val="TBAL9697_-group_wise__sdpl2"/>
      <sheetName val="BOQ_-II_ph_22"/>
      <sheetName val="PointNo_52"/>
      <sheetName val="1_01_(a)2"/>
      <sheetName val="d-safe_DELUXE2"/>
      <sheetName val="Site_wise_NADs2"/>
      <sheetName val="T1037_Entire_School2"/>
      <sheetName val="PC_Master_List2"/>
      <sheetName val="Balance_sheet2"/>
      <sheetName val="OVER HEADS"/>
      <sheetName val="@Risk_Inputs1"/>
      <sheetName val="final_abstract1"/>
      <sheetName val="BS_Schdl-_1_&amp;_21"/>
      <sheetName val="PM_Action_1"/>
      <sheetName val="PE_Status1"/>
      <sheetName val="Major_Events_1"/>
      <sheetName val="Crtitical_Issues1"/>
      <sheetName val="Fault_Statistics1"/>
      <sheetName val="Ageing_Pending__CLeared1"/>
      <sheetName val="Fault_Cleared_After_24Hrs1"/>
      <sheetName val="BOQ_1"/>
      <sheetName val="Risk_&amp;_Opportunities1"/>
      <sheetName val="E_&amp;_R1"/>
      <sheetName val="Mat_&amp;_Lab_Rate1"/>
      <sheetName val="CFForecast_detail1"/>
      <sheetName val="Intro_1"/>
      <sheetName val="BOQ_Distribution1"/>
      <sheetName val="sq_ftg_detail1"/>
      <sheetName val="Sheet_11"/>
      <sheetName val="SPT_vs_PHI4"/>
      <sheetName val="std_wt_4"/>
      <sheetName val="Material_4"/>
      <sheetName val="Chandrawal_-14"/>
      <sheetName val="Guide_VAT_ED_Credit4"/>
      <sheetName val="AMC_&amp;_O&amp;M4"/>
      <sheetName val="JTS_Costing4"/>
      <sheetName val="Pile_cap4"/>
      <sheetName val="d-safe_specs4"/>
      <sheetName val="CABLE_DATA3"/>
      <sheetName val="Fin_Sum2"/>
      <sheetName val="RMZ_Summary2"/>
      <sheetName val="Employee_List2"/>
      <sheetName val="BOQ_fire_proofing2"/>
      <sheetName val="RCC,Ret__Wall2"/>
      <sheetName val="STAFFSCHED_2"/>
      <sheetName val="PRECAST_lightconc_II2"/>
      <sheetName val="Basement_Budget2"/>
      <sheetName val="IO_LIST2"/>
      <sheetName val="ORDER_BOOKING2"/>
      <sheetName val="except_wiring2"/>
      <sheetName val="3cd_Annexure2"/>
      <sheetName val="labour_coeff2"/>
      <sheetName val="10__&amp;_11__Rate_Code_&amp;_BQ2"/>
      <sheetName val="Scope_Reconciliation2"/>
      <sheetName val="_2"/>
      <sheetName val="BOQ_(2)2"/>
      <sheetName val="Site_Dev_BOQ2"/>
      <sheetName val="Current_Bill_MB_ref2"/>
      <sheetName val="NT_LBH2"/>
      <sheetName val="Desgn(zone_I)2"/>
      <sheetName val="1st_and_4th_flight2"/>
      <sheetName val="Cover_sheet2"/>
      <sheetName val="Tender_Summary2"/>
      <sheetName val="Depreciation_Calc2"/>
      <sheetName val="Project_Details__2"/>
      <sheetName val="Top_Line_-_WWW2"/>
      <sheetName val="Activity_Costing_Breakup2"/>
      <sheetName val="Unit_Rate(CIS)2"/>
      <sheetName val="Conc_Analysis2"/>
      <sheetName val="Basic_2"/>
      <sheetName val="Back-UP_IRA_(CIS)2"/>
      <sheetName val="Precast_IRA2"/>
      <sheetName val="Precast_IRA_Backup2"/>
      <sheetName val="Precast_RA2"/>
      <sheetName val="Staff_Acco_2"/>
      <sheetName val="Block_A_-_BOQ2"/>
      <sheetName val="b_s_-p_l_-sch_2"/>
      <sheetName val="M_S_2"/>
      <sheetName val="Rate_analysis2"/>
      <sheetName val="Fee_Rate_Summary2"/>
      <sheetName val="@Risk_Inputs2"/>
      <sheetName val="final_abstract2"/>
      <sheetName val="BS_Schdl-_1_&amp;_22"/>
      <sheetName val="Summary_year_Plan2"/>
      <sheetName val="SC_revtrgt2"/>
      <sheetName val="PM_Action_2"/>
      <sheetName val="PE_Status2"/>
      <sheetName val="Major_Events_2"/>
      <sheetName val="Crtitical_Issues2"/>
      <sheetName val="Fault_Statistics2"/>
      <sheetName val="Ageing_Pending__CLeared2"/>
      <sheetName val="Fault_Cleared_After_24Hrs2"/>
      <sheetName val="BOQ_2"/>
      <sheetName val="Risk_&amp;_Opportunities2"/>
      <sheetName val="E_&amp;_R2"/>
      <sheetName val="Mat_&amp;_Lab_Rate2"/>
      <sheetName val="CFForecast_detail2"/>
      <sheetName val="Intro_2"/>
      <sheetName val="BOQ_Distribution2"/>
      <sheetName val="Trial_Bal2"/>
      <sheetName val="Detailed_Summary_(5)2"/>
      <sheetName val="Final_Summary2"/>
      <sheetName val="sq_ftg_detail2"/>
      <sheetName val="Sheet_12"/>
      <sheetName val="Civil_Boq5"/>
      <sheetName val="SPT_vs_PHI5"/>
      <sheetName val="std_wt_5"/>
      <sheetName val="Material_5"/>
      <sheetName val="Chandrawal_-15"/>
      <sheetName val="Guide_VAT_ED_Credit5"/>
      <sheetName val="AMC_&amp;_O&amp;M5"/>
      <sheetName val="JTS_Costing5"/>
      <sheetName val="Pile_cap5"/>
      <sheetName val="BOQ_Direct_selling_cost4"/>
      <sheetName val="Staff_Forecast_spread4"/>
      <sheetName val="floor_slab-RS24"/>
      <sheetName val="General_Summary3"/>
      <sheetName val="+X_&amp;_-X_DIR_PRE3"/>
      <sheetName val="PIpe_Pushing4"/>
      <sheetName val="d-safe_specs5"/>
      <sheetName val="Break_up_Sheet3"/>
      <sheetName val="13__Steel_-_Ratio3"/>
      <sheetName val="PRECAST_lightconc-II4"/>
      <sheetName val="Labour_productivity4"/>
      <sheetName val="TASKRSRC_(2)3"/>
      <sheetName val="CABLE_DATA4"/>
      <sheetName val="INPUT_SHEET4"/>
      <sheetName val="Extra_Item3"/>
      <sheetName val="Fill_this_out_first___3"/>
      <sheetName val="Labour_&amp;_Plant3"/>
      <sheetName val="Project_Budget_Worksheet3"/>
      <sheetName val="Abstract_Sheet3"/>
      <sheetName val="Legal_Risk_Analysis3"/>
      <sheetName val="V_O_4_-_PCC_Qty3"/>
      <sheetName val="Field_Values3"/>
      <sheetName val="TBAL9697_-group_wise__sdpl3"/>
      <sheetName val="BOQ_-II_ph_23"/>
      <sheetName val="DETAIL_SHEET3"/>
      <sheetName val="organi_synthesis_lab3"/>
      <sheetName val="Fin_Sum3"/>
      <sheetName val="2_1_受電設備棟3"/>
      <sheetName val="2_2_受・防火水槽3"/>
      <sheetName val="2_3_排水処理設備棟3"/>
      <sheetName val="2_4_倉庫棟3"/>
      <sheetName val="2_5_守衛棟3"/>
      <sheetName val="PointNo_53"/>
      <sheetName val="1_01_(a)3"/>
      <sheetName val="T1037_Entire_School3"/>
      <sheetName val="RMZ_Summary3"/>
      <sheetName val="d-safe_DELUXE3"/>
      <sheetName val="Employee_List3"/>
      <sheetName val="Balance_sheet3"/>
      <sheetName val="BOQ_fire_proofing3"/>
      <sheetName val="RCC,Ret__Wall3"/>
      <sheetName val="Plant_Cost3"/>
      <sheetName val="STAFFSCHED_3"/>
      <sheetName val="PRECAST_lightconc_II3"/>
      <sheetName val="Basement_Budget3"/>
      <sheetName val="IO_LIST3"/>
      <sheetName val="PC_Master_List3"/>
      <sheetName val="ORDER_BOOKING3"/>
      <sheetName val="except_wiring3"/>
      <sheetName val="3cd_Annexure3"/>
      <sheetName val="labour_coeff3"/>
      <sheetName val="10__&amp;_11__Rate_Code_&amp;_BQ3"/>
      <sheetName val="Scope_Reconciliation3"/>
      <sheetName val="_3"/>
      <sheetName val="BOQ_(2)3"/>
      <sheetName val="Site_Dev_BOQ3"/>
      <sheetName val="Current_Bill_MB_ref3"/>
      <sheetName val="NT_LBH3"/>
      <sheetName val="Desgn(zone_I)3"/>
      <sheetName val="1st_and_4th_flight3"/>
      <sheetName val="Cover_sheet3"/>
      <sheetName val="Site_wise_NADs3"/>
      <sheetName val="Tender_Summary3"/>
      <sheetName val="Depreciation_Calc3"/>
      <sheetName val="Project_Details__3"/>
      <sheetName val="Top_Line_-_WWW3"/>
      <sheetName val="Activity_Costing_Breakup3"/>
      <sheetName val="Unit_Rate(CIS)3"/>
      <sheetName val="Conc_Analysis3"/>
      <sheetName val="Basic_3"/>
      <sheetName val="Back-UP_IRA_(CIS)3"/>
      <sheetName val="Precast_IRA3"/>
      <sheetName val="Precast_IRA_Backup3"/>
      <sheetName val="Precast_RA3"/>
      <sheetName val="Staff_Acco_3"/>
      <sheetName val="Block_A_-_BOQ3"/>
      <sheetName val="b_s_-p_l_-sch_3"/>
      <sheetName val="M_S_3"/>
      <sheetName val="Rate_analysis3"/>
      <sheetName val="Fee_Rate_Summary3"/>
      <sheetName val="@Risk_Inputs3"/>
      <sheetName val="final_abstract3"/>
      <sheetName val="BS_Schdl-_1_&amp;_23"/>
      <sheetName val="Summary_year_Plan3"/>
      <sheetName val="SC_revtrgt3"/>
      <sheetName val="PM_Action_3"/>
      <sheetName val="PE_Status3"/>
      <sheetName val="Major_Events_3"/>
      <sheetName val="Crtitical_Issues3"/>
      <sheetName val="Fault_Statistics3"/>
      <sheetName val="Ageing_Pending__CLeared3"/>
      <sheetName val="Fault_Cleared_After_24Hrs3"/>
      <sheetName val="BOQ_3"/>
      <sheetName val="Risk_&amp;_Opportunities3"/>
      <sheetName val="E_&amp;_R3"/>
      <sheetName val="Mat_&amp;_Lab_Rate3"/>
      <sheetName val="CFForecast_detail3"/>
      <sheetName val="Intro_3"/>
      <sheetName val="BOQ_Distribution3"/>
      <sheetName val="Trial_Bal3"/>
      <sheetName val="Detailed_Summary_(5)3"/>
      <sheetName val="Final_Summary3"/>
      <sheetName val="sq_ftg_detail3"/>
      <sheetName val="Sheet_13"/>
      <sheetName val="Civil_Boq6"/>
      <sheetName val="SPT_vs_PHI6"/>
      <sheetName val="std_wt_6"/>
      <sheetName val="Material_6"/>
      <sheetName val="Chandrawal_-16"/>
      <sheetName val="Guide_VAT_ED_Credit6"/>
      <sheetName val="AMC_&amp;_O&amp;M6"/>
      <sheetName val="JTS_Costing6"/>
      <sheetName val="Pile_cap6"/>
      <sheetName val="BOQ_Direct_selling_cost5"/>
      <sheetName val="Staff_Forecast_spread5"/>
      <sheetName val="floor_slab-RS25"/>
      <sheetName val="General_Summary4"/>
      <sheetName val="+X_&amp;_-X_DIR_PRE4"/>
      <sheetName val="PIpe_Pushing5"/>
      <sheetName val="d-safe_specs6"/>
      <sheetName val="Break_up_Sheet4"/>
      <sheetName val="13__Steel_-_Ratio4"/>
      <sheetName val="PRECAST_lightconc-II5"/>
      <sheetName val="Labour_productivity5"/>
      <sheetName val="TASKRSRC_(2)4"/>
      <sheetName val="CABLE_DATA5"/>
      <sheetName val="INPUT_SHEET5"/>
      <sheetName val="Extra_Item4"/>
      <sheetName val="Fill_this_out_first___4"/>
      <sheetName val="Labour_&amp;_Plant4"/>
      <sheetName val="Project_Budget_Worksheet4"/>
      <sheetName val="Abstract_Sheet4"/>
      <sheetName val="Legal_Risk_Analysis4"/>
      <sheetName val="V_O_4_-_PCC_Qty4"/>
      <sheetName val="Field_Values4"/>
      <sheetName val="TBAL9697_-group_wise__sdpl4"/>
      <sheetName val="BOQ_-II_ph_24"/>
      <sheetName val="DETAIL_SHEET4"/>
      <sheetName val="organi_synthesis_lab4"/>
      <sheetName val="Fin_Sum4"/>
      <sheetName val="2_1_受電設備棟4"/>
      <sheetName val="2_2_受・防火水槽4"/>
      <sheetName val="2_3_排水処理設備棟4"/>
      <sheetName val="2_4_倉庫棟4"/>
      <sheetName val="2_5_守衛棟4"/>
      <sheetName val="PointNo_54"/>
      <sheetName val="1_01_(a)4"/>
      <sheetName val="T1037_Entire_School4"/>
      <sheetName val="RMZ_Summary4"/>
      <sheetName val="d-safe_DELUXE4"/>
      <sheetName val="Employee_List4"/>
      <sheetName val="Balance_sheet4"/>
      <sheetName val="BOQ_fire_proofing4"/>
      <sheetName val="RCC,Ret__Wall4"/>
      <sheetName val="Plant_Cost4"/>
      <sheetName val="STAFFSCHED_4"/>
      <sheetName val="PRECAST_lightconc_II4"/>
      <sheetName val="Basement_Budget4"/>
      <sheetName val="IO_LIST4"/>
      <sheetName val="PC_Master_List4"/>
      <sheetName val="ORDER_BOOKING4"/>
      <sheetName val="except_wiring4"/>
      <sheetName val="3cd_Annexure4"/>
      <sheetName val="labour_coeff4"/>
      <sheetName val="10__&amp;_11__Rate_Code_&amp;_BQ4"/>
      <sheetName val="Scope_Reconciliation4"/>
      <sheetName val="_4"/>
      <sheetName val="BOQ_(2)4"/>
      <sheetName val="Site_Dev_BOQ4"/>
      <sheetName val="Current_Bill_MB_ref4"/>
      <sheetName val="NT_LBH4"/>
      <sheetName val="Desgn(zone_I)4"/>
      <sheetName val="1st_and_4th_flight4"/>
      <sheetName val="Cover_sheet4"/>
      <sheetName val="Site_wise_NADs4"/>
      <sheetName val="Tender_Summary4"/>
      <sheetName val="Depreciation_Calc4"/>
      <sheetName val="Project_Details__4"/>
      <sheetName val="Top_Line_-_WWW4"/>
      <sheetName val="Activity_Costing_Breakup4"/>
      <sheetName val="Unit_Rate(CIS)4"/>
      <sheetName val="Conc_Analysis4"/>
      <sheetName val="Basic_4"/>
      <sheetName val="Back-UP_IRA_(CIS)4"/>
      <sheetName val="Precast_IRA4"/>
      <sheetName val="Precast_IRA_Backup4"/>
      <sheetName val="Precast_RA4"/>
      <sheetName val="Staff_Acco_4"/>
      <sheetName val="Block_A_-_BOQ4"/>
      <sheetName val="b_s_-p_l_-sch_4"/>
      <sheetName val="M_S_4"/>
      <sheetName val="Rate_analysis4"/>
      <sheetName val="Fee_Rate_Summary4"/>
      <sheetName val="@Risk_Inputs4"/>
      <sheetName val="final_abstract4"/>
      <sheetName val="BS_Schdl-_1_&amp;_24"/>
      <sheetName val="Summary_year_Plan4"/>
      <sheetName val="SC_revtrgt4"/>
      <sheetName val="PM_Action_4"/>
      <sheetName val="PE_Status4"/>
      <sheetName val="Major_Events_4"/>
      <sheetName val="Crtitical_Issues4"/>
      <sheetName val="Fault_Statistics4"/>
      <sheetName val="Ageing_Pending__CLeared4"/>
      <sheetName val="Fault_Cleared_After_24Hrs4"/>
      <sheetName val="BOQ_4"/>
      <sheetName val="Risk_&amp;_Opportunities4"/>
      <sheetName val="E_&amp;_R4"/>
      <sheetName val="Mat_&amp;_Lab_Rate4"/>
      <sheetName val="CFForecast_detail4"/>
      <sheetName val="Intro_4"/>
      <sheetName val="BOQ_Distribution4"/>
      <sheetName val="Trial_Bal4"/>
      <sheetName val="Detailed_Summary_(5)4"/>
      <sheetName val="Final_Summary4"/>
      <sheetName val="sq_ftg_detail4"/>
      <sheetName val="Sheet_14"/>
      <sheetName val="Abstract_-_Single_Line"/>
      <sheetName val="Section_Catalogue"/>
      <sheetName val="M_R_List_(2)"/>
      <sheetName val="Final_Bill_of_Material"/>
      <sheetName val="Civil_Boq7"/>
      <sheetName val="SPT_vs_PHI7"/>
      <sheetName val="std_wt_7"/>
      <sheetName val="Material_7"/>
      <sheetName val="Chandrawal_-17"/>
      <sheetName val="Guide_VAT_ED_Credit7"/>
      <sheetName val="AMC_&amp;_O&amp;M7"/>
      <sheetName val="JTS_Costing7"/>
      <sheetName val="Pile_cap7"/>
      <sheetName val="BOQ_Direct_selling_cost6"/>
      <sheetName val="Staff_Forecast_spread6"/>
      <sheetName val="floor_slab-RS26"/>
      <sheetName val="General_Summary5"/>
      <sheetName val="+X_&amp;_-X_DIR_PRE5"/>
      <sheetName val="PIpe_Pushing6"/>
      <sheetName val="d-safe_specs7"/>
      <sheetName val="Break_up_Sheet5"/>
      <sheetName val="13__Steel_-_Ratio5"/>
      <sheetName val="PRECAST_lightconc-II6"/>
      <sheetName val="Labour_productivity6"/>
      <sheetName val="TASKRSRC_(2)5"/>
      <sheetName val="CABLE_DATA6"/>
      <sheetName val="INPUT_SHEET6"/>
      <sheetName val="Extra_Item5"/>
      <sheetName val="Fill_this_out_first___5"/>
      <sheetName val="Labour_&amp;_Plant5"/>
      <sheetName val="Project_Budget_Worksheet5"/>
      <sheetName val="Abstract_Sheet5"/>
      <sheetName val="Legal_Risk_Analysis5"/>
      <sheetName val="V_O_4_-_PCC_Qty5"/>
      <sheetName val="Field_Values5"/>
      <sheetName val="TBAL9697_-group_wise__sdpl5"/>
      <sheetName val="BOQ_-II_ph_25"/>
      <sheetName val="DETAIL_SHEET5"/>
      <sheetName val="organi_synthesis_lab5"/>
      <sheetName val="Fin_Sum5"/>
      <sheetName val="2_1_受電設備棟5"/>
      <sheetName val="2_2_受・防火水槽5"/>
      <sheetName val="2_3_排水処理設備棟5"/>
      <sheetName val="2_4_倉庫棟5"/>
      <sheetName val="2_5_守衛棟5"/>
      <sheetName val="PointNo_55"/>
      <sheetName val="1_01_(a)5"/>
      <sheetName val="T1037_Entire_School5"/>
      <sheetName val="RMZ_Summary5"/>
      <sheetName val="d-safe_DELUXE5"/>
      <sheetName val="Employee_List5"/>
      <sheetName val="Balance_sheet5"/>
      <sheetName val="BOQ_fire_proofing5"/>
      <sheetName val="RCC,Ret__Wall5"/>
      <sheetName val="Plant_Cost5"/>
      <sheetName val="STAFFSCHED_5"/>
      <sheetName val="PRECAST_lightconc_II5"/>
      <sheetName val="Basement_Budget5"/>
      <sheetName val="IO_LIST5"/>
      <sheetName val="PC_Master_List5"/>
      <sheetName val="ORDER_BOOKING5"/>
      <sheetName val="except_wiring5"/>
      <sheetName val="3cd_Annexure5"/>
      <sheetName val="labour_coeff5"/>
      <sheetName val="10__&amp;_11__Rate_Code_&amp;_BQ5"/>
      <sheetName val="Scope_Reconciliation5"/>
      <sheetName val="_5"/>
      <sheetName val="BOQ_(2)5"/>
      <sheetName val="Site_Dev_BOQ5"/>
      <sheetName val="Current_Bill_MB_ref5"/>
      <sheetName val="NT_LBH5"/>
      <sheetName val="Desgn(zone_I)5"/>
      <sheetName val="1st_and_4th_flight5"/>
      <sheetName val="Cover_sheet5"/>
      <sheetName val="Site_wise_NADs5"/>
      <sheetName val="Tender_Summary5"/>
      <sheetName val="Depreciation_Calc5"/>
      <sheetName val="Project_Details__5"/>
      <sheetName val="Top_Line_-_WWW5"/>
      <sheetName val="Activity_Costing_Breakup5"/>
      <sheetName val="Unit_Rate(CIS)5"/>
      <sheetName val="Conc_Analysis5"/>
      <sheetName val="Basic_5"/>
      <sheetName val="Back-UP_IRA_(CIS)5"/>
      <sheetName val="Precast_IRA5"/>
      <sheetName val="Precast_IRA_Backup5"/>
      <sheetName val="Precast_RA5"/>
      <sheetName val="Staff_Acco_5"/>
      <sheetName val="Block_A_-_BOQ5"/>
      <sheetName val="b_s_-p_l_-sch_5"/>
      <sheetName val="M_S_5"/>
      <sheetName val="Rate_analysis5"/>
      <sheetName val="Fee_Rate_Summary5"/>
      <sheetName val="@Risk_Inputs5"/>
      <sheetName val="final_abstract5"/>
      <sheetName val="BS_Schdl-_1_&amp;_25"/>
      <sheetName val="Summary_year_Plan5"/>
      <sheetName val="SC_revtrgt5"/>
      <sheetName val="PM_Action_5"/>
      <sheetName val="PE_Status5"/>
      <sheetName val="Major_Events_5"/>
      <sheetName val="Crtitical_Issues5"/>
      <sheetName val="Fault_Statistics5"/>
      <sheetName val="Ageing_Pending__CLeared5"/>
      <sheetName val="Fault_Cleared_After_24Hrs5"/>
      <sheetName val="BOQ_5"/>
      <sheetName val="Risk_&amp;_Opportunities5"/>
      <sheetName val="E_&amp;_R5"/>
      <sheetName val="Mat_&amp;_Lab_Rate5"/>
      <sheetName val="CFForecast_detail5"/>
      <sheetName val="Intro_5"/>
      <sheetName val="BOQ_Distribution5"/>
      <sheetName val="Trial_Bal5"/>
      <sheetName val="Detailed_Summary_(5)5"/>
      <sheetName val="Final_Summary5"/>
      <sheetName val="sq_ftg_detail5"/>
      <sheetName val="Sheet_15"/>
      <sheetName val="Abstract_-_Single_Line1"/>
      <sheetName val="Section_Catalogue1"/>
      <sheetName val="M_R_List_(2)1"/>
      <sheetName val="Final_Bill_of_Material1"/>
      <sheetName val="Civil_Boq8"/>
      <sheetName val="SPT_vs_PHI8"/>
      <sheetName val="std_wt_8"/>
      <sheetName val="Material_8"/>
      <sheetName val="Chandrawal_-18"/>
      <sheetName val="Guide_VAT_ED_Credit8"/>
      <sheetName val="AMC_&amp;_O&amp;M8"/>
      <sheetName val="JTS_Costing8"/>
      <sheetName val="Pile_cap8"/>
      <sheetName val="BOQ_Direct_selling_cost7"/>
      <sheetName val="Staff_Forecast_spread7"/>
      <sheetName val="floor_slab-RS27"/>
      <sheetName val="General_Summary6"/>
      <sheetName val="+X_&amp;_-X_DIR_PRE6"/>
      <sheetName val="PIpe_Pushing7"/>
      <sheetName val="d-safe_specs8"/>
      <sheetName val="Break_up_Sheet6"/>
      <sheetName val="13__Steel_-_Ratio6"/>
      <sheetName val="PRECAST_lightconc-II7"/>
      <sheetName val="Labour_productivity7"/>
      <sheetName val="TASKRSRC_(2)6"/>
      <sheetName val="CABLE_DATA7"/>
      <sheetName val="INPUT_SHEET7"/>
      <sheetName val="Extra_Item6"/>
      <sheetName val="Fill_this_out_first___6"/>
      <sheetName val="Labour_&amp;_Plant6"/>
      <sheetName val="Project_Budget_Worksheet6"/>
      <sheetName val="Abstract_Sheet6"/>
      <sheetName val="Legal_Risk_Analysis6"/>
      <sheetName val="V_O_4_-_PCC_Qty6"/>
      <sheetName val="Field_Values6"/>
      <sheetName val="TBAL9697_-group_wise__sdpl6"/>
      <sheetName val="BOQ_-II_ph_26"/>
      <sheetName val="DETAIL_SHEET6"/>
      <sheetName val="organi_synthesis_lab6"/>
      <sheetName val="Fin_Sum6"/>
      <sheetName val="2_1_受電設備棟6"/>
      <sheetName val="2_2_受・防火水槽6"/>
      <sheetName val="2_3_排水処理設備棟6"/>
      <sheetName val="2_4_倉庫棟6"/>
      <sheetName val="2_5_守衛棟6"/>
      <sheetName val="PointNo_56"/>
      <sheetName val="1_01_(a)6"/>
      <sheetName val="T1037_Entire_School6"/>
      <sheetName val="RMZ_Summary6"/>
      <sheetName val="d-safe_DELUXE6"/>
      <sheetName val="Employee_List6"/>
      <sheetName val="Balance_sheet6"/>
      <sheetName val="BOQ_fire_proofing6"/>
      <sheetName val="RCC,Ret__Wall6"/>
      <sheetName val="Plant_Cost6"/>
      <sheetName val="STAFFSCHED_6"/>
      <sheetName val="PRECAST_lightconc_II6"/>
      <sheetName val="Basement_Budget6"/>
      <sheetName val="IO_LIST6"/>
      <sheetName val="PC_Master_List6"/>
      <sheetName val="ORDER_BOOKING6"/>
      <sheetName val="except_wiring6"/>
      <sheetName val="3cd_Annexure6"/>
      <sheetName val="labour_coeff6"/>
      <sheetName val="10__&amp;_11__Rate_Code_&amp;_BQ6"/>
      <sheetName val="Scope_Reconciliation6"/>
      <sheetName val="_6"/>
      <sheetName val="BOQ_(2)6"/>
      <sheetName val="Site_Dev_BOQ6"/>
      <sheetName val="Current_Bill_MB_ref6"/>
      <sheetName val="NT_LBH6"/>
      <sheetName val="Desgn(zone_I)6"/>
      <sheetName val="1st_and_4th_flight6"/>
      <sheetName val="Cover_sheet6"/>
      <sheetName val="Site_wise_NADs6"/>
      <sheetName val="Tender_Summary6"/>
      <sheetName val="Depreciation_Calc6"/>
      <sheetName val="Project_Details__6"/>
      <sheetName val="Top_Line_-_WWW6"/>
      <sheetName val="Activity_Costing_Breakup6"/>
      <sheetName val="Unit_Rate(CIS)6"/>
      <sheetName val="Conc_Analysis6"/>
      <sheetName val="Basic_6"/>
      <sheetName val="Back-UP_IRA_(CIS)6"/>
      <sheetName val="Precast_IRA6"/>
      <sheetName val="Precast_IRA_Backup6"/>
      <sheetName val="Precast_RA6"/>
      <sheetName val="Staff_Acco_6"/>
      <sheetName val="Block_A_-_BOQ6"/>
      <sheetName val="b_s_-p_l_-sch_6"/>
      <sheetName val="M_S_6"/>
      <sheetName val="Rate_analysis6"/>
      <sheetName val="Fee_Rate_Summary6"/>
      <sheetName val="@Risk_Inputs6"/>
      <sheetName val="final_abstract6"/>
      <sheetName val="BS_Schdl-_1_&amp;_26"/>
      <sheetName val="Summary_year_Plan6"/>
      <sheetName val="SC_revtrgt6"/>
      <sheetName val="PM_Action_6"/>
      <sheetName val="PE_Status6"/>
      <sheetName val="Major_Events_6"/>
      <sheetName val="Crtitical_Issues6"/>
      <sheetName val="Fault_Statistics6"/>
      <sheetName val="Ageing_Pending__CLeared6"/>
      <sheetName val="Fault_Cleared_After_24Hrs6"/>
      <sheetName val="BOQ_6"/>
      <sheetName val="Risk_&amp;_Opportunities6"/>
      <sheetName val="E_&amp;_R6"/>
      <sheetName val="Mat_&amp;_Lab_Rate6"/>
      <sheetName val="CFForecast_detail6"/>
      <sheetName val="Intro_6"/>
      <sheetName val="BOQ_Distribution6"/>
      <sheetName val="Trial_Bal6"/>
      <sheetName val="Detailed_Summary_(5)6"/>
      <sheetName val="Final_Summary6"/>
      <sheetName val="sq_ftg_detail6"/>
      <sheetName val="Sheet_16"/>
      <sheetName val="Abstract_-_Single_Line2"/>
      <sheetName val="Section_Catalogue2"/>
      <sheetName val="M_R_List_(2)2"/>
      <sheetName val="Final_Bill_of_Material2"/>
      <sheetName val="horizontal"/>
      <sheetName val="Labor abs-NMR"/>
      <sheetName val="PurchGroup"/>
      <sheetName val="calcul"/>
      <sheetName val="Variables"/>
      <sheetName val="Sanitary_BOQ"/>
      <sheetName val="Basis"/>
      <sheetName val="Abstract"/>
      <sheetName val="rev_01"/>
      <sheetName val="Global_factors"/>
      <sheetName val="R_A"/>
      <sheetName val="INTSHEET"/>
      <sheetName val="INTSHEET3"/>
      <sheetName val="Back_Cal_for OMC"/>
      <sheetName val="SALIENT"/>
      <sheetName val="CASH-FLOW"/>
      <sheetName val="ABB"/>
      <sheetName val="Tie Beams "/>
      <sheetName val="parametry"/>
      <sheetName val="S0"/>
      <sheetName val="Corbel"/>
      <sheetName val="CIF COST ITEM"/>
      <sheetName val="Measur"/>
      <sheetName val="estimate"/>
      <sheetName val="seT"/>
      <sheetName val="Form 6"/>
      <sheetName val="Headings"/>
      <sheetName val="Ref"/>
      <sheetName val="SSR _ NSSR Market final"/>
      <sheetName val="office"/>
      <sheetName val="Lab"/>
      <sheetName val="Material&amp;equipment"/>
      <sheetName val="Equip Codes"/>
      <sheetName val="LTG-STG"/>
      <sheetName val="Rev. 00 - 20.07.04"/>
      <sheetName val="Rates"/>
      <sheetName val="Rate An"/>
      <sheetName val="syndicate codes"/>
      <sheetName val="schedule nos"/>
      <sheetName val="DB_ET200(R. A)"/>
      <sheetName val="SIZING"/>
      <sheetName val="Testing"/>
      <sheetName val="손익현황"/>
      <sheetName val="현황CODE"/>
      <sheetName val="SP&amp;ST 제출가"/>
      <sheetName val="石炭性状"/>
      <sheetName val="가격분석@1100(990104)"/>
      <sheetName val="Escalation"/>
      <sheetName val="NCCALC11"/>
      <sheetName val="공정율 기초 Data"/>
      <sheetName val="제출계산서"/>
      <sheetName val="공사내역"/>
      <sheetName val=" Pricing_110512.xlsx"/>
      <sheetName val="당초"/>
      <sheetName val="BQ"/>
      <sheetName val="POWER"/>
      <sheetName val="Sheet1 (2)"/>
      <sheetName val="FITZ MORT 94"/>
      <sheetName val="RawMatCost"/>
      <sheetName val="Page 2"/>
      <sheetName val="Intake"/>
      <sheetName val="Story Drift-Part 2"/>
      <sheetName val="sand"/>
      <sheetName val="stone"/>
      <sheetName val="index"/>
      <sheetName val="Builtup Area"/>
      <sheetName val="Linked Lead"/>
      <sheetName val="Lead (Final)"/>
      <sheetName val="30-3"/>
      <sheetName val="Working"/>
      <sheetName val="Approved_MTD_Proj_#'s"/>
      <sheetName val="_WORKING"/>
      <sheetName val="Sub-str_"/>
      <sheetName val="Variation_Statement"/>
      <sheetName val="sum-all"/>
      <sheetName val="gen"/>
      <sheetName val="Legend"/>
      <sheetName val="P.Well( RCC)"/>
      <sheetName val="prsch"/>
      <sheetName val="Lowside"/>
      <sheetName val="New33KVSS_E3"/>
      <sheetName val="Prop aug of Ex 33KVSS_E3a"/>
      <sheetName val="#REF!"/>
      <sheetName val="CGL"/>
      <sheetName val="leads"/>
      <sheetName val="Manpower"/>
      <sheetName val="TABLE2"/>
      <sheetName val="r"/>
      <sheetName val="MRATES"/>
      <sheetName val="LOCAL RATES"/>
      <sheetName val="1-Pop Proj"/>
      <sheetName val="Input &amp; Calculations"/>
      <sheetName val="STEEL STRUCTURE"/>
      <sheetName val="ELECT"/>
      <sheetName val="Sheet5"/>
      <sheetName val="Coefficients"/>
      <sheetName val="ssr-rates"/>
      <sheetName val="DI-ESTI"/>
      <sheetName val="#REF"/>
      <sheetName val="&lt;24-Staff RentTable&gt;"/>
      <sheetName val="Mahendra hills"/>
      <sheetName val="rdamdata"/>
      <sheetName val="SSR &amp; NSSR Market final"/>
      <sheetName val="實際值-2006.02.06"/>
      <sheetName val="계정"/>
      <sheetName val="v"/>
      <sheetName val="Main sheet"/>
      <sheetName val="data existing_do not delete"/>
      <sheetName val="Road data"/>
      <sheetName val="Data-ELSR"/>
      <sheetName val="07"/>
      <sheetName val="Kandouli Crossings"/>
      <sheetName val="Tendon Coordinate"/>
      <sheetName val="MID"/>
      <sheetName val="Inhalt"/>
      <sheetName val="concrete"/>
      <sheetName val="beam-reinft-IIInd floor"/>
      <sheetName val="ENCL9"/>
      <sheetName val="6000"/>
      <sheetName val="Curve_Detail"/>
      <sheetName val="TCS Proposed"/>
      <sheetName val="BOQ-Road"/>
      <sheetName val=" Type III"/>
      <sheetName val="Aoc"/>
      <sheetName val="EQUIP1000"/>
      <sheetName val="Proc _ Detail"/>
      <sheetName val="REVENUES &amp; BS"/>
      <sheetName val="bs BP 04 SA"/>
      <sheetName val="Basis Definition &amp; Lists"/>
      <sheetName val="Rpr-Jan00"/>
      <sheetName val="T"/>
      <sheetName val="head loss calc"/>
      <sheetName val="DATA - Summary"/>
      <sheetName val="MA"/>
      <sheetName val="Basement Works"/>
      <sheetName val="HOC"/>
      <sheetName val="Code"/>
      <sheetName val="EARTHING"/>
      <sheetName val="Footing"/>
      <sheetName val="TBEAM"/>
      <sheetName val="strand"/>
      <sheetName val="CPIPE_1"/>
      <sheetName val="UNIT_WT_LIST"/>
      <sheetName val="Column_Bracket"/>
      <sheetName val="Material_Rate"/>
      <sheetName val="Sqn_Abs__G_1"/>
      <sheetName val="Inter_unit_set_off"/>
      <sheetName val="India_F&amp;S_Template"/>
      <sheetName val="9__Package_split_-_Cost_"/>
      <sheetName val="Rev__00_-_20_07_04"/>
      <sheetName val="Tie_Beams_"/>
      <sheetName val="Performance_Report"/>
      <sheetName val="Generic_Sum"/>
      <sheetName val="CIF_COST_ITEM"/>
      <sheetName val="LOCAL_RATES"/>
      <sheetName val="Civil_Boq9"/>
      <sheetName val="PIpe_Pushing8"/>
      <sheetName val="Pile_cap9"/>
      <sheetName val="SPT_vs_PHI9"/>
      <sheetName val="std_wt_9"/>
      <sheetName val="Material_9"/>
      <sheetName val="General_Summary7"/>
      <sheetName val="Chandrawal_-19"/>
      <sheetName val="Guide_VAT_ED_Credit9"/>
      <sheetName val="AMC_&amp;_O&amp;M9"/>
      <sheetName val="JTS_Costing9"/>
      <sheetName val="Abstract_Sheet7"/>
      <sheetName val="V_O_4_-_PCC_Qty7"/>
      <sheetName val="floor_slab-RS28"/>
      <sheetName val="BOQ_Direct_selling_cost8"/>
      <sheetName val="PRECAST_lightconc-II8"/>
      <sheetName val="Legal_Risk_Analysis7"/>
      <sheetName val="Break_up_Sheet7"/>
      <sheetName val="Staff_Forecast_spread8"/>
      <sheetName val="Field_Values7"/>
      <sheetName val="BOQ_fire_proofing7"/>
      <sheetName val="+X_&amp;_-X_DIR_PRE7"/>
      <sheetName val="1_01_(a)7"/>
      <sheetName val="d-safe_specs9"/>
      <sheetName val="Balance_sheet7"/>
      <sheetName val="13__Steel_-_Ratio7"/>
      <sheetName val="Labour_productivity8"/>
      <sheetName val="2_1_受電設備棟7"/>
      <sheetName val="2_2_受・防火水槽7"/>
      <sheetName val="2_3_排水処理設備棟7"/>
      <sheetName val="2_4_倉庫棟7"/>
      <sheetName val="2_5_守衛棟7"/>
      <sheetName val="DETAIL_SHEET7"/>
      <sheetName val="TASKRSRC_(2)7"/>
      <sheetName val="CABLE_DATA8"/>
      <sheetName val="INPUT_SHEET8"/>
      <sheetName val="Extra_Item7"/>
      <sheetName val="Fill_this_out_first___7"/>
      <sheetName val="Labour_&amp;_Plant7"/>
      <sheetName val="Project_Budget_Worksheet7"/>
      <sheetName val="organi_synthesis_lab7"/>
      <sheetName val="TBAL9697_-group_wise__sdpl7"/>
      <sheetName val="BOQ_-II_ph_27"/>
      <sheetName val="BOQ_(2)7"/>
      <sheetName val="RCC,Ret__Wall7"/>
      <sheetName val="PointNo_57"/>
      <sheetName val="Fin_Sum7"/>
      <sheetName val="T1037_Entire_School7"/>
      <sheetName val="d-safe_DELUXE7"/>
      <sheetName val="RMZ_Summary7"/>
      <sheetName val="Employee_List7"/>
      <sheetName val="Plant_Cost7"/>
      <sheetName val="1st_and_4th_flight7"/>
      <sheetName val="except_wiring7"/>
      <sheetName val="3cd_Annexure7"/>
      <sheetName val="10__&amp;_11__Rate_Code_&amp;_BQ7"/>
      <sheetName val="STAFFSCHED_7"/>
      <sheetName val="PRECAST_lightconc_II7"/>
      <sheetName val="Basement_Budget7"/>
      <sheetName val="IO_LIST7"/>
      <sheetName val="PC_Master_List7"/>
      <sheetName val="ORDER_BOOKING7"/>
      <sheetName val="labour_coeff7"/>
      <sheetName val="Scope_Reconciliation7"/>
      <sheetName val="Rate_analysis7"/>
      <sheetName val="Site_Dev_BOQ7"/>
      <sheetName val="Fee_Rate_Summary7"/>
      <sheetName val="Site_wise_NADs7"/>
      <sheetName val="Cover_sheet7"/>
      <sheetName val="_7"/>
      <sheetName val="M_S_7"/>
      <sheetName val="Current_Bill_MB_ref7"/>
      <sheetName val="NT_LBH7"/>
      <sheetName val="Desgn(zone_I)7"/>
      <sheetName val="@Risk_Inputs7"/>
      <sheetName val="Depreciation_Calc7"/>
      <sheetName val="b_s_-p_l_-sch_7"/>
      <sheetName val="Tender_Summary7"/>
      <sheetName val="Project_Details__7"/>
      <sheetName val="Top_Line_-_WWW7"/>
      <sheetName val="Block_A_-_BOQ7"/>
      <sheetName val="Activity_Costing_Breakup7"/>
      <sheetName val="Unit_Rate(CIS)7"/>
      <sheetName val="Conc_Analysis7"/>
      <sheetName val="Basic_7"/>
      <sheetName val="Back-UP_IRA_(CIS)7"/>
      <sheetName val="Precast_IRA7"/>
      <sheetName val="Precast_IRA_Backup7"/>
      <sheetName val="Precast_RA7"/>
      <sheetName val="Staff_Acco_7"/>
      <sheetName val="Summary_year_Plan7"/>
      <sheetName val="BOQ_Distribution7"/>
      <sheetName val="Trial_Bal7"/>
      <sheetName val="SC_revtrgt7"/>
      <sheetName val="Detailed_Summary_(5)7"/>
      <sheetName val="Final_Summary7"/>
      <sheetName val="BOQ_7"/>
      <sheetName val="Risk_&amp;_Opportunities7"/>
      <sheetName val="Intro_7"/>
      <sheetName val="CFForecast_detail7"/>
      <sheetName val="Section_Catalogue3"/>
      <sheetName val="final_abstract7"/>
      <sheetName val="BS_Schdl-_1_&amp;_27"/>
      <sheetName val="E_&amp;_R7"/>
      <sheetName val="Sheet_17"/>
      <sheetName val="Mat_&amp;_Lab_Rate7"/>
      <sheetName val="PCS_DATA"/>
      <sheetName val="M_R_List_(2)3"/>
      <sheetName val="Equip_Codes"/>
      <sheetName val="PM_Action_7"/>
      <sheetName val="PE_Status7"/>
      <sheetName val="Major_Events_7"/>
      <sheetName val="Crtitical_Issues7"/>
      <sheetName val="Fault_Statistics7"/>
      <sheetName val="Ageing_Pending__CLeared7"/>
      <sheetName val="Fault_Cleared_After_24Hrs7"/>
      <sheetName val="Abstract_-_Single_Line3"/>
      <sheetName val="sq_ftg_detail7"/>
      <sheetName val="Pay_Rec"/>
      <sheetName val="COMP_WALL"/>
      <sheetName val="Final_Bill_of_Material3"/>
      <sheetName val="SSR___NSSR_Market_final"/>
      <sheetName val="OVER_HEADS"/>
      <sheetName val="Basic_Resources"/>
      <sheetName val="Rate_An"/>
      <sheetName val="DB_ET200(R__A)"/>
      <sheetName val="SP&amp;ST_제출가"/>
      <sheetName val="공정율_기초_Data"/>
      <sheetName val="_Pricing_110512_xlsx"/>
      <sheetName val="Back_Cal_for_OMC"/>
      <sheetName val="Rising_Main"/>
      <sheetName val="Rob__elektr_"/>
      <sheetName val="Civil_Boq11"/>
      <sheetName val="PIpe_Pushing10"/>
      <sheetName val="Pile_cap11"/>
      <sheetName val="SPT_vs_PHI11"/>
      <sheetName val="std_wt_11"/>
      <sheetName val="Material_11"/>
      <sheetName val="General_Summary9"/>
      <sheetName val="Chandrawal_-111"/>
      <sheetName val="Guide_VAT_ED_Credit11"/>
      <sheetName val="AMC_&amp;_O&amp;M11"/>
      <sheetName val="JTS_Costing11"/>
      <sheetName val="Abstract_Sheet9"/>
      <sheetName val="V_O_4_-_PCC_Qty9"/>
      <sheetName val="floor_slab-RS210"/>
      <sheetName val="BOQ_Direct_selling_cost10"/>
      <sheetName val="PRECAST_lightconc-II10"/>
      <sheetName val="Legal_Risk_Analysis9"/>
      <sheetName val="Break_up_Sheet9"/>
      <sheetName val="Staff_Forecast_spread10"/>
      <sheetName val="Field_Values9"/>
      <sheetName val="BOQ_fire_proofing9"/>
      <sheetName val="+X_&amp;_-X_DIR_PRE9"/>
      <sheetName val="1_01_(a)9"/>
      <sheetName val="d-safe_specs11"/>
      <sheetName val="Balance_sheet9"/>
      <sheetName val="13__Steel_-_Ratio9"/>
      <sheetName val="Labour_productivity10"/>
      <sheetName val="2_1_受電設備棟9"/>
      <sheetName val="2_2_受・防火水槽9"/>
      <sheetName val="2_3_排水処理設備棟9"/>
      <sheetName val="2_4_倉庫棟9"/>
      <sheetName val="2_5_守衛棟9"/>
      <sheetName val="DETAIL_SHEET9"/>
      <sheetName val="TASKRSRC_(2)9"/>
      <sheetName val="CABLE_DATA10"/>
      <sheetName val="INPUT_SHEET10"/>
      <sheetName val="Extra_Item9"/>
      <sheetName val="Fill_this_out_first___9"/>
      <sheetName val="Labour_&amp;_Plant9"/>
      <sheetName val="Project_Budget_Worksheet9"/>
      <sheetName val="organi_synthesis_lab9"/>
      <sheetName val="TBAL9697_-group_wise__sdpl9"/>
      <sheetName val="BOQ_-II_ph_29"/>
      <sheetName val="BOQ_(2)9"/>
      <sheetName val="RCC,Ret__Wall9"/>
      <sheetName val="PointNo_59"/>
      <sheetName val="Fin_Sum9"/>
      <sheetName val="T1037_Entire_School9"/>
      <sheetName val="d-safe_DELUXE9"/>
      <sheetName val="RMZ_Summary9"/>
      <sheetName val="Employee_List9"/>
      <sheetName val="Plant_Cost9"/>
      <sheetName val="1st_and_4th_flight9"/>
      <sheetName val="except_wiring9"/>
      <sheetName val="3cd_Annexure9"/>
      <sheetName val="10__&amp;_11__Rate_Code_&amp;_BQ9"/>
      <sheetName val="STAFFSCHED_9"/>
      <sheetName val="PRECAST_lightconc_II9"/>
      <sheetName val="Basement_Budget9"/>
      <sheetName val="IO_LIST9"/>
      <sheetName val="PC_Master_List9"/>
      <sheetName val="ORDER_BOOKING9"/>
      <sheetName val="labour_coeff9"/>
      <sheetName val="Scope_Reconciliation9"/>
      <sheetName val="Rate_analysis9"/>
      <sheetName val="Site_Dev_BOQ9"/>
      <sheetName val="Fee_Rate_Summary9"/>
      <sheetName val="Site_wise_NADs9"/>
      <sheetName val="Cover_sheet9"/>
      <sheetName val="_9"/>
      <sheetName val="M_S_9"/>
      <sheetName val="Current_Bill_MB_ref9"/>
      <sheetName val="NT_LBH9"/>
      <sheetName val="Desgn(zone_I)9"/>
      <sheetName val="@Risk_Inputs9"/>
      <sheetName val="Depreciation_Calc9"/>
      <sheetName val="b_s_-p_l_-sch_9"/>
      <sheetName val="Tender_Summary9"/>
      <sheetName val="UNIT_WT_LIST2"/>
      <sheetName val="Project_Details__9"/>
      <sheetName val="Top_Line_-_WWW9"/>
      <sheetName val="Block_A_-_BOQ9"/>
      <sheetName val="Activity_Costing_Breakup9"/>
      <sheetName val="Unit_Rate(CIS)9"/>
      <sheetName val="Conc_Analysis9"/>
      <sheetName val="Basic_9"/>
      <sheetName val="Back-UP_IRA_(CIS)9"/>
      <sheetName val="Precast_IRA9"/>
      <sheetName val="Precast_IRA_Backup9"/>
      <sheetName val="Precast_RA9"/>
      <sheetName val="Staff_Acco_9"/>
      <sheetName val="Summary_year_Plan9"/>
      <sheetName val="BOQ_Distribution9"/>
      <sheetName val="Performance_Report2"/>
      <sheetName val="Generic_Sum2"/>
      <sheetName val="Trial_Bal9"/>
      <sheetName val="SC_revtrgt9"/>
      <sheetName val="Detailed_Summary_(5)9"/>
      <sheetName val="Final_Summary9"/>
      <sheetName val="BOQ_9"/>
      <sheetName val="CIF_COST_ITEM2"/>
      <sheetName val="_WORKING2"/>
      <sheetName val="Cashflow_projection2"/>
      <sheetName val="Risk_&amp;_Opportunities9"/>
      <sheetName val="Intro_9"/>
      <sheetName val="CFForecast_detail9"/>
      <sheetName val="Section_Catalogue5"/>
      <sheetName val="final_abstract9"/>
      <sheetName val="BS_Schdl-_1_&amp;_29"/>
      <sheetName val="E_&amp;_R9"/>
      <sheetName val="Sheet_19"/>
      <sheetName val="Mat_&amp;_Lab_Rate9"/>
      <sheetName val="PCS_DATA2"/>
      <sheetName val="M_R_List_(2)5"/>
      <sheetName val="Equip_Codes2"/>
      <sheetName val="PM_Action_9"/>
      <sheetName val="PE_Status9"/>
      <sheetName val="Major_Events_9"/>
      <sheetName val="Crtitical_Issues9"/>
      <sheetName val="Fault_Statistics9"/>
      <sheetName val="Ageing_Pending__CLeared9"/>
      <sheetName val="Fault_Cleared_After_24Hrs9"/>
      <sheetName val="Abstract_-_Single_Line5"/>
      <sheetName val="sq_ftg_detail9"/>
      <sheetName val="rev_012"/>
      <sheetName val="Approved_MTD_Proj_#'s2"/>
      <sheetName val="Pay_Rec2"/>
      <sheetName val="Tie_Beams_2"/>
      <sheetName val="Global_factors2"/>
      <sheetName val="COMP_WALL2"/>
      <sheetName val="Material_Rate2"/>
      <sheetName val="Inter_unit_set_off2"/>
      <sheetName val="Column_Bracket2"/>
      <sheetName val="Sqn_Abs__G_12"/>
      <sheetName val="Final_Bill_of_Material5"/>
      <sheetName val="CPIPE_12"/>
      <sheetName val="Sub-str_2"/>
      <sheetName val="Variation_Statement2"/>
      <sheetName val="India_F&amp;S_Template2"/>
      <sheetName val="9__Package_split_-_Cost_2"/>
      <sheetName val="R_A2"/>
      <sheetName val="Rev__00_-_20_07_042"/>
      <sheetName val="LOCAL_RATES2"/>
      <sheetName val="SSR___NSSR_Market_final2"/>
      <sheetName val="OVER_HEADS2"/>
      <sheetName val="Basic_Resources2"/>
      <sheetName val="Rate_An2"/>
      <sheetName val="DB_ET200(R__A)2"/>
      <sheetName val="SP&amp;ST_제출가2"/>
      <sheetName val="공정율_기초_Data2"/>
      <sheetName val="_Pricing_110512_xlsx2"/>
      <sheetName val="Back_Cal_for_OMC2"/>
      <sheetName val="Rising_Main2"/>
      <sheetName val="Rob__elektr_2"/>
      <sheetName val="7_Other_Costs1"/>
      <sheetName val="Labor_abs-NMR1"/>
      <sheetName val="FITZ_MORT_941"/>
      <sheetName val="Int(Ho_con_&amp;_LH)1"/>
      <sheetName val="Form_61"/>
      <sheetName val="Builtup_Area1"/>
      <sheetName val="Mahendra_hills1"/>
      <sheetName val="Civil_Boq10"/>
      <sheetName val="PIpe_Pushing9"/>
      <sheetName val="Pile_cap10"/>
      <sheetName val="SPT_vs_PHI10"/>
      <sheetName val="std_wt_10"/>
      <sheetName val="Material_10"/>
      <sheetName val="General_Summary8"/>
      <sheetName val="Chandrawal_-110"/>
      <sheetName val="Guide_VAT_ED_Credit10"/>
      <sheetName val="AMC_&amp;_O&amp;M10"/>
      <sheetName val="JTS_Costing10"/>
      <sheetName val="Abstract_Sheet8"/>
      <sheetName val="V_O_4_-_PCC_Qty8"/>
      <sheetName val="floor_slab-RS29"/>
      <sheetName val="BOQ_Direct_selling_cost9"/>
      <sheetName val="PRECAST_lightconc-II9"/>
      <sheetName val="Legal_Risk_Analysis8"/>
      <sheetName val="Break_up_Sheet8"/>
      <sheetName val="Staff_Forecast_spread9"/>
      <sheetName val="Field_Values8"/>
      <sheetName val="BOQ_fire_proofing8"/>
      <sheetName val="+X_&amp;_-X_DIR_PRE8"/>
      <sheetName val="1_01_(a)8"/>
      <sheetName val="d-safe_specs10"/>
      <sheetName val="Balance_sheet8"/>
      <sheetName val="13__Steel_-_Ratio8"/>
      <sheetName val="Labour_productivity9"/>
      <sheetName val="2_1_受電設備棟8"/>
      <sheetName val="2_2_受・防火水槽8"/>
      <sheetName val="2_3_排水処理設備棟8"/>
      <sheetName val="2_4_倉庫棟8"/>
      <sheetName val="2_5_守衛棟8"/>
      <sheetName val="DETAIL_SHEET8"/>
      <sheetName val="TASKRSRC_(2)8"/>
      <sheetName val="CABLE_DATA9"/>
      <sheetName val="INPUT_SHEET9"/>
      <sheetName val="Extra_Item8"/>
      <sheetName val="Fill_this_out_first___8"/>
      <sheetName val="Labour_&amp;_Plant8"/>
      <sheetName val="Project_Budget_Worksheet8"/>
      <sheetName val="organi_synthesis_lab8"/>
      <sheetName val="TBAL9697_-group_wise__sdpl8"/>
      <sheetName val="BOQ_-II_ph_28"/>
      <sheetName val="BOQ_(2)8"/>
      <sheetName val="RCC,Ret__Wall8"/>
      <sheetName val="PointNo_58"/>
      <sheetName val="Fin_Sum8"/>
      <sheetName val="T1037_Entire_School8"/>
      <sheetName val="d-safe_DELUXE8"/>
      <sheetName val="RMZ_Summary8"/>
      <sheetName val="Employee_List8"/>
      <sheetName val="Plant_Cost8"/>
      <sheetName val="1st_and_4th_flight8"/>
      <sheetName val="except_wiring8"/>
      <sheetName val="3cd_Annexure8"/>
      <sheetName val="10__&amp;_11__Rate_Code_&amp;_BQ8"/>
      <sheetName val="STAFFSCHED_8"/>
      <sheetName val="PRECAST_lightconc_II8"/>
      <sheetName val="Basement_Budget8"/>
      <sheetName val="IO_LIST8"/>
      <sheetName val="PC_Master_List8"/>
      <sheetName val="ORDER_BOOKING8"/>
      <sheetName val="labour_coeff8"/>
      <sheetName val="Scope_Reconciliation8"/>
      <sheetName val="Rate_analysis8"/>
      <sheetName val="Site_Dev_BOQ8"/>
      <sheetName val="Fee_Rate_Summary8"/>
      <sheetName val="Site_wise_NADs8"/>
      <sheetName val="Cover_sheet8"/>
      <sheetName val="_8"/>
      <sheetName val="M_S_8"/>
      <sheetName val="Current_Bill_MB_ref8"/>
      <sheetName val="NT_LBH8"/>
      <sheetName val="Desgn(zone_I)8"/>
      <sheetName val="@Risk_Inputs8"/>
      <sheetName val="Depreciation_Calc8"/>
      <sheetName val="b_s_-p_l_-sch_8"/>
      <sheetName val="Tender_Summary8"/>
      <sheetName val="UNIT_WT_LIST1"/>
      <sheetName val="Project_Details__8"/>
      <sheetName val="Top_Line_-_WWW8"/>
      <sheetName val="Block_A_-_BOQ8"/>
      <sheetName val="Activity_Costing_Breakup8"/>
      <sheetName val="Unit_Rate(CIS)8"/>
      <sheetName val="Conc_Analysis8"/>
      <sheetName val="Basic_8"/>
      <sheetName val="Back-UP_IRA_(CIS)8"/>
      <sheetName val="Precast_IRA8"/>
      <sheetName val="Precast_IRA_Backup8"/>
      <sheetName val="Precast_RA8"/>
      <sheetName val="Staff_Acco_8"/>
      <sheetName val="Summary_year_Plan8"/>
      <sheetName val="BOQ_Distribution8"/>
      <sheetName val="Performance_Report1"/>
      <sheetName val="Generic_Sum1"/>
      <sheetName val="Trial_Bal8"/>
      <sheetName val="SC_revtrgt8"/>
      <sheetName val="Detailed_Summary_(5)8"/>
      <sheetName val="Final_Summary8"/>
      <sheetName val="BOQ_8"/>
      <sheetName val="CIF_COST_ITEM1"/>
      <sheetName val="_WORKING1"/>
      <sheetName val="Cashflow_projection1"/>
      <sheetName val="Risk_&amp;_Opportunities8"/>
      <sheetName val="Intro_8"/>
      <sheetName val="CFForecast_detail8"/>
      <sheetName val="Section_Catalogue4"/>
      <sheetName val="final_abstract8"/>
      <sheetName val="BS_Schdl-_1_&amp;_28"/>
      <sheetName val="E_&amp;_R8"/>
      <sheetName val="Sheet_18"/>
      <sheetName val="Mat_&amp;_Lab_Rate8"/>
      <sheetName val="PCS_DATA1"/>
      <sheetName val="M_R_List_(2)4"/>
      <sheetName val="Equip_Codes1"/>
      <sheetName val="PM_Action_8"/>
      <sheetName val="PE_Status8"/>
      <sheetName val="Major_Events_8"/>
      <sheetName val="Crtitical_Issues8"/>
      <sheetName val="Fault_Statistics8"/>
      <sheetName val="Ageing_Pending__CLeared8"/>
      <sheetName val="Fault_Cleared_After_24Hrs8"/>
      <sheetName val="Abstract_-_Single_Line4"/>
      <sheetName val="sq_ftg_detail8"/>
      <sheetName val="rev_011"/>
      <sheetName val="Approved_MTD_Proj_#'s1"/>
      <sheetName val="Pay_Rec1"/>
      <sheetName val="Tie_Beams_1"/>
      <sheetName val="Global_factors1"/>
      <sheetName val="COMP_WALL1"/>
      <sheetName val="Material_Rate1"/>
      <sheetName val="Inter_unit_set_off1"/>
      <sheetName val="Column_Bracket1"/>
      <sheetName val="Sqn_Abs__G_11"/>
      <sheetName val="Final_Bill_of_Material4"/>
      <sheetName val="CPIPE_11"/>
      <sheetName val="Sub-str_1"/>
      <sheetName val="Variation_Statement1"/>
      <sheetName val="India_F&amp;S_Template1"/>
      <sheetName val="9__Package_split_-_Cost_1"/>
      <sheetName val="R_A1"/>
      <sheetName val="Rev__00_-_20_07_041"/>
      <sheetName val="LOCAL_RATES1"/>
      <sheetName val="SSR___NSSR_Market_final1"/>
      <sheetName val="OVER_HEADS1"/>
      <sheetName val="Basic_Resources1"/>
      <sheetName val="Rate_An1"/>
      <sheetName val="DB_ET200(R__A)1"/>
      <sheetName val="SP&amp;ST_제출가1"/>
      <sheetName val="공정율_기초_Data1"/>
      <sheetName val="_Pricing_110512_xlsx1"/>
      <sheetName val="Back_Cal_for_OMC1"/>
      <sheetName val="Rising_Main1"/>
      <sheetName val="Rob__elektr_1"/>
      <sheetName val="7_Other_Costs"/>
      <sheetName val="Labor_abs-NMR"/>
      <sheetName val="FITZ_MORT_94"/>
      <sheetName val="Int(Ho_con_&amp;_LH)"/>
      <sheetName val="Form_6"/>
      <sheetName val="Builtup_Area"/>
      <sheetName val="Mahendra_hills"/>
      <sheetName val="Civil_Boq12"/>
      <sheetName val="PIpe_Pushing11"/>
      <sheetName val="Pile_cap12"/>
      <sheetName val="SPT_vs_PHI12"/>
      <sheetName val="std_wt_12"/>
      <sheetName val="Material_12"/>
      <sheetName val="General_Summary10"/>
      <sheetName val="Chandrawal_-112"/>
      <sheetName val="Guide_VAT_ED_Credit12"/>
      <sheetName val="AMC_&amp;_O&amp;M12"/>
      <sheetName val="JTS_Costing12"/>
      <sheetName val="Abstract_Sheet10"/>
      <sheetName val="V_O_4_-_PCC_Qty10"/>
      <sheetName val="floor_slab-RS211"/>
      <sheetName val="BOQ_Direct_selling_cost11"/>
      <sheetName val="PRECAST_lightconc-II11"/>
      <sheetName val="Legal_Risk_Analysis10"/>
      <sheetName val="Break_up_Sheet10"/>
      <sheetName val="Staff_Forecast_spread11"/>
      <sheetName val="Field_Values10"/>
      <sheetName val="BOQ_fire_proofing10"/>
      <sheetName val="+X_&amp;_-X_DIR_PRE10"/>
      <sheetName val="1_01_(a)10"/>
      <sheetName val="d-safe_specs12"/>
      <sheetName val="Balance_sheet10"/>
      <sheetName val="13__Steel_-_Ratio10"/>
      <sheetName val="Labour_productivity11"/>
      <sheetName val="2_1_受電設備棟10"/>
      <sheetName val="2_2_受・防火水槽10"/>
      <sheetName val="2_3_排水処理設備棟10"/>
      <sheetName val="2_4_倉庫棟10"/>
      <sheetName val="2_5_守衛棟10"/>
      <sheetName val="DETAIL_SHEET10"/>
      <sheetName val="TASKRSRC_(2)10"/>
      <sheetName val="CABLE_DATA11"/>
      <sheetName val="INPUT_SHEET11"/>
      <sheetName val="Extra_Item10"/>
      <sheetName val="Fill_this_out_first___10"/>
      <sheetName val="Labour_&amp;_Plant10"/>
      <sheetName val="Project_Budget_Worksheet10"/>
      <sheetName val="organi_synthesis_lab10"/>
      <sheetName val="TBAL9697_-group_wise__sdpl10"/>
      <sheetName val="BOQ_-II_ph_210"/>
      <sheetName val="BOQ_(2)10"/>
      <sheetName val="RCC,Ret__Wall10"/>
      <sheetName val="PointNo_510"/>
      <sheetName val="Fin_Sum10"/>
      <sheetName val="T1037_Entire_School10"/>
      <sheetName val="d-safe_DELUXE10"/>
      <sheetName val="RMZ_Summary10"/>
      <sheetName val="Employee_List10"/>
      <sheetName val="Plant_Cost10"/>
      <sheetName val="1st_and_4th_flight10"/>
      <sheetName val="except_wiring10"/>
      <sheetName val="3cd_Annexure10"/>
      <sheetName val="10__&amp;_11__Rate_Code_&amp;_BQ10"/>
      <sheetName val="STAFFSCHED_10"/>
      <sheetName val="PRECAST_lightconc_II10"/>
      <sheetName val="Basement_Budget10"/>
      <sheetName val="IO_LIST10"/>
      <sheetName val="PC_Master_List10"/>
      <sheetName val="ORDER_BOOKING10"/>
      <sheetName val="labour_coeff10"/>
      <sheetName val="Scope_Reconciliation10"/>
      <sheetName val="Rate_analysis10"/>
      <sheetName val="Site_Dev_BOQ10"/>
      <sheetName val="Fee_Rate_Summary10"/>
      <sheetName val="Site_wise_NADs10"/>
      <sheetName val="Cover_sheet10"/>
      <sheetName val="_10"/>
      <sheetName val="M_S_10"/>
      <sheetName val="Current_Bill_MB_ref10"/>
      <sheetName val="NT_LBH10"/>
      <sheetName val="Desgn(zone_I)10"/>
      <sheetName val="@Risk_Inputs10"/>
      <sheetName val="Depreciation_Calc10"/>
      <sheetName val="b_s_-p_l_-sch_10"/>
      <sheetName val="Tender_Summary10"/>
      <sheetName val="UNIT_WT_LIST3"/>
      <sheetName val="Project_Details__10"/>
      <sheetName val="Top_Line_-_WWW10"/>
      <sheetName val="Block_A_-_BOQ10"/>
      <sheetName val="Activity_Costing_Breakup10"/>
      <sheetName val="Unit_Rate(CIS)10"/>
      <sheetName val="Conc_Analysis10"/>
      <sheetName val="Basic_10"/>
      <sheetName val="Back-UP_IRA_(CIS)10"/>
      <sheetName val="Precast_IRA10"/>
      <sheetName val="Precast_IRA_Backup10"/>
      <sheetName val="Precast_RA10"/>
      <sheetName val="Staff_Acco_10"/>
      <sheetName val="Summary_year_Plan10"/>
      <sheetName val="BOQ_Distribution10"/>
      <sheetName val="Performance_Report3"/>
      <sheetName val="Generic_Sum3"/>
      <sheetName val="Trial_Bal10"/>
      <sheetName val="SC_revtrgt10"/>
      <sheetName val="Detailed_Summary_(5)10"/>
      <sheetName val="Final_Summary10"/>
      <sheetName val="BOQ_10"/>
      <sheetName val="CIF_COST_ITEM3"/>
      <sheetName val="_WORKING3"/>
      <sheetName val="Cashflow_projection3"/>
      <sheetName val="Risk_&amp;_Opportunities10"/>
      <sheetName val="Intro_10"/>
      <sheetName val="CFForecast_detail10"/>
      <sheetName val="Section_Catalogue6"/>
      <sheetName val="final_abstract10"/>
      <sheetName val="BS_Schdl-_1_&amp;_210"/>
      <sheetName val="E_&amp;_R10"/>
      <sheetName val="Sheet_110"/>
      <sheetName val="Mat_&amp;_Lab_Rate10"/>
      <sheetName val="PCS_DATA3"/>
      <sheetName val="M_R_List_(2)6"/>
      <sheetName val="Equip_Codes3"/>
      <sheetName val="PM_Action_10"/>
      <sheetName val="PE_Status10"/>
      <sheetName val="Major_Events_10"/>
      <sheetName val="Crtitical_Issues10"/>
      <sheetName val="Fault_Statistics10"/>
      <sheetName val="Ageing_Pending__CLeared10"/>
      <sheetName val="Fault_Cleared_After_24Hrs10"/>
      <sheetName val="Abstract_-_Single_Line6"/>
      <sheetName val="sq_ftg_detail10"/>
      <sheetName val="rev_013"/>
      <sheetName val="Approved_MTD_Proj_#'s3"/>
      <sheetName val="Pay_Rec3"/>
      <sheetName val="Tie_Beams_3"/>
      <sheetName val="Global_factors3"/>
      <sheetName val="COMP_WALL3"/>
      <sheetName val="Material_Rate3"/>
      <sheetName val="Inter_unit_set_off3"/>
      <sheetName val="Column_Bracket3"/>
      <sheetName val="Sqn_Abs__G_13"/>
      <sheetName val="Final_Bill_of_Material6"/>
      <sheetName val="CPIPE_13"/>
      <sheetName val="Sub-str_3"/>
      <sheetName val="Variation_Statement3"/>
      <sheetName val="India_F&amp;S_Template3"/>
      <sheetName val="9__Package_split_-_Cost_3"/>
      <sheetName val="R_A3"/>
      <sheetName val="Rev__00_-_20_07_043"/>
      <sheetName val="LOCAL_RATES3"/>
      <sheetName val="SSR___NSSR_Market_final3"/>
      <sheetName val="OVER_HEADS3"/>
      <sheetName val="Basic_Resources3"/>
      <sheetName val="Rate_An3"/>
      <sheetName val="DB_ET200(R__A)3"/>
      <sheetName val="SP&amp;ST_제출가3"/>
      <sheetName val="공정율_기초_Data3"/>
      <sheetName val="_Pricing_110512_xlsx3"/>
      <sheetName val="Back_Cal_for_OMC3"/>
      <sheetName val="Rising_Main3"/>
      <sheetName val="Rob__elektr_3"/>
      <sheetName val="7_Other_Costs2"/>
      <sheetName val="Labor_abs-NMR2"/>
      <sheetName val="FITZ_MORT_942"/>
      <sheetName val="Int(Ho_con_&amp;_LH)2"/>
      <sheetName val="Form_62"/>
      <sheetName val="Builtup_Area2"/>
      <sheetName val="Mahendra_hills2"/>
      <sheetName val="Liste Depense"/>
      <sheetName val="T1"/>
      <sheetName val="2A"/>
      <sheetName val="Basic Material rate"/>
      <sheetName val="Labour Cost Breakup"/>
      <sheetName val="Basic labour Rate"/>
      <sheetName val="Basic_Material_rate"/>
      <sheetName val="Labour_Cost_Breakup"/>
      <sheetName val="Basic_labour_Rate"/>
      <sheetName val="Formulas"/>
      <sheetName val="ATTACH_6A"/>
      <sheetName val="Sloshing"/>
      <sheetName val="2.9. Payment Balance"/>
      <sheetName val="ETC Plant Cost"/>
      <sheetName val="SAL"/>
      <sheetName val="CAMPO &amp; PC_BC"/>
      <sheetName val="TAT"/>
      <sheetName val="YLD"/>
      <sheetName val="Proposal"/>
      <sheetName val="Background"/>
      <sheetName val="num-word"/>
      <sheetName val="BHANDUP"/>
      <sheetName val="TS-TC"/>
      <sheetName val="Leg 1-1"/>
      <sheetName val="Measurment"/>
      <sheetName val="Enquire"/>
      <sheetName val="B2826"/>
      <sheetName val="AREAS"/>
      <sheetName val="Beam at Ground flr lvl(Steel)"/>
      <sheetName val="Basic Rates"/>
      <sheetName val="S1BOQ"/>
      <sheetName val="2gii"/>
      <sheetName val="cul-invSUBMITTED"/>
      <sheetName val="Summary 0506"/>
      <sheetName val="Summary 0607- 31.MAR"/>
      <sheetName val="upa"/>
      <sheetName val="Model"/>
      <sheetName val="Mktg"/>
      <sheetName val="A-General"/>
      <sheetName val="PLAN_FEB97"/>
      <sheetName val="ICO_budzet_97"/>
      <sheetName val="grid"/>
      <sheetName val="Sheet3 (2)"/>
      <sheetName val=""/>
      <sheetName val="WP Financial Summary"/>
      <sheetName val="BACKUP DATA"/>
      <sheetName val="Cost Index"/>
      <sheetName val="PackSize"/>
      <sheetName val="PackagingType"/>
      <sheetName val="ProductHierarchy"/>
      <sheetName val="Sub-brand"/>
      <sheetName val="UOM"/>
      <sheetName val="Variant"/>
      <sheetName val="소상 &quot;1&quot;"/>
      <sheetName val="NLD - Assum"/>
      <sheetName val="Civil Works"/>
      <sheetName val="dyes"/>
      <sheetName val="UTILITY"/>
      <sheetName val="INV"/>
      <sheetName val="1612.01AL - INT AM&amp;NIEP"/>
      <sheetName val="SM DATA with National CBP price"/>
      <sheetName val="Actuals"/>
      <sheetName val="DETAILED  BOQ"/>
      <sheetName val="Drop Down List"/>
      <sheetName val="JAN"/>
      <sheetName val="Attributes"/>
      <sheetName val="BASIS -DEC 08"/>
      <sheetName val="Data Base"/>
      <sheetName val="Statuses"/>
      <sheetName val="Accounts w Tax Ind"/>
      <sheetName val="Technology"/>
      <sheetName val="sheeet7"/>
      <sheetName val="500 kVA DG BOQ"/>
      <sheetName val="I-CO"/>
      <sheetName val="Ward areas"/>
      <sheetName val="DCF"/>
      <sheetName val="Definitions"/>
      <sheetName val="Basic Rate"/>
      <sheetName val="site fab&amp;ernstr"/>
      <sheetName val="datas"/>
      <sheetName val="PEDESB"/>
      <sheetName val="Basement  Works"/>
      <sheetName val="enums"/>
      <sheetName val="3__Subcon_Recon"/>
      <sheetName val="syndicate_codes"/>
      <sheetName val="Basement_Works"/>
      <sheetName val="Prop_aug_of_Ex_33KVSS_E3a"/>
    </sheetNames>
    <sheetDataSet>
      <sheetData sheetId="0" refreshError="1">
        <row r="3">
          <cell r="D3" t="str">
            <v>Gujarat rehabilitation work of Mathak village for TWRI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/>
      <sheetData sheetId="1264" refreshError="1"/>
      <sheetData sheetId="1265" refreshError="1"/>
      <sheetData sheetId="1266" refreshError="1"/>
      <sheetData sheetId="1267">
        <row r="3">
          <cell r="D3" t="str">
            <v>Gujarat rehabilitation work of Mathak village for TWRI</v>
          </cell>
        </row>
      </sheetData>
      <sheetData sheetId="1268" refreshError="1"/>
      <sheetData sheetId="1269" refreshError="1"/>
      <sheetData sheetId="1270" refreshError="1"/>
      <sheetData sheetId="1271"/>
      <sheetData sheetId="1272"/>
      <sheetData sheetId="1273">
        <row r="3">
          <cell r="D3" t="str">
            <v>Gujarat rehabilitation work of Mathak village for TWRI</v>
          </cell>
        </row>
      </sheetData>
      <sheetData sheetId="1274">
        <row r="3">
          <cell r="D3" t="str">
            <v>Gujarat rehabilitation work of Mathak village for TWRI</v>
          </cell>
        </row>
      </sheetData>
      <sheetData sheetId="1275">
        <row r="3">
          <cell r="D3" t="str">
            <v>Gujarat rehabilitation work of Mathak village for TWRI</v>
          </cell>
        </row>
      </sheetData>
      <sheetData sheetId="1276"/>
      <sheetData sheetId="1277"/>
      <sheetData sheetId="1278"/>
      <sheetData sheetId="1279"/>
      <sheetData sheetId="1280"/>
      <sheetData sheetId="1281">
        <row r="3">
          <cell r="D3" t="str">
            <v>Gujarat rehabilitation work of Mathak village for TWRI</v>
          </cell>
        </row>
      </sheetData>
      <sheetData sheetId="1282">
        <row r="3">
          <cell r="D3" t="str">
            <v>Gujarat rehabilitation work of Mathak village for TWRI</v>
          </cell>
        </row>
      </sheetData>
      <sheetData sheetId="1283">
        <row r="3">
          <cell r="D3" t="str">
            <v>Gujarat rehabilitation work of Mathak village for TWRI</v>
          </cell>
        </row>
      </sheetData>
      <sheetData sheetId="1284"/>
      <sheetData sheetId="1285"/>
      <sheetData sheetId="1286">
        <row r="3">
          <cell r="D3" t="str">
            <v>Gujarat rehabilitation work of Mathak village for TWRI</v>
          </cell>
        </row>
      </sheetData>
      <sheetData sheetId="1287">
        <row r="3">
          <cell r="D3" t="str">
            <v>Gujarat rehabilitation work of Mathak village for TWRI</v>
          </cell>
        </row>
      </sheetData>
      <sheetData sheetId="1288">
        <row r="3">
          <cell r="D3" t="str">
            <v>Gujarat rehabilitation work of Mathak village for TWRI</v>
          </cell>
        </row>
      </sheetData>
      <sheetData sheetId="1289"/>
      <sheetData sheetId="1290"/>
      <sheetData sheetId="1291"/>
      <sheetData sheetId="1292"/>
      <sheetData sheetId="1293"/>
      <sheetData sheetId="1294">
        <row r="3">
          <cell r="D3" t="str">
            <v>Gujarat rehabilitation work of Mathak village for TWRI</v>
          </cell>
        </row>
      </sheetData>
      <sheetData sheetId="1295">
        <row r="3">
          <cell r="D3" t="str">
            <v>Gujarat rehabilitation work of Mathak village for TWRI</v>
          </cell>
        </row>
      </sheetData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>
        <row r="3">
          <cell r="D3" t="str">
            <v>Gujarat rehabilitation work of Mathak village for TWRI</v>
          </cell>
        </row>
      </sheetData>
      <sheetData sheetId="1382">
        <row r="3">
          <cell r="D3" t="str">
            <v>Gujarat rehabilitation work of Mathak village for TWRI</v>
          </cell>
        </row>
      </sheetData>
      <sheetData sheetId="1383"/>
      <sheetData sheetId="1384"/>
      <sheetData sheetId="1385"/>
      <sheetData sheetId="1386"/>
      <sheetData sheetId="1387"/>
      <sheetData sheetId="1388">
        <row r="3">
          <cell r="D3" t="str">
            <v>Gujarat rehabilitation work of Mathak village for TWRI</v>
          </cell>
        </row>
      </sheetData>
      <sheetData sheetId="1389">
        <row r="3">
          <cell r="D3" t="str">
            <v>Gujarat rehabilitation work of Mathak village for TWRI</v>
          </cell>
        </row>
      </sheetData>
      <sheetData sheetId="1390">
        <row r="3">
          <cell r="D3" t="str">
            <v>Gujarat rehabilitation work of Mathak village for TWRI</v>
          </cell>
        </row>
      </sheetData>
      <sheetData sheetId="1391"/>
      <sheetData sheetId="1392"/>
      <sheetData sheetId="1393"/>
      <sheetData sheetId="1394">
        <row r="3">
          <cell r="D3" t="str">
            <v>Gujarat rehabilitation work of Mathak village for TWRI</v>
          </cell>
        </row>
      </sheetData>
      <sheetData sheetId="1395">
        <row r="3">
          <cell r="D3" t="str">
            <v>Gujarat rehabilitation work of Mathak village for TWRI</v>
          </cell>
        </row>
      </sheetData>
      <sheetData sheetId="1396">
        <row r="3">
          <cell r="D3" t="str">
            <v>Gujarat rehabilitation work of Mathak village for TWRI</v>
          </cell>
        </row>
      </sheetData>
      <sheetData sheetId="1397">
        <row r="3">
          <cell r="D3" t="str">
            <v>Gujarat rehabilitation work of Mathak village for TWRI</v>
          </cell>
        </row>
      </sheetData>
      <sheetData sheetId="1398">
        <row r="3">
          <cell r="D3" t="str">
            <v>Gujarat rehabilitation work of Mathak village for TWRI</v>
          </cell>
        </row>
      </sheetData>
      <sheetData sheetId="1399">
        <row r="3">
          <cell r="D3" t="str">
            <v>Gujarat rehabilitation work of Mathak village for TWRI</v>
          </cell>
        </row>
      </sheetData>
      <sheetData sheetId="1400"/>
      <sheetData sheetId="1401">
        <row r="3">
          <cell r="D3" t="str">
            <v>Gujarat rehabilitation work of Mathak village for TWRI</v>
          </cell>
        </row>
      </sheetData>
      <sheetData sheetId="1402">
        <row r="3">
          <cell r="D3" t="str">
            <v>Gujarat rehabilitation work of Mathak village for TWRI</v>
          </cell>
        </row>
      </sheetData>
      <sheetData sheetId="1403">
        <row r="3">
          <cell r="D3" t="str">
            <v>Gujarat rehabilitation work of Mathak village for TWRI</v>
          </cell>
        </row>
      </sheetData>
      <sheetData sheetId="1404"/>
      <sheetData sheetId="1405">
        <row r="3">
          <cell r="D3" t="str">
            <v>Gujarat rehabilitation work of Mathak village for TWRI</v>
          </cell>
        </row>
      </sheetData>
      <sheetData sheetId="1406">
        <row r="3">
          <cell r="D3" t="str">
            <v>Gujarat rehabilitation work of Mathak village for TWRI</v>
          </cell>
        </row>
      </sheetData>
      <sheetData sheetId="1407">
        <row r="3">
          <cell r="D3" t="str">
            <v>Gujarat rehabilitation work of Mathak village for TWRI</v>
          </cell>
        </row>
      </sheetData>
      <sheetData sheetId="1408"/>
      <sheetData sheetId="1409">
        <row r="3">
          <cell r="D3" t="str">
            <v>Gujarat rehabilitation work of Mathak village for TWRI</v>
          </cell>
        </row>
      </sheetData>
      <sheetData sheetId="1410">
        <row r="3">
          <cell r="D3" t="str">
            <v>Gujarat rehabilitation work of Mathak village for TWRI</v>
          </cell>
        </row>
      </sheetData>
      <sheetData sheetId="1411">
        <row r="3">
          <cell r="D3" t="str">
            <v>Gujarat rehabilitation work of Mathak village for TWRI</v>
          </cell>
        </row>
      </sheetData>
      <sheetData sheetId="1412">
        <row r="3">
          <cell r="D3" t="str">
            <v>Gujarat rehabilitation work of Mathak village for TWRI</v>
          </cell>
        </row>
      </sheetData>
      <sheetData sheetId="1413">
        <row r="3">
          <cell r="D3" t="str">
            <v>Gujarat rehabilitation work of Mathak village for TWRI</v>
          </cell>
        </row>
      </sheetData>
      <sheetData sheetId="1414">
        <row r="3">
          <cell r="D3" t="str">
            <v>Gujarat rehabilitation work of Mathak village for TWRI</v>
          </cell>
        </row>
      </sheetData>
      <sheetData sheetId="1415"/>
      <sheetData sheetId="1416"/>
      <sheetData sheetId="1417"/>
      <sheetData sheetId="1418">
        <row r="3">
          <cell r="D3" t="str">
            <v>Gujarat rehabilitation work of Mathak village for TWRI</v>
          </cell>
        </row>
      </sheetData>
      <sheetData sheetId="1419">
        <row r="3">
          <cell r="D3" t="str">
            <v>Gujarat rehabilitation work of Mathak village for TWRI</v>
          </cell>
        </row>
      </sheetData>
      <sheetData sheetId="1420">
        <row r="3">
          <cell r="D3" t="str">
            <v>Gujarat rehabilitation work of Mathak village for TWRI</v>
          </cell>
        </row>
      </sheetData>
      <sheetData sheetId="1421"/>
      <sheetData sheetId="1422"/>
      <sheetData sheetId="1423"/>
      <sheetData sheetId="1424"/>
      <sheetData sheetId="1425"/>
      <sheetData sheetId="1426">
        <row r="3">
          <cell r="D3" t="str">
            <v>Gujarat rehabilitation work of Mathak village for TWRI</v>
          </cell>
        </row>
      </sheetData>
      <sheetData sheetId="1427">
        <row r="3">
          <cell r="D3" t="str">
            <v>Gujarat rehabilitation work of Mathak village for TWRI</v>
          </cell>
        </row>
      </sheetData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>
        <row r="3">
          <cell r="D3" t="str">
            <v>Gujarat rehabilitation work of Mathak village for TWRI</v>
          </cell>
        </row>
      </sheetData>
      <sheetData sheetId="1543">
        <row r="3">
          <cell r="D3" t="str">
            <v>Gujarat rehabilitation work of Mathak village for TWRI</v>
          </cell>
        </row>
      </sheetData>
      <sheetData sheetId="1544"/>
      <sheetData sheetId="1545"/>
      <sheetData sheetId="1546"/>
      <sheetData sheetId="1547"/>
      <sheetData sheetId="1548"/>
      <sheetData sheetId="1549">
        <row r="3">
          <cell r="D3" t="str">
            <v>Gujarat rehabilitation work of Mathak village for TWRI</v>
          </cell>
        </row>
      </sheetData>
      <sheetData sheetId="1550">
        <row r="3">
          <cell r="D3" t="str">
            <v>Gujarat rehabilitation work of Mathak village for TWRI</v>
          </cell>
        </row>
      </sheetData>
      <sheetData sheetId="1551">
        <row r="3">
          <cell r="D3" t="str">
            <v>Gujarat rehabilitation work of Mathak village for TWRI</v>
          </cell>
        </row>
      </sheetData>
      <sheetData sheetId="1552"/>
      <sheetData sheetId="1553"/>
      <sheetData sheetId="1554"/>
      <sheetData sheetId="1555">
        <row r="3">
          <cell r="D3" t="str">
            <v>Gujarat rehabilitation work of Mathak village for TWRI</v>
          </cell>
        </row>
      </sheetData>
      <sheetData sheetId="1556">
        <row r="3">
          <cell r="D3" t="str">
            <v>Gujarat rehabilitation work of Mathak village for TWRI</v>
          </cell>
        </row>
      </sheetData>
      <sheetData sheetId="1557">
        <row r="3">
          <cell r="D3" t="str">
            <v>Gujarat rehabilitation work of Mathak village for TWRI</v>
          </cell>
        </row>
      </sheetData>
      <sheetData sheetId="1558">
        <row r="3">
          <cell r="D3" t="str">
            <v>Gujarat rehabilitation work of Mathak village for TWRI</v>
          </cell>
        </row>
      </sheetData>
      <sheetData sheetId="1559">
        <row r="3">
          <cell r="D3" t="str">
            <v>Gujarat rehabilitation work of Mathak village for TWRI</v>
          </cell>
        </row>
      </sheetData>
      <sheetData sheetId="1560">
        <row r="3">
          <cell r="D3" t="str">
            <v>Gujarat rehabilitation work of Mathak village for TWRI</v>
          </cell>
        </row>
      </sheetData>
      <sheetData sheetId="1561"/>
      <sheetData sheetId="1562">
        <row r="3">
          <cell r="D3" t="str">
            <v>Gujarat rehabilitation work of Mathak village for TWRI</v>
          </cell>
        </row>
      </sheetData>
      <sheetData sheetId="1563">
        <row r="3">
          <cell r="D3" t="str">
            <v>Gujarat rehabilitation work of Mathak village for TWRI</v>
          </cell>
        </row>
      </sheetData>
      <sheetData sheetId="1564">
        <row r="3">
          <cell r="D3" t="str">
            <v>Gujarat rehabilitation work of Mathak village for TWRI</v>
          </cell>
        </row>
      </sheetData>
      <sheetData sheetId="1565"/>
      <sheetData sheetId="1566">
        <row r="3">
          <cell r="D3" t="str">
            <v>Gujarat rehabilitation work of Mathak village for TWRI</v>
          </cell>
        </row>
      </sheetData>
      <sheetData sheetId="1567">
        <row r="3">
          <cell r="D3" t="str">
            <v>Gujarat rehabilitation work of Mathak village for TWRI</v>
          </cell>
        </row>
      </sheetData>
      <sheetData sheetId="1568">
        <row r="3">
          <cell r="D3" t="str">
            <v>Gujarat rehabilitation work of Mathak village for TWRI</v>
          </cell>
        </row>
      </sheetData>
      <sheetData sheetId="1569"/>
      <sheetData sheetId="1570">
        <row r="3">
          <cell r="D3" t="str">
            <v>Gujarat rehabilitation work of Mathak village for TWRI</v>
          </cell>
        </row>
      </sheetData>
      <sheetData sheetId="1571">
        <row r="3">
          <cell r="D3" t="str">
            <v>Gujarat rehabilitation work of Mathak village for TWRI</v>
          </cell>
        </row>
      </sheetData>
      <sheetData sheetId="1572">
        <row r="3">
          <cell r="D3" t="str">
            <v>Gujarat rehabilitation work of Mathak village for TWRI</v>
          </cell>
        </row>
      </sheetData>
      <sheetData sheetId="1573">
        <row r="3">
          <cell r="D3" t="str">
            <v>Gujarat rehabilitation work of Mathak village for TWRI</v>
          </cell>
        </row>
      </sheetData>
      <sheetData sheetId="1574">
        <row r="3">
          <cell r="D3" t="str">
            <v>Gujarat rehabilitation work of Mathak village for TWRI</v>
          </cell>
        </row>
      </sheetData>
      <sheetData sheetId="1575">
        <row r="3">
          <cell r="D3" t="str">
            <v>Gujarat rehabilitation work of Mathak village for TWRI</v>
          </cell>
        </row>
      </sheetData>
      <sheetData sheetId="1576"/>
      <sheetData sheetId="1577"/>
      <sheetData sheetId="1578"/>
      <sheetData sheetId="1579">
        <row r="3">
          <cell r="D3" t="str">
            <v>Gujarat rehabilitation work of Mathak village for TWRI</v>
          </cell>
        </row>
      </sheetData>
      <sheetData sheetId="1580">
        <row r="3">
          <cell r="D3" t="str">
            <v>Gujarat rehabilitation work of Mathak village for TWRI</v>
          </cell>
        </row>
      </sheetData>
      <sheetData sheetId="1581">
        <row r="3">
          <cell r="D3" t="str">
            <v>Gujarat rehabilitation work of Mathak village for TWRI</v>
          </cell>
        </row>
      </sheetData>
      <sheetData sheetId="1582"/>
      <sheetData sheetId="1583"/>
      <sheetData sheetId="1584"/>
      <sheetData sheetId="1585"/>
      <sheetData sheetId="1586"/>
      <sheetData sheetId="1587">
        <row r="3">
          <cell r="D3" t="str">
            <v>Gujarat rehabilitation work of Mathak village for TWRI</v>
          </cell>
        </row>
      </sheetData>
      <sheetData sheetId="1588">
        <row r="3">
          <cell r="D3" t="str">
            <v>Gujarat rehabilitation work of Mathak village for TWRI</v>
          </cell>
        </row>
      </sheetData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/>
      <sheetData sheetId="1987"/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7917-AC21-45AA-8319-83B691758E7B}">
  <sheetPr>
    <tabColor theme="9" tint="-0.249977111117893"/>
    <pageSetUpPr fitToPage="1"/>
  </sheetPr>
  <dimension ref="A1:Y1048566"/>
  <sheetViews>
    <sheetView showZeros="0" tabSelected="1" zoomScale="68" zoomScaleNormal="68" zoomScaleSheetLayoutView="79" workbookViewId="0">
      <pane xSplit="8" ySplit="1" topLeftCell="I2" activePane="bottomRight" state="frozen"/>
      <selection pane="topRight" activeCell="G1" sqref="G1"/>
      <selection pane="bottomLeft" activeCell="A8" sqref="A8"/>
      <selection pane="bottomRight" activeCell="E7" sqref="E7"/>
    </sheetView>
  </sheetViews>
  <sheetFormatPr defaultColWidth="8.90625" defaultRowHeight="14.4" x14ac:dyDescent="0.25"/>
  <cols>
    <col min="1" max="1" width="5.6328125" style="131" customWidth="1"/>
    <col min="2" max="2" width="9.7265625" style="130" customWidth="1"/>
    <col min="3" max="3" width="12.08984375" style="132" customWidth="1"/>
    <col min="4" max="4" width="14.6328125" style="130" customWidth="1"/>
    <col min="5" max="5" width="12.54296875" style="133" customWidth="1"/>
    <col min="6" max="6" width="24.08984375" style="1" customWidth="1"/>
    <col min="7" max="7" width="38.36328125" style="1" customWidth="1"/>
    <col min="8" max="8" width="5.36328125" style="131" customWidth="1"/>
    <col min="9" max="9" width="9.1796875" style="131" customWidth="1"/>
    <col min="10" max="10" width="16.08984375" style="131" customWidth="1"/>
    <col min="11" max="11" width="13.1796875" style="135" customWidth="1"/>
    <col min="12" max="12" width="9.36328125" style="137" customWidth="1"/>
    <col min="13" max="13" width="14.90625" style="138" customWidth="1"/>
    <col min="14" max="14" width="13.6328125" style="138" customWidth="1"/>
    <col min="15" max="16" width="9.453125" style="139" customWidth="1"/>
    <col min="17" max="17" width="10.90625" style="136" customWidth="1"/>
    <col min="18" max="18" width="10.7265625" style="138" customWidth="1"/>
    <col min="19" max="19" width="13.36328125" style="140" customWidth="1"/>
    <col min="20" max="20" width="12" style="141" customWidth="1"/>
    <col min="21" max="21" width="13.1796875" style="132" customWidth="1"/>
    <col min="22" max="22" width="10.08984375" style="131" customWidth="1"/>
    <col min="23" max="23" width="21.81640625" style="134" customWidth="1"/>
    <col min="24" max="24" width="0.7265625" style="1" customWidth="1"/>
    <col min="25" max="16384" width="8.90625" style="1"/>
  </cols>
  <sheetData>
    <row r="1" spans="1:24" s="11" customFormat="1" ht="99.6" customHeight="1" x14ac:dyDescent="0.25">
      <c r="A1" s="2" t="s">
        <v>0</v>
      </c>
      <c r="B1" s="3" t="s">
        <v>1092</v>
      </c>
      <c r="C1" s="4" t="s">
        <v>1091</v>
      </c>
      <c r="D1" s="6" t="s">
        <v>8</v>
      </c>
      <c r="E1" s="4" t="s">
        <v>9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1093</v>
      </c>
      <c r="K1" s="5" t="s">
        <v>1086</v>
      </c>
      <c r="L1" s="5" t="s">
        <v>1087</v>
      </c>
      <c r="M1" s="6" t="s">
        <v>1094</v>
      </c>
      <c r="N1" s="7" t="s">
        <v>5</v>
      </c>
      <c r="O1" s="8" t="s">
        <v>10</v>
      </c>
      <c r="P1" s="8" t="s">
        <v>11</v>
      </c>
      <c r="Q1" s="9" t="s">
        <v>1088</v>
      </c>
      <c r="R1" s="8" t="s">
        <v>12</v>
      </c>
      <c r="S1" s="6" t="s">
        <v>1089</v>
      </c>
      <c r="T1" s="6" t="s">
        <v>1090</v>
      </c>
      <c r="U1" s="4" t="s">
        <v>13</v>
      </c>
      <c r="V1" s="6" t="s">
        <v>6</v>
      </c>
      <c r="W1" s="10" t="s">
        <v>7</v>
      </c>
    </row>
    <row r="2" spans="1:24" s="27" customFormat="1" ht="34.950000000000003" customHeight="1" x14ac:dyDescent="0.25">
      <c r="A2" s="12">
        <f>SUBTOTAL(3,$B$2:B2)</f>
        <v>1</v>
      </c>
      <c r="B2" s="13">
        <v>1</v>
      </c>
      <c r="C2" s="14">
        <v>45715</v>
      </c>
      <c r="D2" s="13">
        <v>0</v>
      </c>
      <c r="E2" s="14">
        <v>0</v>
      </c>
      <c r="F2" s="15" t="s">
        <v>14</v>
      </c>
      <c r="G2" s="15" t="s">
        <v>15</v>
      </c>
      <c r="H2" s="16" t="s">
        <v>16</v>
      </c>
      <c r="I2" s="17"/>
      <c r="J2" s="14"/>
      <c r="K2" s="19">
        <v>8</v>
      </c>
      <c r="L2" s="21">
        <f t="shared" ref="L2:L65" si="0">K2</f>
        <v>8</v>
      </c>
      <c r="M2" s="20">
        <f>L2*N2</f>
        <v>4000</v>
      </c>
      <c r="N2" s="20">
        <v>500</v>
      </c>
      <c r="O2" s="22"/>
      <c r="P2" s="22"/>
      <c r="Q2" s="23">
        <f t="shared" ref="Q2:Q65" si="1">IF(M2="","",M2*(1+(O2+P2)/100))</f>
        <v>4000</v>
      </c>
      <c r="R2" s="20"/>
      <c r="S2" s="18">
        <v>119</v>
      </c>
      <c r="T2" s="14">
        <v>45715</v>
      </c>
      <c r="U2" s="14" t="s">
        <v>17</v>
      </c>
      <c r="V2" s="16" t="s">
        <v>18</v>
      </c>
      <c r="W2" s="26" t="s">
        <v>19</v>
      </c>
    </row>
    <row r="3" spans="1:24" s="27" customFormat="1" ht="34.950000000000003" customHeight="1" x14ac:dyDescent="0.25">
      <c r="A3" s="12">
        <f>SUBTOTAL(3,$B$2:B3)</f>
        <v>2</v>
      </c>
      <c r="B3" s="13">
        <v>1</v>
      </c>
      <c r="C3" s="14">
        <v>45715</v>
      </c>
      <c r="D3" s="13">
        <v>0</v>
      </c>
      <c r="E3" s="14">
        <v>0</v>
      </c>
      <c r="F3" s="15" t="s">
        <v>14</v>
      </c>
      <c r="G3" s="15" t="s">
        <v>20</v>
      </c>
      <c r="H3" s="16" t="s">
        <v>16</v>
      </c>
      <c r="I3" s="17"/>
      <c r="J3" s="14"/>
      <c r="K3" s="19">
        <v>1</v>
      </c>
      <c r="L3" s="21">
        <f t="shared" si="0"/>
        <v>1</v>
      </c>
      <c r="M3" s="20">
        <f t="shared" ref="M3:M66" si="2">L3*N3</f>
        <v>700</v>
      </c>
      <c r="N3" s="20">
        <v>700</v>
      </c>
      <c r="O3" s="22">
        <v>0</v>
      </c>
      <c r="P3" s="22">
        <v>0</v>
      </c>
      <c r="Q3" s="23">
        <f t="shared" si="1"/>
        <v>700</v>
      </c>
      <c r="R3" s="20"/>
      <c r="S3" s="18">
        <v>119</v>
      </c>
      <c r="T3" s="14">
        <v>45715</v>
      </c>
      <c r="U3" s="14" t="s">
        <v>17</v>
      </c>
      <c r="V3" s="16" t="s">
        <v>18</v>
      </c>
      <c r="W3" s="26" t="s">
        <v>19</v>
      </c>
    </row>
    <row r="4" spans="1:24" s="27" customFormat="1" ht="34.950000000000003" customHeight="1" x14ac:dyDescent="0.25">
      <c r="A4" s="28">
        <f>SUBTOTAL(3,$B$2:B4)</f>
        <v>3</v>
      </c>
      <c r="B4" s="29">
        <v>2</v>
      </c>
      <c r="C4" s="30">
        <v>45724</v>
      </c>
      <c r="D4" s="29">
        <v>0</v>
      </c>
      <c r="E4" s="30">
        <v>0</v>
      </c>
      <c r="F4" s="31" t="s">
        <v>21</v>
      </c>
      <c r="G4" s="31" t="s">
        <v>22</v>
      </c>
      <c r="H4" s="32" t="s">
        <v>23</v>
      </c>
      <c r="I4" s="28"/>
      <c r="J4" s="30"/>
      <c r="K4" s="34">
        <v>195</v>
      </c>
      <c r="L4" s="36">
        <f t="shared" si="0"/>
        <v>195</v>
      </c>
      <c r="M4" s="35">
        <f t="shared" si="2"/>
        <v>0</v>
      </c>
      <c r="N4" s="35">
        <v>0</v>
      </c>
      <c r="O4" s="37">
        <v>0</v>
      </c>
      <c r="P4" s="37">
        <v>0</v>
      </c>
      <c r="Q4" s="38">
        <f t="shared" si="1"/>
        <v>0</v>
      </c>
      <c r="R4" s="35"/>
      <c r="S4" s="33">
        <v>169678</v>
      </c>
      <c r="T4" s="30">
        <v>45724</v>
      </c>
      <c r="U4" s="30" t="s">
        <v>24</v>
      </c>
      <c r="V4" s="32" t="s">
        <v>25</v>
      </c>
      <c r="W4" s="40" t="s">
        <v>26</v>
      </c>
      <c r="X4" s="41"/>
    </row>
    <row r="5" spans="1:24" s="27" customFormat="1" ht="34.950000000000003" customHeight="1" x14ac:dyDescent="0.25">
      <c r="A5" s="12">
        <f>SUBTOTAL(3,$B$2:B5)</f>
        <v>4</v>
      </c>
      <c r="B5" s="42">
        <v>3</v>
      </c>
      <c r="C5" s="43">
        <v>45737</v>
      </c>
      <c r="D5" s="42">
        <v>825073100036</v>
      </c>
      <c r="E5" s="44">
        <v>45869</v>
      </c>
      <c r="F5" s="45" t="s">
        <v>27</v>
      </c>
      <c r="G5" s="45" t="s">
        <v>28</v>
      </c>
      <c r="H5" s="46" t="s">
        <v>29</v>
      </c>
      <c r="I5" s="12" t="s">
        <v>30</v>
      </c>
      <c r="J5" s="43">
        <v>45735</v>
      </c>
      <c r="K5" s="47">
        <v>36.619999999999997</v>
      </c>
      <c r="L5" s="49">
        <f t="shared" si="0"/>
        <v>36.619999999999997</v>
      </c>
      <c r="M5" s="48">
        <f t="shared" si="2"/>
        <v>2032409.9999999998</v>
      </c>
      <c r="N5" s="48">
        <v>55500</v>
      </c>
      <c r="O5" s="50">
        <v>9</v>
      </c>
      <c r="P5" s="50">
        <v>9</v>
      </c>
      <c r="Q5" s="51">
        <f t="shared" si="1"/>
        <v>2398243.7999999998</v>
      </c>
      <c r="R5" s="48"/>
      <c r="S5" s="24" t="s">
        <v>31</v>
      </c>
      <c r="T5" s="43">
        <v>45736</v>
      </c>
      <c r="U5" s="43" t="s">
        <v>32</v>
      </c>
      <c r="V5" s="46" t="s">
        <v>33</v>
      </c>
      <c r="W5" s="54" t="s">
        <v>34</v>
      </c>
    </row>
    <row r="6" spans="1:24" s="27" customFormat="1" ht="34.950000000000003" customHeight="1" x14ac:dyDescent="0.25">
      <c r="A6" s="12">
        <f>SUBTOTAL(3,$B$2:B6)</f>
        <v>5</v>
      </c>
      <c r="B6" s="42">
        <v>4</v>
      </c>
      <c r="C6" s="43">
        <v>45738</v>
      </c>
      <c r="D6" s="42">
        <v>82507300002</v>
      </c>
      <c r="E6" s="44">
        <v>45868</v>
      </c>
      <c r="F6" s="45" t="s">
        <v>35</v>
      </c>
      <c r="G6" s="45" t="s">
        <v>36</v>
      </c>
      <c r="H6" s="46" t="s">
        <v>37</v>
      </c>
      <c r="I6" s="12" t="s">
        <v>38</v>
      </c>
      <c r="J6" s="43">
        <v>45733</v>
      </c>
      <c r="K6" s="55">
        <v>6</v>
      </c>
      <c r="L6" s="49">
        <f t="shared" si="0"/>
        <v>6</v>
      </c>
      <c r="M6" s="48">
        <f t="shared" si="2"/>
        <v>19321.98</v>
      </c>
      <c r="N6" s="48">
        <v>3220.33</v>
      </c>
      <c r="O6" s="50">
        <v>9</v>
      </c>
      <c r="P6" s="50">
        <v>9</v>
      </c>
      <c r="Q6" s="51">
        <f t="shared" si="1"/>
        <v>22799.936399999999</v>
      </c>
      <c r="R6" s="48"/>
      <c r="S6" s="24" t="s">
        <v>39</v>
      </c>
      <c r="T6" s="43">
        <v>45738</v>
      </c>
      <c r="U6" s="43" t="s">
        <v>40</v>
      </c>
      <c r="V6" s="46" t="s">
        <v>33</v>
      </c>
      <c r="W6" s="54" t="s">
        <v>34</v>
      </c>
    </row>
    <row r="7" spans="1:24" s="27" customFormat="1" ht="34.950000000000003" customHeight="1" x14ac:dyDescent="0.25">
      <c r="A7" s="12">
        <f>SUBTOTAL(3,$B$2:B7)</f>
        <v>6</v>
      </c>
      <c r="B7" s="42">
        <v>5</v>
      </c>
      <c r="C7" s="43">
        <v>45740</v>
      </c>
      <c r="D7" s="42">
        <v>82601240003</v>
      </c>
      <c r="E7" s="44">
        <v>46046</v>
      </c>
      <c r="F7" s="45" t="s">
        <v>27</v>
      </c>
      <c r="G7" s="45" t="s">
        <v>41</v>
      </c>
      <c r="H7" s="46" t="s">
        <v>29</v>
      </c>
      <c r="I7" s="12" t="s">
        <v>30</v>
      </c>
      <c r="J7" s="43">
        <v>45735</v>
      </c>
      <c r="K7" s="47">
        <v>38.07</v>
      </c>
      <c r="L7" s="49">
        <f t="shared" si="0"/>
        <v>38.07</v>
      </c>
      <c r="M7" s="48">
        <f t="shared" si="2"/>
        <v>2112885</v>
      </c>
      <c r="N7" s="48">
        <v>55500</v>
      </c>
      <c r="O7" s="50">
        <v>9</v>
      </c>
      <c r="P7" s="50">
        <v>9</v>
      </c>
      <c r="Q7" s="51">
        <f t="shared" si="1"/>
        <v>2493204.2999999998</v>
      </c>
      <c r="R7" s="48"/>
      <c r="S7" s="24" t="s">
        <v>42</v>
      </c>
      <c r="T7" s="43">
        <v>45738</v>
      </c>
      <c r="U7" s="43" t="s">
        <v>43</v>
      </c>
      <c r="V7" s="46" t="s">
        <v>33</v>
      </c>
      <c r="W7" s="54" t="s">
        <v>34</v>
      </c>
    </row>
    <row r="8" spans="1:24" s="27" customFormat="1" ht="34.950000000000003" customHeight="1" x14ac:dyDescent="0.25">
      <c r="A8" s="12">
        <f>SUBTOTAL(3,$B$2:B8)</f>
        <v>7</v>
      </c>
      <c r="B8" s="42">
        <v>6</v>
      </c>
      <c r="C8" s="43">
        <v>45740</v>
      </c>
      <c r="D8" s="42">
        <v>82507300004</v>
      </c>
      <c r="E8" s="44">
        <v>45868</v>
      </c>
      <c r="F8" s="45" t="s">
        <v>27</v>
      </c>
      <c r="G8" s="45" t="s">
        <v>44</v>
      </c>
      <c r="H8" s="46" t="s">
        <v>29</v>
      </c>
      <c r="I8" s="12" t="s">
        <v>30</v>
      </c>
      <c r="J8" s="43">
        <v>45735</v>
      </c>
      <c r="K8" s="47">
        <v>34.69</v>
      </c>
      <c r="L8" s="49">
        <f t="shared" si="0"/>
        <v>34.69</v>
      </c>
      <c r="M8" s="48">
        <f>L8*N8</f>
        <v>1925294.9999999998</v>
      </c>
      <c r="N8" s="48">
        <v>55500</v>
      </c>
      <c r="O8" s="50">
        <v>9</v>
      </c>
      <c r="P8" s="50">
        <v>9</v>
      </c>
      <c r="Q8" s="51">
        <f t="shared" si="1"/>
        <v>2271848.0999999996</v>
      </c>
      <c r="R8" s="48"/>
      <c r="S8" s="24" t="s">
        <v>45</v>
      </c>
      <c r="T8" s="43">
        <v>45735</v>
      </c>
      <c r="U8" s="43" t="s">
        <v>46</v>
      </c>
      <c r="V8" s="46" t="s">
        <v>33</v>
      </c>
      <c r="W8" s="54" t="s">
        <v>34</v>
      </c>
    </row>
    <row r="9" spans="1:24" s="27" customFormat="1" ht="34.950000000000003" customHeight="1" x14ac:dyDescent="0.25">
      <c r="A9" s="12">
        <f>SUBTOTAL(3,$B$2:B9)</f>
        <v>8</v>
      </c>
      <c r="B9" s="42">
        <v>7</v>
      </c>
      <c r="C9" s="43">
        <v>45740</v>
      </c>
      <c r="D9" s="42">
        <v>82601240005</v>
      </c>
      <c r="E9" s="44">
        <v>46046</v>
      </c>
      <c r="F9" s="45" t="s">
        <v>47</v>
      </c>
      <c r="G9" s="52" t="s">
        <v>48</v>
      </c>
      <c r="H9" s="46" t="s">
        <v>16</v>
      </c>
      <c r="I9" s="12" t="s">
        <v>49</v>
      </c>
      <c r="J9" s="43">
        <v>45727</v>
      </c>
      <c r="K9" s="47">
        <v>1</v>
      </c>
      <c r="L9" s="49">
        <f t="shared" si="0"/>
        <v>1</v>
      </c>
      <c r="M9" s="48">
        <f t="shared" si="2"/>
        <v>1185</v>
      </c>
      <c r="N9" s="48">
        <v>1185</v>
      </c>
      <c r="O9" s="50">
        <v>9</v>
      </c>
      <c r="P9" s="50">
        <v>9</v>
      </c>
      <c r="Q9" s="51">
        <f t="shared" si="1"/>
        <v>1398.3</v>
      </c>
      <c r="R9" s="48"/>
      <c r="S9" s="24" t="s">
        <v>50</v>
      </c>
      <c r="T9" s="43">
        <v>45740</v>
      </c>
      <c r="U9" s="43" t="s">
        <v>51</v>
      </c>
      <c r="V9" s="46" t="s">
        <v>33</v>
      </c>
      <c r="W9" s="53" t="s">
        <v>52</v>
      </c>
    </row>
    <row r="10" spans="1:24" s="27" customFormat="1" ht="34.950000000000003" customHeight="1" x14ac:dyDescent="0.25">
      <c r="A10" s="12">
        <f>SUBTOTAL(3,$B$2:B10)</f>
        <v>9</v>
      </c>
      <c r="B10" s="42">
        <v>7</v>
      </c>
      <c r="C10" s="43">
        <v>45740</v>
      </c>
      <c r="D10" s="42">
        <v>82601240005</v>
      </c>
      <c r="E10" s="44">
        <v>46046</v>
      </c>
      <c r="F10" s="45" t="s">
        <v>47</v>
      </c>
      <c r="G10" s="54" t="s">
        <v>53</v>
      </c>
      <c r="H10" s="46" t="s">
        <v>16</v>
      </c>
      <c r="I10" s="12" t="s">
        <v>49</v>
      </c>
      <c r="J10" s="43">
        <v>45727</v>
      </c>
      <c r="K10" s="47">
        <v>2</v>
      </c>
      <c r="L10" s="49">
        <f t="shared" si="0"/>
        <v>2</v>
      </c>
      <c r="M10" s="48">
        <f t="shared" si="2"/>
        <v>2813.48</v>
      </c>
      <c r="N10" s="48">
        <v>1406.74</v>
      </c>
      <c r="O10" s="50">
        <v>9</v>
      </c>
      <c r="P10" s="50">
        <v>9</v>
      </c>
      <c r="Q10" s="51">
        <f t="shared" si="1"/>
        <v>3319.9063999999998</v>
      </c>
      <c r="R10" s="48"/>
      <c r="S10" s="24" t="s">
        <v>50</v>
      </c>
      <c r="T10" s="43">
        <v>45740</v>
      </c>
      <c r="U10" s="43" t="s">
        <v>51</v>
      </c>
      <c r="V10" s="46" t="s">
        <v>33</v>
      </c>
      <c r="W10" s="53" t="s">
        <v>52</v>
      </c>
    </row>
    <row r="11" spans="1:24" s="27" customFormat="1" ht="34.950000000000003" customHeight="1" x14ac:dyDescent="0.25">
      <c r="A11" s="12">
        <f>SUBTOTAL(3,$B$2:B11)</f>
        <v>10</v>
      </c>
      <c r="B11" s="42">
        <v>7</v>
      </c>
      <c r="C11" s="43">
        <v>45740</v>
      </c>
      <c r="D11" s="42">
        <v>82601240005</v>
      </c>
      <c r="E11" s="44">
        <v>46046</v>
      </c>
      <c r="F11" s="45" t="s">
        <v>47</v>
      </c>
      <c r="G11" s="54" t="s">
        <v>54</v>
      </c>
      <c r="H11" s="46" t="s">
        <v>16</v>
      </c>
      <c r="I11" s="12" t="s">
        <v>49</v>
      </c>
      <c r="J11" s="43">
        <v>45727</v>
      </c>
      <c r="K11" s="47">
        <v>2</v>
      </c>
      <c r="L11" s="49">
        <f t="shared" si="0"/>
        <v>2</v>
      </c>
      <c r="M11" s="48">
        <f t="shared" si="2"/>
        <v>1426.72</v>
      </c>
      <c r="N11" s="48">
        <v>713.36</v>
      </c>
      <c r="O11" s="50">
        <v>9</v>
      </c>
      <c r="P11" s="50">
        <v>9</v>
      </c>
      <c r="Q11" s="51">
        <f t="shared" si="1"/>
        <v>1683.5295999999998</v>
      </c>
      <c r="R11" s="48"/>
      <c r="S11" s="24" t="s">
        <v>50</v>
      </c>
      <c r="T11" s="43">
        <v>45740</v>
      </c>
      <c r="U11" s="43" t="s">
        <v>51</v>
      </c>
      <c r="V11" s="46" t="s">
        <v>33</v>
      </c>
      <c r="W11" s="53" t="s">
        <v>52</v>
      </c>
    </row>
    <row r="12" spans="1:24" s="27" customFormat="1" ht="34.950000000000003" customHeight="1" x14ac:dyDescent="0.25">
      <c r="A12" s="12">
        <f>SUBTOTAL(3,$B$2:B12)</f>
        <v>11</v>
      </c>
      <c r="B12" s="42">
        <v>7</v>
      </c>
      <c r="C12" s="43">
        <v>45740</v>
      </c>
      <c r="D12" s="42">
        <v>82601240005</v>
      </c>
      <c r="E12" s="44">
        <v>46046</v>
      </c>
      <c r="F12" s="45" t="s">
        <v>47</v>
      </c>
      <c r="G12" s="52" t="s">
        <v>55</v>
      </c>
      <c r="H12" s="46" t="s">
        <v>16</v>
      </c>
      <c r="I12" s="12" t="s">
        <v>49</v>
      </c>
      <c r="J12" s="43">
        <v>45727</v>
      </c>
      <c r="K12" s="47">
        <v>6</v>
      </c>
      <c r="L12" s="49">
        <f t="shared" si="0"/>
        <v>6</v>
      </c>
      <c r="M12" s="48">
        <f t="shared" si="2"/>
        <v>780</v>
      </c>
      <c r="N12" s="48">
        <v>130</v>
      </c>
      <c r="O12" s="50">
        <v>9</v>
      </c>
      <c r="P12" s="50">
        <v>9</v>
      </c>
      <c r="Q12" s="51">
        <f t="shared" si="1"/>
        <v>920.4</v>
      </c>
      <c r="R12" s="48"/>
      <c r="S12" s="24" t="s">
        <v>50</v>
      </c>
      <c r="T12" s="43">
        <v>45740</v>
      </c>
      <c r="U12" s="43" t="s">
        <v>51</v>
      </c>
      <c r="V12" s="46" t="s">
        <v>33</v>
      </c>
      <c r="W12" s="53" t="s">
        <v>52</v>
      </c>
    </row>
    <row r="13" spans="1:24" s="27" customFormat="1" ht="34.950000000000003" customHeight="1" x14ac:dyDescent="0.25">
      <c r="A13" s="12">
        <f>SUBTOTAL(3,$B$2:B13)</f>
        <v>12</v>
      </c>
      <c r="B13" s="42">
        <v>7</v>
      </c>
      <c r="C13" s="43">
        <v>45740</v>
      </c>
      <c r="D13" s="42">
        <v>82601240005</v>
      </c>
      <c r="E13" s="44">
        <v>46046</v>
      </c>
      <c r="F13" s="45" t="s">
        <v>47</v>
      </c>
      <c r="G13" s="52" t="s">
        <v>56</v>
      </c>
      <c r="H13" s="46" t="s">
        <v>16</v>
      </c>
      <c r="I13" s="12" t="s">
        <v>49</v>
      </c>
      <c r="J13" s="43">
        <v>45727</v>
      </c>
      <c r="K13" s="47">
        <v>25</v>
      </c>
      <c r="L13" s="49">
        <f t="shared" si="0"/>
        <v>25</v>
      </c>
      <c r="M13" s="48">
        <f t="shared" si="2"/>
        <v>1500</v>
      </c>
      <c r="N13" s="48">
        <v>60</v>
      </c>
      <c r="O13" s="50">
        <v>9</v>
      </c>
      <c r="P13" s="50">
        <v>9</v>
      </c>
      <c r="Q13" s="51">
        <f t="shared" si="1"/>
        <v>1770</v>
      </c>
      <c r="R13" s="48"/>
      <c r="S13" s="24" t="s">
        <v>50</v>
      </c>
      <c r="T13" s="43">
        <v>45740</v>
      </c>
      <c r="U13" s="43" t="s">
        <v>51</v>
      </c>
      <c r="V13" s="46" t="s">
        <v>33</v>
      </c>
      <c r="W13" s="53" t="s">
        <v>52</v>
      </c>
    </row>
    <row r="14" spans="1:24" s="27" customFormat="1" ht="34.950000000000003" customHeight="1" x14ac:dyDescent="0.25">
      <c r="A14" s="12">
        <f>SUBTOTAL(3,$B$2:B14)</f>
        <v>13</v>
      </c>
      <c r="B14" s="42">
        <v>7</v>
      </c>
      <c r="C14" s="43">
        <v>45740</v>
      </c>
      <c r="D14" s="42">
        <v>82601240005</v>
      </c>
      <c r="E14" s="44">
        <v>46046</v>
      </c>
      <c r="F14" s="45" t="s">
        <v>47</v>
      </c>
      <c r="G14" s="52" t="s">
        <v>57</v>
      </c>
      <c r="H14" s="46" t="s">
        <v>16</v>
      </c>
      <c r="I14" s="12" t="s">
        <v>49</v>
      </c>
      <c r="J14" s="43">
        <v>45727</v>
      </c>
      <c r="K14" s="47">
        <v>20</v>
      </c>
      <c r="L14" s="49">
        <f t="shared" si="0"/>
        <v>20</v>
      </c>
      <c r="M14" s="48">
        <f t="shared" si="2"/>
        <v>180</v>
      </c>
      <c r="N14" s="48">
        <v>9</v>
      </c>
      <c r="O14" s="50">
        <v>9</v>
      </c>
      <c r="P14" s="50">
        <v>9</v>
      </c>
      <c r="Q14" s="51">
        <f t="shared" si="1"/>
        <v>212.39999999999998</v>
      </c>
      <c r="R14" s="48"/>
      <c r="S14" s="24" t="s">
        <v>50</v>
      </c>
      <c r="T14" s="43">
        <v>45740</v>
      </c>
      <c r="U14" s="43" t="s">
        <v>51</v>
      </c>
      <c r="V14" s="46" t="s">
        <v>33</v>
      </c>
      <c r="W14" s="53" t="s">
        <v>52</v>
      </c>
    </row>
    <row r="15" spans="1:24" s="27" customFormat="1" ht="34.950000000000003" customHeight="1" x14ac:dyDescent="0.25">
      <c r="A15" s="12">
        <f>SUBTOTAL(3,$B$2:B15)</f>
        <v>14</v>
      </c>
      <c r="B15" s="42">
        <v>7</v>
      </c>
      <c r="C15" s="43">
        <v>45740</v>
      </c>
      <c r="D15" s="42">
        <v>82601240005</v>
      </c>
      <c r="E15" s="44">
        <v>46046</v>
      </c>
      <c r="F15" s="45" t="s">
        <v>47</v>
      </c>
      <c r="G15" s="52" t="s">
        <v>58</v>
      </c>
      <c r="H15" s="46" t="s">
        <v>16</v>
      </c>
      <c r="I15" s="12" t="s">
        <v>49</v>
      </c>
      <c r="J15" s="43">
        <v>45727</v>
      </c>
      <c r="K15" s="47">
        <v>25</v>
      </c>
      <c r="L15" s="49">
        <f t="shared" si="0"/>
        <v>25</v>
      </c>
      <c r="M15" s="48">
        <f t="shared" si="2"/>
        <v>3496</v>
      </c>
      <c r="N15" s="48">
        <v>139.84</v>
      </c>
      <c r="O15" s="50">
        <v>9</v>
      </c>
      <c r="P15" s="50">
        <v>9</v>
      </c>
      <c r="Q15" s="51">
        <f t="shared" si="1"/>
        <v>4125.28</v>
      </c>
      <c r="R15" s="48"/>
      <c r="S15" s="24" t="s">
        <v>50</v>
      </c>
      <c r="T15" s="43">
        <v>45740</v>
      </c>
      <c r="U15" s="43" t="s">
        <v>51</v>
      </c>
      <c r="V15" s="46" t="s">
        <v>33</v>
      </c>
      <c r="W15" s="54" t="s">
        <v>52</v>
      </c>
    </row>
    <row r="16" spans="1:24" s="27" customFormat="1" ht="34.950000000000003" customHeight="1" x14ac:dyDescent="0.25">
      <c r="A16" s="12">
        <f>SUBTOTAL(3,$B$2:B16)</f>
        <v>15</v>
      </c>
      <c r="B16" s="42">
        <v>7</v>
      </c>
      <c r="C16" s="43">
        <v>45740</v>
      </c>
      <c r="D16" s="42">
        <v>82601240005</v>
      </c>
      <c r="E16" s="44">
        <v>46046</v>
      </c>
      <c r="F16" s="45" t="s">
        <v>47</v>
      </c>
      <c r="G16" s="52" t="s">
        <v>59</v>
      </c>
      <c r="H16" s="46" t="s">
        <v>16</v>
      </c>
      <c r="I16" s="12" t="s">
        <v>49</v>
      </c>
      <c r="J16" s="43">
        <v>45727</v>
      </c>
      <c r="K16" s="47">
        <v>22</v>
      </c>
      <c r="L16" s="49">
        <f t="shared" si="0"/>
        <v>22</v>
      </c>
      <c r="M16" s="48">
        <f t="shared" si="2"/>
        <v>1690.04</v>
      </c>
      <c r="N16" s="48">
        <v>76.819999999999993</v>
      </c>
      <c r="O16" s="50">
        <v>9</v>
      </c>
      <c r="P16" s="50">
        <v>9</v>
      </c>
      <c r="Q16" s="51">
        <f t="shared" si="1"/>
        <v>1994.2471999999998</v>
      </c>
      <c r="R16" s="48"/>
      <c r="S16" s="24" t="s">
        <v>50</v>
      </c>
      <c r="T16" s="43">
        <v>45740</v>
      </c>
      <c r="U16" s="43" t="s">
        <v>51</v>
      </c>
      <c r="V16" s="46" t="s">
        <v>33</v>
      </c>
      <c r="W16" s="54" t="s">
        <v>52</v>
      </c>
    </row>
    <row r="17" spans="1:23" s="27" customFormat="1" ht="34.950000000000003" customHeight="1" x14ac:dyDescent="0.25">
      <c r="A17" s="12">
        <f>SUBTOTAL(3,$B$2:B17)</f>
        <v>16</v>
      </c>
      <c r="B17" s="42">
        <v>7</v>
      </c>
      <c r="C17" s="43">
        <v>45740</v>
      </c>
      <c r="D17" s="42">
        <v>82601240005</v>
      </c>
      <c r="E17" s="44">
        <v>46046</v>
      </c>
      <c r="F17" s="45" t="s">
        <v>47</v>
      </c>
      <c r="G17" s="45" t="s">
        <v>60</v>
      </c>
      <c r="H17" s="46" t="s">
        <v>16</v>
      </c>
      <c r="I17" s="56" t="s">
        <v>49</v>
      </c>
      <c r="J17" s="43">
        <v>45727</v>
      </c>
      <c r="K17" s="47">
        <v>22</v>
      </c>
      <c r="L17" s="49">
        <f t="shared" si="0"/>
        <v>22</v>
      </c>
      <c r="M17" s="48">
        <f t="shared" si="2"/>
        <v>2610.96</v>
      </c>
      <c r="N17" s="48">
        <v>118.68</v>
      </c>
      <c r="O17" s="50">
        <v>9</v>
      </c>
      <c r="P17" s="50">
        <v>9</v>
      </c>
      <c r="Q17" s="51">
        <f t="shared" si="1"/>
        <v>3080.9328</v>
      </c>
      <c r="R17" s="48"/>
      <c r="S17" s="24" t="s">
        <v>50</v>
      </c>
      <c r="T17" s="43">
        <v>45740</v>
      </c>
      <c r="U17" s="43" t="s">
        <v>51</v>
      </c>
      <c r="V17" s="46" t="s">
        <v>33</v>
      </c>
      <c r="W17" s="54" t="s">
        <v>52</v>
      </c>
    </row>
    <row r="18" spans="1:23" s="27" customFormat="1" ht="34.950000000000003" customHeight="1" x14ac:dyDescent="0.25">
      <c r="A18" s="12">
        <f>SUBTOTAL(3,$B$2:B18)</f>
        <v>17</v>
      </c>
      <c r="B18" s="42">
        <v>7</v>
      </c>
      <c r="C18" s="43">
        <v>45740</v>
      </c>
      <c r="D18" s="42">
        <v>82601240005</v>
      </c>
      <c r="E18" s="44">
        <v>46046</v>
      </c>
      <c r="F18" s="45" t="s">
        <v>47</v>
      </c>
      <c r="G18" s="52" t="s">
        <v>61</v>
      </c>
      <c r="H18" s="46" t="s">
        <v>16</v>
      </c>
      <c r="I18" s="56" t="s">
        <v>49</v>
      </c>
      <c r="J18" s="43">
        <v>45727</v>
      </c>
      <c r="K18" s="47">
        <v>50</v>
      </c>
      <c r="L18" s="49">
        <f t="shared" si="0"/>
        <v>50</v>
      </c>
      <c r="M18" s="48">
        <f t="shared" si="2"/>
        <v>1632.9999999999998</v>
      </c>
      <c r="N18" s="48">
        <v>32.659999999999997</v>
      </c>
      <c r="O18" s="50">
        <v>9</v>
      </c>
      <c r="P18" s="50">
        <v>9</v>
      </c>
      <c r="Q18" s="51">
        <f t="shared" si="1"/>
        <v>1926.9399999999996</v>
      </c>
      <c r="R18" s="48"/>
      <c r="S18" s="24" t="s">
        <v>50</v>
      </c>
      <c r="T18" s="43">
        <v>45740</v>
      </c>
      <c r="U18" s="43" t="s">
        <v>51</v>
      </c>
      <c r="V18" s="46" t="s">
        <v>33</v>
      </c>
      <c r="W18" s="54" t="s">
        <v>52</v>
      </c>
    </row>
    <row r="19" spans="1:23" s="27" customFormat="1" ht="34.950000000000003" customHeight="1" x14ac:dyDescent="0.25">
      <c r="A19" s="12">
        <f>SUBTOTAL(3,$B$2:B19)</f>
        <v>18</v>
      </c>
      <c r="B19" s="42">
        <v>7</v>
      </c>
      <c r="C19" s="43">
        <v>45740</v>
      </c>
      <c r="D19" s="42">
        <v>82601240005</v>
      </c>
      <c r="E19" s="44">
        <v>46046</v>
      </c>
      <c r="F19" s="45" t="s">
        <v>47</v>
      </c>
      <c r="G19" s="45" t="s">
        <v>62</v>
      </c>
      <c r="H19" s="46" t="s">
        <v>16</v>
      </c>
      <c r="I19" s="56" t="s">
        <v>49</v>
      </c>
      <c r="J19" s="43">
        <v>45727</v>
      </c>
      <c r="K19" s="47">
        <v>42</v>
      </c>
      <c r="L19" s="49">
        <f t="shared" si="0"/>
        <v>42</v>
      </c>
      <c r="M19" s="48">
        <f t="shared" si="2"/>
        <v>2840.04</v>
      </c>
      <c r="N19" s="48">
        <v>67.62</v>
      </c>
      <c r="O19" s="50">
        <v>9</v>
      </c>
      <c r="P19" s="50">
        <v>9</v>
      </c>
      <c r="Q19" s="51">
        <f t="shared" si="1"/>
        <v>3351.2471999999998</v>
      </c>
      <c r="R19" s="48"/>
      <c r="S19" s="24" t="s">
        <v>50</v>
      </c>
      <c r="T19" s="43">
        <v>45740</v>
      </c>
      <c r="U19" s="43" t="s">
        <v>51</v>
      </c>
      <c r="V19" s="46" t="s">
        <v>33</v>
      </c>
      <c r="W19" s="54" t="s">
        <v>52</v>
      </c>
    </row>
    <row r="20" spans="1:23" s="27" customFormat="1" ht="34.950000000000003" customHeight="1" x14ac:dyDescent="0.25">
      <c r="A20" s="12">
        <f>SUBTOTAL(3,$B$2:B20)</f>
        <v>19</v>
      </c>
      <c r="B20" s="42">
        <v>7</v>
      </c>
      <c r="C20" s="43">
        <v>45740</v>
      </c>
      <c r="D20" s="42">
        <v>82601240005</v>
      </c>
      <c r="E20" s="44">
        <v>46046</v>
      </c>
      <c r="F20" s="45" t="s">
        <v>47</v>
      </c>
      <c r="G20" s="52" t="s">
        <v>63</v>
      </c>
      <c r="H20" s="46" t="s">
        <v>16</v>
      </c>
      <c r="I20" s="56" t="s">
        <v>49</v>
      </c>
      <c r="J20" s="43">
        <v>45727</v>
      </c>
      <c r="K20" s="47">
        <v>20</v>
      </c>
      <c r="L20" s="49">
        <f t="shared" si="0"/>
        <v>20</v>
      </c>
      <c r="M20" s="48">
        <f t="shared" si="2"/>
        <v>331.2</v>
      </c>
      <c r="N20" s="48">
        <v>16.559999999999999</v>
      </c>
      <c r="O20" s="50">
        <v>9</v>
      </c>
      <c r="P20" s="50">
        <v>9</v>
      </c>
      <c r="Q20" s="51">
        <f t="shared" si="1"/>
        <v>390.81599999999997</v>
      </c>
      <c r="R20" s="48"/>
      <c r="S20" s="24" t="s">
        <v>50</v>
      </c>
      <c r="T20" s="43">
        <v>45740</v>
      </c>
      <c r="U20" s="43" t="s">
        <v>51</v>
      </c>
      <c r="V20" s="46" t="s">
        <v>33</v>
      </c>
      <c r="W20" s="53" t="s">
        <v>52</v>
      </c>
    </row>
    <row r="21" spans="1:23" s="27" customFormat="1" ht="34.950000000000003" customHeight="1" x14ac:dyDescent="0.25">
      <c r="A21" s="12">
        <f>SUBTOTAL(3,$B$2:B21)</f>
        <v>20</v>
      </c>
      <c r="B21" s="42">
        <v>7</v>
      </c>
      <c r="C21" s="43">
        <v>45740</v>
      </c>
      <c r="D21" s="42">
        <v>82601240005</v>
      </c>
      <c r="E21" s="44">
        <v>46046</v>
      </c>
      <c r="F21" s="45" t="s">
        <v>47</v>
      </c>
      <c r="G21" s="52" t="s">
        <v>64</v>
      </c>
      <c r="H21" s="57" t="s">
        <v>16</v>
      </c>
      <c r="I21" s="56" t="s">
        <v>49</v>
      </c>
      <c r="J21" s="43">
        <v>45727</v>
      </c>
      <c r="K21" s="47">
        <v>22</v>
      </c>
      <c r="L21" s="49">
        <f t="shared" si="0"/>
        <v>22</v>
      </c>
      <c r="M21" s="48">
        <f t="shared" si="2"/>
        <v>2420</v>
      </c>
      <c r="N21" s="48">
        <v>110</v>
      </c>
      <c r="O21" s="50">
        <v>9</v>
      </c>
      <c r="P21" s="50">
        <v>9</v>
      </c>
      <c r="Q21" s="51">
        <f t="shared" si="1"/>
        <v>2855.6</v>
      </c>
      <c r="R21" s="48"/>
      <c r="S21" s="24" t="s">
        <v>50</v>
      </c>
      <c r="T21" s="43">
        <v>45740</v>
      </c>
      <c r="U21" s="43" t="s">
        <v>51</v>
      </c>
      <c r="V21" s="46" t="s">
        <v>33</v>
      </c>
      <c r="W21" s="53" t="s">
        <v>52</v>
      </c>
    </row>
    <row r="22" spans="1:23" s="27" customFormat="1" ht="34.950000000000003" customHeight="1" x14ac:dyDescent="0.25">
      <c r="A22" s="12">
        <f>SUBTOTAL(3,$B$2:B22)</f>
        <v>21</v>
      </c>
      <c r="B22" s="42">
        <v>7</v>
      </c>
      <c r="C22" s="43">
        <v>45740</v>
      </c>
      <c r="D22" s="42">
        <v>82601240005</v>
      </c>
      <c r="E22" s="44">
        <v>46046</v>
      </c>
      <c r="F22" s="45" t="s">
        <v>47</v>
      </c>
      <c r="G22" s="58" t="s">
        <v>65</v>
      </c>
      <c r="H22" s="46" t="s">
        <v>16</v>
      </c>
      <c r="I22" s="56" t="s">
        <v>49</v>
      </c>
      <c r="J22" s="43">
        <v>45727</v>
      </c>
      <c r="K22" s="47">
        <v>50</v>
      </c>
      <c r="L22" s="49">
        <f t="shared" si="0"/>
        <v>50</v>
      </c>
      <c r="M22" s="48">
        <f t="shared" si="2"/>
        <v>2750</v>
      </c>
      <c r="N22" s="48">
        <v>55</v>
      </c>
      <c r="O22" s="50">
        <v>9</v>
      </c>
      <c r="P22" s="50">
        <v>9</v>
      </c>
      <c r="Q22" s="51">
        <f t="shared" si="1"/>
        <v>3245</v>
      </c>
      <c r="R22" s="48"/>
      <c r="S22" s="24" t="s">
        <v>50</v>
      </c>
      <c r="T22" s="43">
        <v>45740</v>
      </c>
      <c r="U22" s="43" t="s">
        <v>51</v>
      </c>
      <c r="V22" s="46" t="s">
        <v>33</v>
      </c>
      <c r="W22" s="54" t="s">
        <v>52</v>
      </c>
    </row>
    <row r="23" spans="1:23" s="27" customFormat="1" ht="34.950000000000003" customHeight="1" x14ac:dyDescent="0.25">
      <c r="A23" s="12">
        <f>SUBTOTAL(3,$B$2:B23)</f>
        <v>22</v>
      </c>
      <c r="B23" s="42">
        <v>7</v>
      </c>
      <c r="C23" s="43">
        <v>45740</v>
      </c>
      <c r="D23" s="42">
        <v>82601240005</v>
      </c>
      <c r="E23" s="44">
        <v>46046</v>
      </c>
      <c r="F23" s="45" t="s">
        <v>47</v>
      </c>
      <c r="G23" s="45" t="s">
        <v>66</v>
      </c>
      <c r="H23" s="46" t="s">
        <v>16</v>
      </c>
      <c r="I23" s="56" t="s">
        <v>49</v>
      </c>
      <c r="J23" s="43">
        <v>45727</v>
      </c>
      <c r="K23" s="47">
        <v>30</v>
      </c>
      <c r="L23" s="49">
        <f t="shared" si="0"/>
        <v>30</v>
      </c>
      <c r="M23" s="48">
        <f t="shared" si="2"/>
        <v>240</v>
      </c>
      <c r="N23" s="48">
        <v>8</v>
      </c>
      <c r="O23" s="50">
        <v>9</v>
      </c>
      <c r="P23" s="50">
        <v>9</v>
      </c>
      <c r="Q23" s="51">
        <f t="shared" si="1"/>
        <v>283.2</v>
      </c>
      <c r="R23" s="48"/>
      <c r="S23" s="24" t="s">
        <v>50</v>
      </c>
      <c r="T23" s="43">
        <v>45740</v>
      </c>
      <c r="U23" s="43" t="s">
        <v>51</v>
      </c>
      <c r="V23" s="46" t="s">
        <v>33</v>
      </c>
      <c r="W23" s="54" t="s">
        <v>19</v>
      </c>
    </row>
    <row r="24" spans="1:23" s="27" customFormat="1" ht="34.950000000000003" customHeight="1" x14ac:dyDescent="0.25">
      <c r="A24" s="12">
        <f>SUBTOTAL(3,$B$2:B24)</f>
        <v>23</v>
      </c>
      <c r="B24" s="42">
        <v>7</v>
      </c>
      <c r="C24" s="43">
        <v>45740</v>
      </c>
      <c r="D24" s="42">
        <v>82601240005</v>
      </c>
      <c r="E24" s="44">
        <v>46046</v>
      </c>
      <c r="F24" s="45" t="s">
        <v>47</v>
      </c>
      <c r="G24" s="45" t="s">
        <v>67</v>
      </c>
      <c r="H24" s="46" t="s">
        <v>16</v>
      </c>
      <c r="I24" s="56" t="s">
        <v>49</v>
      </c>
      <c r="J24" s="43">
        <v>45727</v>
      </c>
      <c r="K24" s="47">
        <v>25</v>
      </c>
      <c r="L24" s="49">
        <f t="shared" si="0"/>
        <v>25</v>
      </c>
      <c r="M24" s="48">
        <f t="shared" si="2"/>
        <v>200</v>
      </c>
      <c r="N24" s="48">
        <v>8</v>
      </c>
      <c r="O24" s="50">
        <v>9</v>
      </c>
      <c r="P24" s="50">
        <v>9</v>
      </c>
      <c r="Q24" s="51">
        <f t="shared" si="1"/>
        <v>236</v>
      </c>
      <c r="R24" s="48"/>
      <c r="S24" s="24" t="s">
        <v>50</v>
      </c>
      <c r="T24" s="43">
        <v>45740</v>
      </c>
      <c r="U24" s="43" t="s">
        <v>51</v>
      </c>
      <c r="V24" s="46" t="s">
        <v>33</v>
      </c>
      <c r="W24" s="54" t="s">
        <v>19</v>
      </c>
    </row>
    <row r="25" spans="1:23" s="27" customFormat="1" ht="34.950000000000003" customHeight="1" x14ac:dyDescent="0.25">
      <c r="A25" s="12">
        <f>SUBTOTAL(3,$B$2:B25)</f>
        <v>24</v>
      </c>
      <c r="B25" s="42">
        <v>7</v>
      </c>
      <c r="C25" s="43">
        <v>45740</v>
      </c>
      <c r="D25" s="42">
        <v>82601240005</v>
      </c>
      <c r="E25" s="44">
        <v>46046</v>
      </c>
      <c r="F25" s="45" t="s">
        <v>47</v>
      </c>
      <c r="G25" s="52" t="s">
        <v>68</v>
      </c>
      <c r="H25" s="46" t="s">
        <v>69</v>
      </c>
      <c r="I25" s="56" t="s">
        <v>49</v>
      </c>
      <c r="J25" s="43">
        <v>45727</v>
      </c>
      <c r="K25" s="47">
        <v>6</v>
      </c>
      <c r="L25" s="49">
        <f t="shared" si="0"/>
        <v>6</v>
      </c>
      <c r="M25" s="48">
        <f t="shared" si="2"/>
        <v>420</v>
      </c>
      <c r="N25" s="48">
        <v>70</v>
      </c>
      <c r="O25" s="50">
        <v>9</v>
      </c>
      <c r="P25" s="50">
        <v>9</v>
      </c>
      <c r="Q25" s="51">
        <f t="shared" si="1"/>
        <v>495.59999999999997</v>
      </c>
      <c r="R25" s="48"/>
      <c r="S25" s="24" t="s">
        <v>50</v>
      </c>
      <c r="T25" s="43">
        <v>45740</v>
      </c>
      <c r="U25" s="43" t="s">
        <v>51</v>
      </c>
      <c r="V25" s="46" t="s">
        <v>33</v>
      </c>
      <c r="W25" s="53" t="s">
        <v>52</v>
      </c>
    </row>
    <row r="26" spans="1:23" s="27" customFormat="1" ht="34.950000000000003" customHeight="1" x14ac:dyDescent="0.25">
      <c r="A26" s="12">
        <f>SUBTOTAL(3,$B$2:B26)</f>
        <v>25</v>
      </c>
      <c r="B26" s="42">
        <v>7</v>
      </c>
      <c r="C26" s="43">
        <v>45740</v>
      </c>
      <c r="D26" s="42">
        <v>82601240005</v>
      </c>
      <c r="E26" s="44">
        <v>46046</v>
      </c>
      <c r="F26" s="45" t="s">
        <v>47</v>
      </c>
      <c r="G26" s="52" t="s">
        <v>70</v>
      </c>
      <c r="H26" s="46" t="s">
        <v>71</v>
      </c>
      <c r="I26" s="56" t="s">
        <v>49</v>
      </c>
      <c r="J26" s="43">
        <v>45727</v>
      </c>
      <c r="K26" s="47">
        <v>4</v>
      </c>
      <c r="L26" s="49">
        <f t="shared" si="0"/>
        <v>4</v>
      </c>
      <c r="M26" s="48">
        <f t="shared" si="2"/>
        <v>6600</v>
      </c>
      <c r="N26" s="48">
        <v>1650</v>
      </c>
      <c r="O26" s="50">
        <v>9</v>
      </c>
      <c r="P26" s="50">
        <v>9</v>
      </c>
      <c r="Q26" s="51">
        <f t="shared" si="1"/>
        <v>7788</v>
      </c>
      <c r="R26" s="48"/>
      <c r="S26" s="24" t="s">
        <v>50</v>
      </c>
      <c r="T26" s="43">
        <v>45740</v>
      </c>
      <c r="U26" s="43" t="s">
        <v>51</v>
      </c>
      <c r="V26" s="46" t="s">
        <v>33</v>
      </c>
      <c r="W26" s="53" t="s">
        <v>52</v>
      </c>
    </row>
    <row r="27" spans="1:23" s="27" customFormat="1" ht="34.950000000000003" customHeight="1" x14ac:dyDescent="0.25">
      <c r="A27" s="12">
        <f>SUBTOTAL(3,$B$2:B27)</f>
        <v>26</v>
      </c>
      <c r="B27" s="42">
        <v>7</v>
      </c>
      <c r="C27" s="43">
        <v>45740</v>
      </c>
      <c r="D27" s="42">
        <v>82601240005</v>
      </c>
      <c r="E27" s="44">
        <v>46046</v>
      </c>
      <c r="F27" s="45" t="s">
        <v>47</v>
      </c>
      <c r="G27" s="52" t="s">
        <v>72</v>
      </c>
      <c r="H27" s="46" t="s">
        <v>23</v>
      </c>
      <c r="I27" s="56" t="s">
        <v>49</v>
      </c>
      <c r="J27" s="43">
        <v>45727</v>
      </c>
      <c r="K27" s="59">
        <v>1000</v>
      </c>
      <c r="L27" s="49">
        <f t="shared" si="0"/>
        <v>1000</v>
      </c>
      <c r="M27" s="48">
        <f t="shared" si="2"/>
        <v>78540</v>
      </c>
      <c r="N27" s="48">
        <v>78.540000000000006</v>
      </c>
      <c r="O27" s="50">
        <v>9</v>
      </c>
      <c r="P27" s="50">
        <v>9</v>
      </c>
      <c r="Q27" s="51">
        <f t="shared" si="1"/>
        <v>92677.2</v>
      </c>
      <c r="R27" s="48"/>
      <c r="S27" s="24" t="s">
        <v>50</v>
      </c>
      <c r="T27" s="43">
        <v>45740</v>
      </c>
      <c r="U27" s="43" t="s">
        <v>51</v>
      </c>
      <c r="V27" s="46" t="s">
        <v>33</v>
      </c>
      <c r="W27" s="53" t="s">
        <v>52</v>
      </c>
    </row>
    <row r="28" spans="1:23" s="27" customFormat="1" ht="34.950000000000003" customHeight="1" x14ac:dyDescent="0.25">
      <c r="A28" s="12">
        <f>SUBTOTAL(3,$B$2:B28)</f>
        <v>27</v>
      </c>
      <c r="B28" s="42">
        <v>7</v>
      </c>
      <c r="C28" s="43">
        <v>45740</v>
      </c>
      <c r="D28" s="42">
        <v>82601240005</v>
      </c>
      <c r="E28" s="44">
        <v>46046</v>
      </c>
      <c r="F28" s="45" t="s">
        <v>47</v>
      </c>
      <c r="G28" s="52" t="s">
        <v>73</v>
      </c>
      <c r="H28" s="57" t="s">
        <v>23</v>
      </c>
      <c r="I28" s="56" t="s">
        <v>49</v>
      </c>
      <c r="J28" s="43">
        <v>45727</v>
      </c>
      <c r="K28" s="47">
        <v>500</v>
      </c>
      <c r="L28" s="49">
        <f t="shared" si="0"/>
        <v>500</v>
      </c>
      <c r="M28" s="48">
        <f t="shared" si="2"/>
        <v>60480</v>
      </c>
      <c r="N28" s="48">
        <v>120.96</v>
      </c>
      <c r="O28" s="50">
        <v>9</v>
      </c>
      <c r="P28" s="50">
        <v>9</v>
      </c>
      <c r="Q28" s="51">
        <f t="shared" si="1"/>
        <v>71366.399999999994</v>
      </c>
      <c r="R28" s="48"/>
      <c r="S28" s="24" t="s">
        <v>50</v>
      </c>
      <c r="T28" s="43">
        <v>45740</v>
      </c>
      <c r="U28" s="43" t="s">
        <v>51</v>
      </c>
      <c r="V28" s="46" t="s">
        <v>33</v>
      </c>
      <c r="W28" s="54" t="s">
        <v>52</v>
      </c>
    </row>
    <row r="29" spans="1:23" s="27" customFormat="1" ht="34.950000000000003" customHeight="1" x14ac:dyDescent="0.25">
      <c r="A29" s="12">
        <f>SUBTOTAL(3,$B$2:B29)</f>
        <v>28</v>
      </c>
      <c r="B29" s="42">
        <v>7</v>
      </c>
      <c r="C29" s="43">
        <v>45740</v>
      </c>
      <c r="D29" s="42">
        <v>82601240005</v>
      </c>
      <c r="E29" s="44">
        <v>46046</v>
      </c>
      <c r="F29" s="45" t="s">
        <v>47</v>
      </c>
      <c r="G29" s="52" t="s">
        <v>74</v>
      </c>
      <c r="H29" s="57" t="s">
        <v>16</v>
      </c>
      <c r="I29" s="56" t="s">
        <v>49</v>
      </c>
      <c r="J29" s="43">
        <v>45727</v>
      </c>
      <c r="K29" s="47">
        <v>20</v>
      </c>
      <c r="L29" s="49">
        <f t="shared" si="0"/>
        <v>20</v>
      </c>
      <c r="M29" s="48">
        <f t="shared" si="2"/>
        <v>3200</v>
      </c>
      <c r="N29" s="48">
        <v>160</v>
      </c>
      <c r="O29" s="50">
        <v>9</v>
      </c>
      <c r="P29" s="50">
        <v>9</v>
      </c>
      <c r="Q29" s="51">
        <f t="shared" si="1"/>
        <v>3776</v>
      </c>
      <c r="R29" s="48"/>
      <c r="S29" s="24" t="s">
        <v>50</v>
      </c>
      <c r="T29" s="43">
        <v>45740</v>
      </c>
      <c r="U29" s="43" t="s">
        <v>51</v>
      </c>
      <c r="V29" s="46" t="s">
        <v>33</v>
      </c>
      <c r="W29" s="54" t="s">
        <v>52</v>
      </c>
    </row>
    <row r="30" spans="1:23" s="27" customFormat="1" ht="34.950000000000003" customHeight="1" x14ac:dyDescent="0.25">
      <c r="A30" s="12">
        <f>SUBTOTAL(3,$B$2:B30)</f>
        <v>29</v>
      </c>
      <c r="B30" s="42">
        <v>7</v>
      </c>
      <c r="C30" s="43">
        <v>45740</v>
      </c>
      <c r="D30" s="42">
        <v>82601240005</v>
      </c>
      <c r="E30" s="44">
        <v>46046</v>
      </c>
      <c r="F30" s="45" t="s">
        <v>47</v>
      </c>
      <c r="G30" s="52" t="s">
        <v>75</v>
      </c>
      <c r="H30" s="57" t="s">
        <v>16</v>
      </c>
      <c r="I30" s="56" t="s">
        <v>49</v>
      </c>
      <c r="J30" s="43">
        <v>45727</v>
      </c>
      <c r="K30" s="47">
        <v>6</v>
      </c>
      <c r="L30" s="49">
        <f t="shared" si="0"/>
        <v>6</v>
      </c>
      <c r="M30" s="48">
        <f t="shared" si="2"/>
        <v>9000</v>
      </c>
      <c r="N30" s="48">
        <v>1500</v>
      </c>
      <c r="O30" s="50">
        <v>9</v>
      </c>
      <c r="P30" s="50">
        <v>9</v>
      </c>
      <c r="Q30" s="51">
        <f t="shared" si="1"/>
        <v>10620</v>
      </c>
      <c r="R30" s="48"/>
      <c r="S30" s="24" t="s">
        <v>50</v>
      </c>
      <c r="T30" s="43">
        <v>45740</v>
      </c>
      <c r="U30" s="43" t="s">
        <v>51</v>
      </c>
      <c r="V30" s="46" t="s">
        <v>33</v>
      </c>
      <c r="W30" s="54" t="s">
        <v>52</v>
      </c>
    </row>
    <row r="31" spans="1:23" s="27" customFormat="1" ht="34.950000000000003" customHeight="1" x14ac:dyDescent="0.25">
      <c r="A31" s="12">
        <f>SUBTOTAL(3,$B$2:B31)</f>
        <v>30</v>
      </c>
      <c r="B31" s="42">
        <v>7</v>
      </c>
      <c r="C31" s="43">
        <v>45740</v>
      </c>
      <c r="D31" s="42">
        <v>82601240005</v>
      </c>
      <c r="E31" s="44">
        <v>46046</v>
      </c>
      <c r="F31" s="45" t="s">
        <v>47</v>
      </c>
      <c r="G31" s="52" t="s">
        <v>76</v>
      </c>
      <c r="H31" s="46" t="s">
        <v>16</v>
      </c>
      <c r="I31" s="56" t="s">
        <v>49</v>
      </c>
      <c r="J31" s="43">
        <v>45727</v>
      </c>
      <c r="K31" s="59">
        <v>2</v>
      </c>
      <c r="L31" s="49">
        <f t="shared" si="0"/>
        <v>2</v>
      </c>
      <c r="M31" s="48">
        <f t="shared" si="2"/>
        <v>4000</v>
      </c>
      <c r="N31" s="48">
        <v>2000</v>
      </c>
      <c r="O31" s="50">
        <v>9</v>
      </c>
      <c r="P31" s="50">
        <v>9</v>
      </c>
      <c r="Q31" s="51">
        <f t="shared" si="1"/>
        <v>4720</v>
      </c>
      <c r="R31" s="48"/>
      <c r="S31" s="24" t="s">
        <v>50</v>
      </c>
      <c r="T31" s="43">
        <v>45740</v>
      </c>
      <c r="U31" s="43" t="s">
        <v>51</v>
      </c>
      <c r="V31" s="46" t="s">
        <v>33</v>
      </c>
      <c r="W31" s="54" t="s">
        <v>52</v>
      </c>
    </row>
    <row r="32" spans="1:23" s="27" customFormat="1" ht="34.950000000000003" customHeight="1" x14ac:dyDescent="0.25">
      <c r="A32" s="12">
        <f>SUBTOTAL(3,$B$2:B32)</f>
        <v>31</v>
      </c>
      <c r="B32" s="42">
        <v>7</v>
      </c>
      <c r="C32" s="43">
        <v>45740</v>
      </c>
      <c r="D32" s="42">
        <v>82601240005</v>
      </c>
      <c r="E32" s="44">
        <v>46046</v>
      </c>
      <c r="F32" s="45" t="s">
        <v>47</v>
      </c>
      <c r="G32" s="52" t="s">
        <v>76</v>
      </c>
      <c r="H32" s="46" t="s">
        <v>16</v>
      </c>
      <c r="I32" s="56" t="s">
        <v>49</v>
      </c>
      <c r="J32" s="43">
        <v>45727</v>
      </c>
      <c r="K32" s="59">
        <v>2</v>
      </c>
      <c r="L32" s="49">
        <f t="shared" si="0"/>
        <v>2</v>
      </c>
      <c r="M32" s="48">
        <f t="shared" si="2"/>
        <v>4000</v>
      </c>
      <c r="N32" s="48">
        <v>2000</v>
      </c>
      <c r="O32" s="50">
        <v>9</v>
      </c>
      <c r="P32" s="50">
        <v>9</v>
      </c>
      <c r="Q32" s="51">
        <f t="shared" si="1"/>
        <v>4720</v>
      </c>
      <c r="R32" s="48"/>
      <c r="S32" s="24" t="s">
        <v>50</v>
      </c>
      <c r="T32" s="43">
        <v>45740</v>
      </c>
      <c r="U32" s="43" t="s">
        <v>51</v>
      </c>
      <c r="V32" s="46" t="s">
        <v>33</v>
      </c>
      <c r="W32" s="54" t="s">
        <v>52</v>
      </c>
    </row>
    <row r="33" spans="1:23" s="27" customFormat="1" ht="34.950000000000003" customHeight="1" x14ac:dyDescent="0.25">
      <c r="A33" s="12">
        <f>SUBTOTAL(3,$B$2:B33)</f>
        <v>32</v>
      </c>
      <c r="B33" s="42">
        <v>7</v>
      </c>
      <c r="C33" s="43">
        <v>45740</v>
      </c>
      <c r="D33" s="42">
        <v>82601240005</v>
      </c>
      <c r="E33" s="44">
        <v>46046</v>
      </c>
      <c r="F33" s="45" t="s">
        <v>47</v>
      </c>
      <c r="G33" s="52" t="s">
        <v>77</v>
      </c>
      <c r="H33" s="46" t="s">
        <v>16</v>
      </c>
      <c r="I33" s="56" t="s">
        <v>49</v>
      </c>
      <c r="J33" s="43">
        <v>45727</v>
      </c>
      <c r="K33" s="59">
        <v>2</v>
      </c>
      <c r="L33" s="49">
        <f t="shared" si="0"/>
        <v>2</v>
      </c>
      <c r="M33" s="48">
        <f t="shared" si="2"/>
        <v>60000</v>
      </c>
      <c r="N33" s="48">
        <v>30000</v>
      </c>
      <c r="O33" s="50">
        <v>9</v>
      </c>
      <c r="P33" s="50">
        <v>9</v>
      </c>
      <c r="Q33" s="51">
        <f t="shared" si="1"/>
        <v>70800</v>
      </c>
      <c r="R33" s="48"/>
      <c r="S33" s="24" t="s">
        <v>50</v>
      </c>
      <c r="T33" s="43">
        <v>45740</v>
      </c>
      <c r="U33" s="43" t="s">
        <v>51</v>
      </c>
      <c r="V33" s="46" t="s">
        <v>33</v>
      </c>
      <c r="W33" s="54" t="s">
        <v>52</v>
      </c>
    </row>
    <row r="34" spans="1:23" s="27" customFormat="1" ht="34.950000000000003" customHeight="1" x14ac:dyDescent="0.25">
      <c r="A34" s="12">
        <f>SUBTOTAL(3,$B$2:B34)</f>
        <v>33</v>
      </c>
      <c r="B34" s="42">
        <v>7</v>
      </c>
      <c r="C34" s="43">
        <v>45740</v>
      </c>
      <c r="D34" s="42">
        <v>82601240005</v>
      </c>
      <c r="E34" s="44">
        <v>46046</v>
      </c>
      <c r="F34" s="45" t="s">
        <v>47</v>
      </c>
      <c r="G34" s="52" t="s">
        <v>78</v>
      </c>
      <c r="H34" s="57" t="s">
        <v>16</v>
      </c>
      <c r="I34" s="56" t="s">
        <v>49</v>
      </c>
      <c r="J34" s="43">
        <v>45727</v>
      </c>
      <c r="K34" s="59">
        <v>30</v>
      </c>
      <c r="L34" s="49">
        <f t="shared" si="0"/>
        <v>30</v>
      </c>
      <c r="M34" s="48">
        <f t="shared" si="2"/>
        <v>72000</v>
      </c>
      <c r="N34" s="48">
        <v>2400</v>
      </c>
      <c r="O34" s="50">
        <v>9</v>
      </c>
      <c r="P34" s="50">
        <v>9</v>
      </c>
      <c r="Q34" s="51">
        <f t="shared" si="1"/>
        <v>84960</v>
      </c>
      <c r="R34" s="48"/>
      <c r="S34" s="24" t="s">
        <v>50</v>
      </c>
      <c r="T34" s="43">
        <v>45740</v>
      </c>
      <c r="U34" s="43" t="s">
        <v>51</v>
      </c>
      <c r="V34" s="46" t="s">
        <v>33</v>
      </c>
      <c r="W34" s="53" t="s">
        <v>52</v>
      </c>
    </row>
    <row r="35" spans="1:23" s="27" customFormat="1" ht="34.950000000000003" customHeight="1" x14ac:dyDescent="0.25">
      <c r="A35" s="12">
        <f>SUBTOTAL(3,$B$2:B35)</f>
        <v>34</v>
      </c>
      <c r="B35" s="42">
        <v>7</v>
      </c>
      <c r="C35" s="43">
        <v>45740</v>
      </c>
      <c r="D35" s="42">
        <v>82601240005</v>
      </c>
      <c r="E35" s="44">
        <v>46046</v>
      </c>
      <c r="F35" s="45" t="s">
        <v>47</v>
      </c>
      <c r="G35" s="52" t="s">
        <v>79</v>
      </c>
      <c r="H35" s="46" t="s">
        <v>16</v>
      </c>
      <c r="I35" s="56" t="s">
        <v>49</v>
      </c>
      <c r="J35" s="43">
        <v>45727</v>
      </c>
      <c r="K35" s="59">
        <v>2</v>
      </c>
      <c r="L35" s="49">
        <f t="shared" si="0"/>
        <v>2</v>
      </c>
      <c r="M35" s="48">
        <f t="shared" si="2"/>
        <v>2400</v>
      </c>
      <c r="N35" s="48">
        <v>1200</v>
      </c>
      <c r="O35" s="50">
        <v>9</v>
      </c>
      <c r="P35" s="50">
        <v>9</v>
      </c>
      <c r="Q35" s="51">
        <f t="shared" si="1"/>
        <v>2832</v>
      </c>
      <c r="R35" s="48"/>
      <c r="S35" s="24" t="s">
        <v>50</v>
      </c>
      <c r="T35" s="43">
        <v>45740</v>
      </c>
      <c r="U35" s="43" t="s">
        <v>51</v>
      </c>
      <c r="V35" s="46" t="s">
        <v>33</v>
      </c>
      <c r="W35" s="54" t="s">
        <v>52</v>
      </c>
    </row>
    <row r="36" spans="1:23" s="27" customFormat="1" ht="34.950000000000003" customHeight="1" x14ac:dyDescent="0.25">
      <c r="A36" s="12">
        <f>SUBTOTAL(3,$B$2:B36)</f>
        <v>35</v>
      </c>
      <c r="B36" s="42">
        <v>8</v>
      </c>
      <c r="C36" s="43">
        <v>45740</v>
      </c>
      <c r="D36" s="42">
        <v>82512150005</v>
      </c>
      <c r="E36" s="44">
        <v>46006</v>
      </c>
      <c r="F36" s="45" t="s">
        <v>47</v>
      </c>
      <c r="G36" s="52" t="s">
        <v>80</v>
      </c>
      <c r="H36" s="46" t="s">
        <v>16</v>
      </c>
      <c r="I36" s="56" t="s">
        <v>49</v>
      </c>
      <c r="J36" s="43">
        <v>45727</v>
      </c>
      <c r="K36" s="59">
        <v>2</v>
      </c>
      <c r="L36" s="49">
        <f t="shared" si="0"/>
        <v>2</v>
      </c>
      <c r="M36" s="48">
        <f t="shared" si="2"/>
        <v>1400</v>
      </c>
      <c r="N36" s="48">
        <v>700</v>
      </c>
      <c r="O36" s="50">
        <v>9</v>
      </c>
      <c r="P36" s="50">
        <v>9</v>
      </c>
      <c r="Q36" s="51">
        <f t="shared" si="1"/>
        <v>1652</v>
      </c>
      <c r="R36" s="48"/>
      <c r="S36" s="24" t="s">
        <v>81</v>
      </c>
      <c r="T36" s="43">
        <v>45740</v>
      </c>
      <c r="U36" s="43" t="s">
        <v>51</v>
      </c>
      <c r="V36" s="46" t="s">
        <v>33</v>
      </c>
      <c r="W36" s="53" t="s">
        <v>52</v>
      </c>
    </row>
    <row r="37" spans="1:23" s="27" customFormat="1" ht="34.950000000000003" customHeight="1" x14ac:dyDescent="0.25">
      <c r="A37" s="12">
        <f>SUBTOTAL(3,$B$2:B37)</f>
        <v>36</v>
      </c>
      <c r="B37" s="42">
        <v>8</v>
      </c>
      <c r="C37" s="43">
        <v>45740</v>
      </c>
      <c r="D37" s="42">
        <v>82512150005</v>
      </c>
      <c r="E37" s="44">
        <v>46006</v>
      </c>
      <c r="F37" s="45" t="s">
        <v>47</v>
      </c>
      <c r="G37" s="52" t="s">
        <v>82</v>
      </c>
      <c r="H37" s="46" t="s">
        <v>16</v>
      </c>
      <c r="I37" s="56" t="s">
        <v>49</v>
      </c>
      <c r="J37" s="43">
        <v>45727</v>
      </c>
      <c r="K37" s="59">
        <v>20</v>
      </c>
      <c r="L37" s="49">
        <f t="shared" si="0"/>
        <v>20</v>
      </c>
      <c r="M37" s="48">
        <f t="shared" si="2"/>
        <v>25000</v>
      </c>
      <c r="N37" s="48">
        <v>1250</v>
      </c>
      <c r="O37" s="50">
        <v>9</v>
      </c>
      <c r="P37" s="50">
        <v>9</v>
      </c>
      <c r="Q37" s="51">
        <f t="shared" si="1"/>
        <v>29500</v>
      </c>
      <c r="R37" s="48"/>
      <c r="S37" s="24" t="s">
        <v>81</v>
      </c>
      <c r="T37" s="43">
        <v>45740</v>
      </c>
      <c r="U37" s="43" t="s">
        <v>51</v>
      </c>
      <c r="V37" s="46" t="s">
        <v>33</v>
      </c>
      <c r="W37" s="54" t="s">
        <v>52</v>
      </c>
    </row>
    <row r="38" spans="1:23" s="27" customFormat="1" ht="34.950000000000003" customHeight="1" x14ac:dyDescent="0.25">
      <c r="A38" s="12">
        <f>SUBTOTAL(3,$B$2:B38)</f>
        <v>37</v>
      </c>
      <c r="B38" s="42">
        <v>9</v>
      </c>
      <c r="C38" s="43">
        <v>45742</v>
      </c>
      <c r="D38" s="42">
        <v>82507300005</v>
      </c>
      <c r="E38" s="44">
        <v>45868</v>
      </c>
      <c r="F38" s="45" t="s">
        <v>27</v>
      </c>
      <c r="G38" s="52" t="s">
        <v>83</v>
      </c>
      <c r="H38" s="57" t="s">
        <v>29</v>
      </c>
      <c r="I38" s="12" t="s">
        <v>30</v>
      </c>
      <c r="J38" s="43">
        <v>45735</v>
      </c>
      <c r="K38" s="59">
        <v>4.08</v>
      </c>
      <c r="L38" s="49">
        <f t="shared" si="0"/>
        <v>4.08</v>
      </c>
      <c r="M38" s="48">
        <f t="shared" si="2"/>
        <v>236640</v>
      </c>
      <c r="N38" s="48">
        <v>58000</v>
      </c>
      <c r="O38" s="50">
        <v>9</v>
      </c>
      <c r="P38" s="50">
        <v>9</v>
      </c>
      <c r="Q38" s="51">
        <f t="shared" si="1"/>
        <v>279235.20000000001</v>
      </c>
      <c r="R38" s="48"/>
      <c r="S38" s="24" t="s">
        <v>84</v>
      </c>
      <c r="T38" s="43">
        <v>45741</v>
      </c>
      <c r="U38" s="43" t="s">
        <v>85</v>
      </c>
      <c r="V38" s="46" t="s">
        <v>33</v>
      </c>
      <c r="W38" s="54" t="s">
        <v>34</v>
      </c>
    </row>
    <row r="39" spans="1:23" s="27" customFormat="1" ht="34.950000000000003" customHeight="1" x14ac:dyDescent="0.25">
      <c r="A39" s="12">
        <f>SUBTOTAL(3,$B$2:B39)</f>
        <v>38</v>
      </c>
      <c r="B39" s="42">
        <v>9</v>
      </c>
      <c r="C39" s="43">
        <v>45742</v>
      </c>
      <c r="D39" s="42">
        <v>82507300005</v>
      </c>
      <c r="E39" s="44">
        <v>45868</v>
      </c>
      <c r="F39" s="45" t="s">
        <v>27</v>
      </c>
      <c r="G39" s="52" t="s">
        <v>86</v>
      </c>
      <c r="H39" s="46" t="s">
        <v>29</v>
      </c>
      <c r="I39" s="12" t="s">
        <v>30</v>
      </c>
      <c r="J39" s="43">
        <v>45735</v>
      </c>
      <c r="K39" s="59">
        <v>4.1399999999999997</v>
      </c>
      <c r="L39" s="49">
        <f t="shared" si="0"/>
        <v>4.1399999999999997</v>
      </c>
      <c r="M39" s="48">
        <f t="shared" si="2"/>
        <v>233909.99999999997</v>
      </c>
      <c r="N39" s="48">
        <v>56500</v>
      </c>
      <c r="O39" s="50">
        <v>9</v>
      </c>
      <c r="P39" s="50">
        <v>9</v>
      </c>
      <c r="Q39" s="51">
        <f t="shared" si="1"/>
        <v>276013.79999999993</v>
      </c>
      <c r="R39" s="48"/>
      <c r="S39" s="24" t="s">
        <v>84</v>
      </c>
      <c r="T39" s="43">
        <v>45741</v>
      </c>
      <c r="U39" s="43" t="s">
        <v>85</v>
      </c>
      <c r="V39" s="46" t="s">
        <v>33</v>
      </c>
      <c r="W39" s="54" t="s">
        <v>34</v>
      </c>
    </row>
    <row r="40" spans="1:23" s="27" customFormat="1" ht="34.950000000000003" customHeight="1" x14ac:dyDescent="0.25">
      <c r="A40" s="12">
        <f>SUBTOTAL(3,$B$2:B40)</f>
        <v>39</v>
      </c>
      <c r="B40" s="42">
        <v>9</v>
      </c>
      <c r="C40" s="43">
        <v>45742</v>
      </c>
      <c r="D40" s="42">
        <v>82507300005</v>
      </c>
      <c r="E40" s="44">
        <v>45868</v>
      </c>
      <c r="F40" s="45" t="s">
        <v>27</v>
      </c>
      <c r="G40" s="52" t="s">
        <v>87</v>
      </c>
      <c r="H40" s="46" t="s">
        <v>29</v>
      </c>
      <c r="I40" s="12" t="s">
        <v>30</v>
      </c>
      <c r="J40" s="43">
        <v>45735</v>
      </c>
      <c r="K40" s="59">
        <v>3.67</v>
      </c>
      <c r="L40" s="49">
        <f t="shared" si="0"/>
        <v>3.67</v>
      </c>
      <c r="M40" s="48">
        <f t="shared" si="2"/>
        <v>203685</v>
      </c>
      <c r="N40" s="48">
        <v>55500</v>
      </c>
      <c r="O40" s="50">
        <v>9</v>
      </c>
      <c r="P40" s="50">
        <v>9</v>
      </c>
      <c r="Q40" s="51">
        <f t="shared" si="1"/>
        <v>240348.3</v>
      </c>
      <c r="R40" s="48"/>
      <c r="S40" s="24" t="s">
        <v>84</v>
      </c>
      <c r="T40" s="43">
        <v>45741</v>
      </c>
      <c r="U40" s="43" t="s">
        <v>85</v>
      </c>
      <c r="V40" s="46" t="s">
        <v>33</v>
      </c>
      <c r="W40" s="54" t="s">
        <v>34</v>
      </c>
    </row>
    <row r="41" spans="1:23" s="27" customFormat="1" ht="34.950000000000003" customHeight="1" x14ac:dyDescent="0.25">
      <c r="A41" s="12">
        <f>SUBTOTAL(3,$B$2:B41)</f>
        <v>40</v>
      </c>
      <c r="B41" s="42">
        <v>9</v>
      </c>
      <c r="C41" s="43">
        <v>45742</v>
      </c>
      <c r="D41" s="42">
        <v>82507300005</v>
      </c>
      <c r="E41" s="44">
        <v>45868</v>
      </c>
      <c r="F41" s="45" t="s">
        <v>27</v>
      </c>
      <c r="G41" s="52" t="s">
        <v>88</v>
      </c>
      <c r="H41" s="46" t="s">
        <v>29</v>
      </c>
      <c r="I41" s="12" t="s">
        <v>30</v>
      </c>
      <c r="J41" s="43">
        <v>45735</v>
      </c>
      <c r="K41" s="59">
        <v>28.31</v>
      </c>
      <c r="L41" s="49">
        <f t="shared" si="0"/>
        <v>28.31</v>
      </c>
      <c r="M41" s="48">
        <f t="shared" si="2"/>
        <v>1571205</v>
      </c>
      <c r="N41" s="48">
        <v>55500</v>
      </c>
      <c r="O41" s="50">
        <v>9</v>
      </c>
      <c r="P41" s="50">
        <v>9</v>
      </c>
      <c r="Q41" s="51">
        <f t="shared" si="1"/>
        <v>1854021.9</v>
      </c>
      <c r="R41" s="48"/>
      <c r="S41" s="24" t="s">
        <v>84</v>
      </c>
      <c r="T41" s="43">
        <v>45741</v>
      </c>
      <c r="U41" s="43" t="s">
        <v>85</v>
      </c>
      <c r="V41" s="46" t="s">
        <v>33</v>
      </c>
      <c r="W41" s="54" t="s">
        <v>34</v>
      </c>
    </row>
    <row r="42" spans="1:23" s="27" customFormat="1" ht="34.950000000000003" customHeight="1" x14ac:dyDescent="0.25">
      <c r="A42" s="12">
        <f>SUBTOTAL(3,$B$2:B42)</f>
        <v>41</v>
      </c>
      <c r="B42" s="13">
        <v>10</v>
      </c>
      <c r="C42" s="14">
        <v>45744</v>
      </c>
      <c r="D42" s="13"/>
      <c r="E42" s="14">
        <v>0</v>
      </c>
      <c r="F42" s="15" t="s">
        <v>89</v>
      </c>
      <c r="G42" s="25" t="s">
        <v>61</v>
      </c>
      <c r="H42" s="16" t="s">
        <v>16</v>
      </c>
      <c r="I42" s="17"/>
      <c r="J42" s="14"/>
      <c r="K42" s="60">
        <v>10</v>
      </c>
      <c r="L42" s="21">
        <f t="shared" si="0"/>
        <v>10</v>
      </c>
      <c r="M42" s="20">
        <f t="shared" si="2"/>
        <v>180</v>
      </c>
      <c r="N42" s="20">
        <v>18</v>
      </c>
      <c r="O42" s="22">
        <v>0</v>
      </c>
      <c r="P42" s="22">
        <v>0</v>
      </c>
      <c r="Q42" s="23">
        <f t="shared" si="1"/>
        <v>180</v>
      </c>
      <c r="R42" s="20"/>
      <c r="S42" s="18" t="s">
        <v>90</v>
      </c>
      <c r="T42" s="14">
        <v>45744</v>
      </c>
      <c r="U42" s="14" t="s">
        <v>91</v>
      </c>
      <c r="V42" s="16" t="s">
        <v>18</v>
      </c>
      <c r="W42" s="61" t="s">
        <v>52</v>
      </c>
    </row>
    <row r="43" spans="1:23" s="27" customFormat="1" ht="34.950000000000003" customHeight="1" x14ac:dyDescent="0.25">
      <c r="A43" s="12">
        <f>SUBTOTAL(3,$B$2:B43)</f>
        <v>42</v>
      </c>
      <c r="B43" s="42">
        <v>11</v>
      </c>
      <c r="C43" s="43">
        <v>45744</v>
      </c>
      <c r="D43" s="42"/>
      <c r="E43" s="43">
        <v>0</v>
      </c>
      <c r="F43" s="45" t="s">
        <v>92</v>
      </c>
      <c r="G43" s="52" t="s">
        <v>93</v>
      </c>
      <c r="H43" s="46" t="s">
        <v>94</v>
      </c>
      <c r="I43" s="12"/>
      <c r="J43" s="43"/>
      <c r="K43" s="59">
        <v>3980</v>
      </c>
      <c r="L43" s="62">
        <f t="shared" si="0"/>
        <v>3980</v>
      </c>
      <c r="M43" s="48">
        <f t="shared" si="2"/>
        <v>199000</v>
      </c>
      <c r="N43" s="48">
        <v>50</v>
      </c>
      <c r="O43" s="50">
        <v>0</v>
      </c>
      <c r="P43" s="50">
        <v>0</v>
      </c>
      <c r="Q43" s="51">
        <f t="shared" si="1"/>
        <v>199000</v>
      </c>
      <c r="R43" s="48"/>
      <c r="S43" s="24">
        <v>32503280739</v>
      </c>
      <c r="T43" s="43"/>
      <c r="U43" s="43" t="s">
        <v>95</v>
      </c>
      <c r="V43" s="46" t="s">
        <v>25</v>
      </c>
      <c r="W43" s="54"/>
    </row>
    <row r="44" spans="1:23" s="27" customFormat="1" ht="34.950000000000003" customHeight="1" x14ac:dyDescent="0.25">
      <c r="A44" s="12">
        <f>SUBTOTAL(3,$B$2:B44)</f>
        <v>43</v>
      </c>
      <c r="B44" s="42">
        <v>12</v>
      </c>
      <c r="C44" s="43">
        <v>45745</v>
      </c>
      <c r="D44" s="42">
        <v>82507300008</v>
      </c>
      <c r="E44" s="43">
        <v>45868</v>
      </c>
      <c r="F44" s="45" t="s">
        <v>35</v>
      </c>
      <c r="G44" s="52" t="s">
        <v>36</v>
      </c>
      <c r="H44" s="57" t="s">
        <v>37</v>
      </c>
      <c r="I44" s="12" t="s">
        <v>38</v>
      </c>
      <c r="J44" s="43">
        <v>45733</v>
      </c>
      <c r="K44" s="63">
        <v>7</v>
      </c>
      <c r="L44" s="49">
        <f t="shared" si="0"/>
        <v>7</v>
      </c>
      <c r="M44" s="48">
        <f t="shared" si="2"/>
        <v>22542.309999999998</v>
      </c>
      <c r="N44" s="48">
        <v>3220.33</v>
      </c>
      <c r="O44" s="50">
        <v>9</v>
      </c>
      <c r="P44" s="50">
        <v>9</v>
      </c>
      <c r="Q44" s="51">
        <f t="shared" si="1"/>
        <v>26599.925799999997</v>
      </c>
      <c r="R44" s="48"/>
      <c r="S44" s="24" t="s">
        <v>96</v>
      </c>
      <c r="T44" s="43">
        <v>45745</v>
      </c>
      <c r="U44" s="43" t="s">
        <v>97</v>
      </c>
      <c r="V44" s="46" t="s">
        <v>33</v>
      </c>
      <c r="W44" s="54" t="s">
        <v>34</v>
      </c>
    </row>
    <row r="45" spans="1:23" ht="34.950000000000003" customHeight="1" x14ac:dyDescent="0.25">
      <c r="A45" s="12">
        <f>SUBTOTAL(3,$B$2:B45)</f>
        <v>44</v>
      </c>
      <c r="B45" s="42">
        <v>13</v>
      </c>
      <c r="C45" s="43">
        <v>45745</v>
      </c>
      <c r="D45" s="42">
        <v>82507300009</v>
      </c>
      <c r="E45" s="43">
        <v>45868</v>
      </c>
      <c r="F45" s="45" t="s">
        <v>35</v>
      </c>
      <c r="G45" s="52" t="s">
        <v>36</v>
      </c>
      <c r="H45" s="46" t="s">
        <v>37</v>
      </c>
      <c r="I45" s="12" t="s">
        <v>38</v>
      </c>
      <c r="J45" s="43">
        <v>45733</v>
      </c>
      <c r="K45" s="63">
        <v>7</v>
      </c>
      <c r="L45" s="49">
        <f t="shared" si="0"/>
        <v>7</v>
      </c>
      <c r="M45" s="48">
        <f t="shared" si="2"/>
        <v>22542.309999999998</v>
      </c>
      <c r="N45" s="48">
        <v>3220.33</v>
      </c>
      <c r="O45" s="50">
        <v>9</v>
      </c>
      <c r="P45" s="50">
        <v>9</v>
      </c>
      <c r="Q45" s="51">
        <f t="shared" si="1"/>
        <v>26599.925799999997</v>
      </c>
      <c r="R45" s="48"/>
      <c r="S45" s="24" t="s">
        <v>98</v>
      </c>
      <c r="T45" s="43">
        <v>45745</v>
      </c>
      <c r="U45" s="43" t="s">
        <v>99</v>
      </c>
      <c r="V45" s="46" t="s">
        <v>33</v>
      </c>
      <c r="W45" s="54" t="s">
        <v>34</v>
      </c>
    </row>
    <row r="46" spans="1:23" s="27" customFormat="1" ht="34.950000000000003" customHeight="1" x14ac:dyDescent="0.25">
      <c r="A46" s="12">
        <f>SUBTOTAL(3,$B$2:B46)</f>
        <v>45</v>
      </c>
      <c r="B46" s="42">
        <v>14</v>
      </c>
      <c r="C46" s="43">
        <v>45745</v>
      </c>
      <c r="D46" s="42">
        <v>82507300010</v>
      </c>
      <c r="E46" s="43">
        <v>45868</v>
      </c>
      <c r="F46" s="45" t="s">
        <v>35</v>
      </c>
      <c r="G46" s="52" t="s">
        <v>36</v>
      </c>
      <c r="H46" s="46" t="s">
        <v>37</v>
      </c>
      <c r="I46" s="12" t="s">
        <v>38</v>
      </c>
      <c r="J46" s="43">
        <v>45733</v>
      </c>
      <c r="K46" s="63">
        <v>3</v>
      </c>
      <c r="L46" s="49">
        <f t="shared" si="0"/>
        <v>3</v>
      </c>
      <c r="M46" s="48">
        <f t="shared" si="2"/>
        <v>9660.99</v>
      </c>
      <c r="N46" s="48">
        <v>3220.33</v>
      </c>
      <c r="O46" s="50">
        <v>9</v>
      </c>
      <c r="P46" s="50">
        <v>9</v>
      </c>
      <c r="Q46" s="51">
        <f t="shared" si="1"/>
        <v>11399.968199999999</v>
      </c>
      <c r="R46" s="48"/>
      <c r="S46" s="24" t="s">
        <v>100</v>
      </c>
      <c r="T46" s="43">
        <v>45745</v>
      </c>
      <c r="U46" s="43" t="s">
        <v>101</v>
      </c>
      <c r="V46" s="46" t="s">
        <v>33</v>
      </c>
      <c r="W46" s="54" t="s">
        <v>34</v>
      </c>
    </row>
    <row r="47" spans="1:23" s="27" customFormat="1" ht="34.950000000000003" customHeight="1" x14ac:dyDescent="0.25">
      <c r="A47" s="12">
        <f>SUBTOTAL(3,$B$2:B47)</f>
        <v>46</v>
      </c>
      <c r="B47" s="42">
        <v>15</v>
      </c>
      <c r="C47" s="43">
        <v>45749</v>
      </c>
      <c r="D47" s="42">
        <v>82507300006</v>
      </c>
      <c r="E47" s="43">
        <v>45868</v>
      </c>
      <c r="F47" s="45" t="s">
        <v>27</v>
      </c>
      <c r="G47" s="52" t="s">
        <v>44</v>
      </c>
      <c r="H47" s="46" t="s">
        <v>29</v>
      </c>
      <c r="I47" s="12" t="s">
        <v>30</v>
      </c>
      <c r="J47" s="43">
        <v>45735</v>
      </c>
      <c r="K47" s="59">
        <v>30.51</v>
      </c>
      <c r="L47" s="49">
        <f t="shared" si="0"/>
        <v>30.51</v>
      </c>
      <c r="M47" s="48">
        <f t="shared" si="2"/>
        <v>1693305</v>
      </c>
      <c r="N47" s="48">
        <v>55500</v>
      </c>
      <c r="O47" s="50">
        <v>9</v>
      </c>
      <c r="P47" s="50">
        <v>9</v>
      </c>
      <c r="Q47" s="51">
        <f t="shared" si="1"/>
        <v>1998099.9</v>
      </c>
      <c r="R47" s="48"/>
      <c r="S47" s="24" t="s">
        <v>102</v>
      </c>
      <c r="T47" s="43">
        <v>45747</v>
      </c>
      <c r="U47" s="43" t="s">
        <v>103</v>
      </c>
      <c r="V47" s="46" t="s">
        <v>33</v>
      </c>
      <c r="W47" s="54" t="s">
        <v>34</v>
      </c>
    </row>
    <row r="48" spans="1:23" s="27" customFormat="1" ht="34.950000000000003" customHeight="1" x14ac:dyDescent="0.25">
      <c r="A48" s="12">
        <f>SUBTOTAL(3,$B$2:B48)</f>
        <v>47</v>
      </c>
      <c r="B48" s="42">
        <v>16</v>
      </c>
      <c r="C48" s="43">
        <v>45750</v>
      </c>
      <c r="D48" s="42">
        <v>82507300007</v>
      </c>
      <c r="E48" s="43">
        <v>45868</v>
      </c>
      <c r="F48" s="45" t="s">
        <v>27</v>
      </c>
      <c r="G48" s="52" t="s">
        <v>83</v>
      </c>
      <c r="H48" s="46" t="s">
        <v>29</v>
      </c>
      <c r="I48" s="12" t="s">
        <v>30</v>
      </c>
      <c r="J48" s="43">
        <v>45735</v>
      </c>
      <c r="K48" s="59">
        <v>5.05</v>
      </c>
      <c r="L48" s="49">
        <f t="shared" si="0"/>
        <v>5.05</v>
      </c>
      <c r="M48" s="48">
        <f t="shared" si="2"/>
        <v>292900</v>
      </c>
      <c r="N48" s="48">
        <v>58000</v>
      </c>
      <c r="O48" s="50">
        <v>9</v>
      </c>
      <c r="P48" s="50">
        <v>9</v>
      </c>
      <c r="Q48" s="51">
        <f t="shared" si="1"/>
        <v>345622</v>
      </c>
      <c r="R48" s="48"/>
      <c r="S48" s="24" t="s">
        <v>104</v>
      </c>
      <c r="T48" s="43">
        <v>45748</v>
      </c>
      <c r="U48" s="43" t="s">
        <v>103</v>
      </c>
      <c r="V48" s="46" t="s">
        <v>33</v>
      </c>
      <c r="W48" s="54" t="s">
        <v>34</v>
      </c>
    </row>
    <row r="49" spans="1:23" s="27" customFormat="1" ht="34.950000000000003" customHeight="1" x14ac:dyDescent="0.25">
      <c r="A49" s="12">
        <f>SUBTOTAL(3,$B$2:B49)</f>
        <v>48</v>
      </c>
      <c r="B49" s="42">
        <v>16</v>
      </c>
      <c r="C49" s="43">
        <v>45750</v>
      </c>
      <c r="D49" s="42">
        <v>82507300007</v>
      </c>
      <c r="E49" s="43">
        <v>45868</v>
      </c>
      <c r="F49" s="45" t="s">
        <v>27</v>
      </c>
      <c r="G49" s="52" t="s">
        <v>86</v>
      </c>
      <c r="H49" s="46" t="s">
        <v>29</v>
      </c>
      <c r="I49" s="12" t="s">
        <v>30</v>
      </c>
      <c r="J49" s="43">
        <v>45735</v>
      </c>
      <c r="K49" s="59">
        <v>10.9</v>
      </c>
      <c r="L49" s="49">
        <f t="shared" si="0"/>
        <v>10.9</v>
      </c>
      <c r="M49" s="48">
        <f t="shared" si="2"/>
        <v>615850</v>
      </c>
      <c r="N49" s="48">
        <v>56500</v>
      </c>
      <c r="O49" s="50">
        <v>9</v>
      </c>
      <c r="P49" s="50">
        <v>9</v>
      </c>
      <c r="Q49" s="51">
        <f t="shared" si="1"/>
        <v>726703</v>
      </c>
      <c r="R49" s="48"/>
      <c r="S49" s="24" t="s">
        <v>104</v>
      </c>
      <c r="T49" s="43">
        <v>45748</v>
      </c>
      <c r="U49" s="43" t="s">
        <v>103</v>
      </c>
      <c r="V49" s="46" t="s">
        <v>33</v>
      </c>
      <c r="W49" s="54" t="s">
        <v>34</v>
      </c>
    </row>
    <row r="50" spans="1:23" s="27" customFormat="1" ht="34.950000000000003" customHeight="1" x14ac:dyDescent="0.25">
      <c r="A50" s="12">
        <f>SUBTOTAL(3,$B$2:B50)</f>
        <v>49</v>
      </c>
      <c r="B50" s="42">
        <v>16</v>
      </c>
      <c r="C50" s="43">
        <v>45750</v>
      </c>
      <c r="D50" s="42">
        <v>82507300007</v>
      </c>
      <c r="E50" s="43">
        <v>45868</v>
      </c>
      <c r="F50" s="45" t="s">
        <v>27</v>
      </c>
      <c r="G50" s="52" t="s">
        <v>87</v>
      </c>
      <c r="H50" s="46" t="s">
        <v>29</v>
      </c>
      <c r="I50" s="12" t="s">
        <v>30</v>
      </c>
      <c r="J50" s="43">
        <v>45735</v>
      </c>
      <c r="K50" s="59">
        <v>7.7949999999999999</v>
      </c>
      <c r="L50" s="49">
        <f t="shared" si="0"/>
        <v>7.7949999999999999</v>
      </c>
      <c r="M50" s="48">
        <f t="shared" si="2"/>
        <v>432622.5</v>
      </c>
      <c r="N50" s="48">
        <v>55500</v>
      </c>
      <c r="O50" s="50">
        <v>9</v>
      </c>
      <c r="P50" s="50">
        <v>9</v>
      </c>
      <c r="Q50" s="51">
        <f t="shared" si="1"/>
        <v>510494.55</v>
      </c>
      <c r="R50" s="48"/>
      <c r="S50" s="24" t="s">
        <v>104</v>
      </c>
      <c r="T50" s="43">
        <v>45748</v>
      </c>
      <c r="U50" s="43" t="s">
        <v>103</v>
      </c>
      <c r="V50" s="46" t="s">
        <v>33</v>
      </c>
      <c r="W50" s="54" t="s">
        <v>34</v>
      </c>
    </row>
    <row r="51" spans="1:23" s="27" customFormat="1" ht="34.950000000000003" customHeight="1" x14ac:dyDescent="0.25">
      <c r="A51" s="12">
        <f>SUBTOTAL(3,$B$2:B51)</f>
        <v>50</v>
      </c>
      <c r="B51" s="42">
        <v>16</v>
      </c>
      <c r="C51" s="43">
        <v>45750</v>
      </c>
      <c r="D51" s="42">
        <v>82507300007</v>
      </c>
      <c r="E51" s="43">
        <v>45868</v>
      </c>
      <c r="F51" s="45" t="s">
        <v>27</v>
      </c>
      <c r="G51" s="52" t="s">
        <v>44</v>
      </c>
      <c r="H51" s="46" t="s">
        <v>29</v>
      </c>
      <c r="I51" s="12" t="s">
        <v>30</v>
      </c>
      <c r="J51" s="43">
        <v>45735</v>
      </c>
      <c r="K51" s="59">
        <v>5.01</v>
      </c>
      <c r="L51" s="49">
        <f t="shared" si="0"/>
        <v>5.01</v>
      </c>
      <c r="M51" s="48">
        <f t="shared" si="2"/>
        <v>278055</v>
      </c>
      <c r="N51" s="48">
        <v>55500</v>
      </c>
      <c r="O51" s="50">
        <v>9</v>
      </c>
      <c r="P51" s="50">
        <v>9</v>
      </c>
      <c r="Q51" s="51">
        <f t="shared" si="1"/>
        <v>328104.89999999997</v>
      </c>
      <c r="R51" s="48"/>
      <c r="S51" s="24" t="s">
        <v>104</v>
      </c>
      <c r="T51" s="43">
        <v>45748</v>
      </c>
      <c r="U51" s="43" t="s">
        <v>103</v>
      </c>
      <c r="V51" s="46" t="s">
        <v>33</v>
      </c>
      <c r="W51" s="54" t="s">
        <v>34</v>
      </c>
    </row>
    <row r="52" spans="1:23" s="27" customFormat="1" ht="34.950000000000003" customHeight="1" x14ac:dyDescent="0.25">
      <c r="A52" s="12">
        <f>SUBTOTAL(3,$B$2:B52)</f>
        <v>51</v>
      </c>
      <c r="B52" s="42">
        <v>16</v>
      </c>
      <c r="C52" s="43">
        <v>45750</v>
      </c>
      <c r="D52" s="42">
        <v>82507300007</v>
      </c>
      <c r="E52" s="43">
        <v>45868</v>
      </c>
      <c r="F52" s="45" t="s">
        <v>27</v>
      </c>
      <c r="G52" s="52" t="s">
        <v>41</v>
      </c>
      <c r="H52" s="46" t="s">
        <v>29</v>
      </c>
      <c r="I52" s="12" t="s">
        <v>30</v>
      </c>
      <c r="J52" s="43">
        <v>45735</v>
      </c>
      <c r="K52" s="47">
        <v>10.335000000000001</v>
      </c>
      <c r="L52" s="49">
        <f t="shared" si="0"/>
        <v>10.335000000000001</v>
      </c>
      <c r="M52" s="48">
        <f t="shared" si="2"/>
        <v>573592.5</v>
      </c>
      <c r="N52" s="48">
        <v>55500</v>
      </c>
      <c r="O52" s="50">
        <v>9</v>
      </c>
      <c r="P52" s="50">
        <v>9</v>
      </c>
      <c r="Q52" s="51">
        <f t="shared" si="1"/>
        <v>676839.14999999991</v>
      </c>
      <c r="R52" s="48"/>
      <c r="S52" s="24" t="s">
        <v>104</v>
      </c>
      <c r="T52" s="43">
        <v>45748</v>
      </c>
      <c r="U52" s="43" t="s">
        <v>103</v>
      </c>
      <c r="V52" s="46" t="s">
        <v>33</v>
      </c>
      <c r="W52" s="54" t="s">
        <v>34</v>
      </c>
    </row>
    <row r="53" spans="1:23" s="27" customFormat="1" ht="34.950000000000003" customHeight="1" x14ac:dyDescent="0.25">
      <c r="A53" s="12">
        <f>SUBTOTAL(3,$B$2:B53)</f>
        <v>52</v>
      </c>
      <c r="B53" s="13">
        <v>17</v>
      </c>
      <c r="C53" s="14">
        <v>45750</v>
      </c>
      <c r="D53" s="13"/>
      <c r="E53" s="14">
        <v>0</v>
      </c>
      <c r="F53" s="15" t="s">
        <v>105</v>
      </c>
      <c r="G53" s="25" t="s">
        <v>106</v>
      </c>
      <c r="H53" s="16" t="s">
        <v>16</v>
      </c>
      <c r="I53" s="17"/>
      <c r="J53" s="14"/>
      <c r="K53" s="60">
        <v>2</v>
      </c>
      <c r="L53" s="21">
        <f t="shared" si="0"/>
        <v>2</v>
      </c>
      <c r="M53" s="20">
        <f t="shared" si="2"/>
        <v>3700</v>
      </c>
      <c r="N53" s="20">
        <v>1850</v>
      </c>
      <c r="O53" s="22">
        <v>0</v>
      </c>
      <c r="P53" s="22">
        <v>0</v>
      </c>
      <c r="Q53" s="23">
        <f t="shared" si="1"/>
        <v>3700</v>
      </c>
      <c r="R53" s="20"/>
      <c r="S53" s="18" t="s">
        <v>107</v>
      </c>
      <c r="T53" s="14">
        <v>45750</v>
      </c>
      <c r="U53" s="14" t="s">
        <v>91</v>
      </c>
      <c r="V53" s="16" t="s">
        <v>18</v>
      </c>
      <c r="W53" s="61" t="s">
        <v>19</v>
      </c>
    </row>
    <row r="54" spans="1:23" s="27" customFormat="1" ht="34.950000000000003" customHeight="1" x14ac:dyDescent="0.25">
      <c r="A54" s="12">
        <f>SUBTOTAL(3,$B$2:B54)</f>
        <v>53</v>
      </c>
      <c r="B54" s="42">
        <v>18</v>
      </c>
      <c r="C54" s="43">
        <v>45750</v>
      </c>
      <c r="D54" s="42"/>
      <c r="E54" s="43">
        <v>0</v>
      </c>
      <c r="F54" s="45" t="s">
        <v>92</v>
      </c>
      <c r="G54" s="52" t="s">
        <v>108</v>
      </c>
      <c r="H54" s="46" t="s">
        <v>94</v>
      </c>
      <c r="I54" s="12"/>
      <c r="J54" s="43"/>
      <c r="K54" s="59">
        <v>3220</v>
      </c>
      <c r="L54" s="62">
        <f t="shared" si="0"/>
        <v>3220</v>
      </c>
      <c r="M54" s="48">
        <f t="shared" si="2"/>
        <v>199640</v>
      </c>
      <c r="N54" s="48">
        <v>62</v>
      </c>
      <c r="O54" s="50">
        <v>0</v>
      </c>
      <c r="P54" s="50">
        <v>0</v>
      </c>
      <c r="Q54" s="51">
        <f t="shared" si="1"/>
        <v>199640</v>
      </c>
      <c r="R54" s="48"/>
      <c r="S54" s="24">
        <v>32504020321</v>
      </c>
      <c r="T54" s="43"/>
      <c r="U54" s="43" t="s">
        <v>109</v>
      </c>
      <c r="V54" s="46" t="s">
        <v>25</v>
      </c>
      <c r="W54" s="54"/>
    </row>
    <row r="55" spans="1:23" s="27" customFormat="1" ht="34.950000000000003" customHeight="1" x14ac:dyDescent="0.25">
      <c r="A55" s="12">
        <f>SUBTOTAL(3,$B$2:B55)</f>
        <v>54</v>
      </c>
      <c r="B55" s="13">
        <v>19</v>
      </c>
      <c r="C55" s="14">
        <v>45752</v>
      </c>
      <c r="D55" s="13"/>
      <c r="E55" s="14">
        <v>0</v>
      </c>
      <c r="F55" s="15" t="s">
        <v>110</v>
      </c>
      <c r="G55" s="25" t="s">
        <v>111</v>
      </c>
      <c r="H55" s="16" t="s">
        <v>16</v>
      </c>
      <c r="I55" s="17"/>
      <c r="J55" s="14"/>
      <c r="K55" s="19">
        <v>2</v>
      </c>
      <c r="L55" s="21">
        <f t="shared" si="0"/>
        <v>2</v>
      </c>
      <c r="M55" s="20">
        <f t="shared" si="2"/>
        <v>2500</v>
      </c>
      <c r="N55" s="20">
        <v>1250</v>
      </c>
      <c r="O55" s="22">
        <v>0</v>
      </c>
      <c r="P55" s="22">
        <v>0</v>
      </c>
      <c r="Q55" s="23">
        <f t="shared" si="1"/>
        <v>2500</v>
      </c>
      <c r="R55" s="20"/>
      <c r="S55" s="18">
        <v>112</v>
      </c>
      <c r="T55" s="14">
        <v>45752</v>
      </c>
      <c r="U55" s="14" t="s">
        <v>91</v>
      </c>
      <c r="V55" s="16" t="s">
        <v>18</v>
      </c>
      <c r="W55" s="61" t="s">
        <v>112</v>
      </c>
    </row>
    <row r="56" spans="1:23" s="27" customFormat="1" ht="34.950000000000003" customHeight="1" x14ac:dyDescent="0.25">
      <c r="A56" s="12">
        <f>SUBTOTAL(3,$B$2:B56)</f>
        <v>55</v>
      </c>
      <c r="B56" s="13">
        <v>19</v>
      </c>
      <c r="C56" s="14">
        <v>45752</v>
      </c>
      <c r="D56" s="13"/>
      <c r="E56" s="14">
        <v>0</v>
      </c>
      <c r="F56" s="15" t="s">
        <v>110</v>
      </c>
      <c r="G56" s="25" t="s">
        <v>113</v>
      </c>
      <c r="H56" s="16" t="s">
        <v>16</v>
      </c>
      <c r="I56" s="17"/>
      <c r="J56" s="14"/>
      <c r="K56" s="19">
        <v>4</v>
      </c>
      <c r="L56" s="21">
        <f t="shared" si="0"/>
        <v>4</v>
      </c>
      <c r="M56" s="20">
        <f t="shared" si="2"/>
        <v>300</v>
      </c>
      <c r="N56" s="20">
        <v>75</v>
      </c>
      <c r="O56" s="22">
        <v>0</v>
      </c>
      <c r="P56" s="22">
        <v>0</v>
      </c>
      <c r="Q56" s="23">
        <f t="shared" si="1"/>
        <v>300</v>
      </c>
      <c r="R56" s="20"/>
      <c r="S56" s="18">
        <v>112</v>
      </c>
      <c r="T56" s="14">
        <v>45752</v>
      </c>
      <c r="U56" s="14" t="s">
        <v>91</v>
      </c>
      <c r="V56" s="16" t="s">
        <v>18</v>
      </c>
      <c r="W56" s="61" t="s">
        <v>19</v>
      </c>
    </row>
    <row r="57" spans="1:23" ht="34.950000000000003" customHeight="1" x14ac:dyDescent="0.35">
      <c r="A57" s="12">
        <f>SUBTOTAL(3,$B$2:B57)</f>
        <v>56</v>
      </c>
      <c r="B57" s="42">
        <v>20</v>
      </c>
      <c r="C57" s="43">
        <v>45755</v>
      </c>
      <c r="D57" s="42">
        <v>82512180003</v>
      </c>
      <c r="E57" s="44">
        <v>46009</v>
      </c>
      <c r="F57" s="65" t="s">
        <v>114</v>
      </c>
      <c r="G57" s="66" t="s">
        <v>115</v>
      </c>
      <c r="H57" s="46" t="s">
        <v>16</v>
      </c>
      <c r="I57" s="12"/>
      <c r="J57" s="43"/>
      <c r="K57" s="47">
        <v>20</v>
      </c>
      <c r="L57" s="49">
        <f t="shared" si="0"/>
        <v>20</v>
      </c>
      <c r="M57" s="48">
        <f t="shared" si="2"/>
        <v>3500</v>
      </c>
      <c r="N57" s="48">
        <v>175</v>
      </c>
      <c r="O57" s="50">
        <v>9</v>
      </c>
      <c r="P57" s="50">
        <v>9</v>
      </c>
      <c r="Q57" s="51">
        <f t="shared" si="1"/>
        <v>4130</v>
      </c>
      <c r="R57" s="48"/>
      <c r="S57" s="24" t="s">
        <v>116</v>
      </c>
      <c r="T57" s="43">
        <v>45755</v>
      </c>
      <c r="U57" s="43" t="s">
        <v>117</v>
      </c>
      <c r="V57" s="46" t="s">
        <v>33</v>
      </c>
      <c r="W57" s="54" t="s">
        <v>118</v>
      </c>
    </row>
    <row r="58" spans="1:23" ht="34.950000000000003" customHeight="1" x14ac:dyDescent="0.35">
      <c r="A58" s="12">
        <f>SUBTOTAL(3,$B$2:B58)</f>
        <v>57</v>
      </c>
      <c r="B58" s="42">
        <v>20</v>
      </c>
      <c r="C58" s="43">
        <v>45755</v>
      </c>
      <c r="D58" s="42">
        <v>82512180003</v>
      </c>
      <c r="E58" s="44">
        <v>46009</v>
      </c>
      <c r="F58" s="65" t="s">
        <v>114</v>
      </c>
      <c r="G58" s="66" t="s">
        <v>119</v>
      </c>
      <c r="H58" s="46" t="s">
        <v>16</v>
      </c>
      <c r="I58" s="12"/>
      <c r="J58" s="43"/>
      <c r="K58" s="47">
        <v>5</v>
      </c>
      <c r="L58" s="49">
        <f t="shared" si="0"/>
        <v>5</v>
      </c>
      <c r="M58" s="48">
        <f t="shared" si="2"/>
        <v>875</v>
      </c>
      <c r="N58" s="48">
        <v>175</v>
      </c>
      <c r="O58" s="50">
        <v>9</v>
      </c>
      <c r="P58" s="50">
        <v>9</v>
      </c>
      <c r="Q58" s="51">
        <f t="shared" si="1"/>
        <v>1032.5</v>
      </c>
      <c r="R58" s="48"/>
      <c r="S58" s="24" t="s">
        <v>116</v>
      </c>
      <c r="T58" s="43">
        <v>45755</v>
      </c>
      <c r="U58" s="43" t="s">
        <v>117</v>
      </c>
      <c r="V58" s="46" t="s">
        <v>33</v>
      </c>
      <c r="W58" s="54" t="s">
        <v>118</v>
      </c>
    </row>
    <row r="59" spans="1:23" ht="34.950000000000003" customHeight="1" x14ac:dyDescent="0.35">
      <c r="A59" s="12">
        <f>SUBTOTAL(3,$B$2:B59)</f>
        <v>58</v>
      </c>
      <c r="B59" s="42">
        <v>20</v>
      </c>
      <c r="C59" s="43">
        <v>45755</v>
      </c>
      <c r="D59" s="42">
        <v>82512180003</v>
      </c>
      <c r="E59" s="44">
        <v>46009</v>
      </c>
      <c r="F59" s="65" t="s">
        <v>114</v>
      </c>
      <c r="G59" s="66" t="s">
        <v>120</v>
      </c>
      <c r="H59" s="46" t="s">
        <v>16</v>
      </c>
      <c r="I59" s="12"/>
      <c r="J59" s="43"/>
      <c r="K59" s="47">
        <v>5</v>
      </c>
      <c r="L59" s="49">
        <f t="shared" si="0"/>
        <v>5</v>
      </c>
      <c r="M59" s="48">
        <f t="shared" si="2"/>
        <v>875</v>
      </c>
      <c r="N59" s="48">
        <v>175</v>
      </c>
      <c r="O59" s="50">
        <v>9</v>
      </c>
      <c r="P59" s="50">
        <v>9</v>
      </c>
      <c r="Q59" s="51">
        <f t="shared" si="1"/>
        <v>1032.5</v>
      </c>
      <c r="R59" s="48"/>
      <c r="S59" s="24" t="s">
        <v>116</v>
      </c>
      <c r="T59" s="43">
        <v>45755</v>
      </c>
      <c r="U59" s="43" t="s">
        <v>117</v>
      </c>
      <c r="V59" s="46" t="s">
        <v>33</v>
      </c>
      <c r="W59" s="54" t="s">
        <v>118</v>
      </c>
    </row>
    <row r="60" spans="1:23" ht="34.950000000000003" customHeight="1" x14ac:dyDescent="0.35">
      <c r="A60" s="12">
        <f>SUBTOTAL(3,$B$2:B60)</f>
        <v>59</v>
      </c>
      <c r="B60" s="42">
        <v>20</v>
      </c>
      <c r="C60" s="43">
        <v>45755</v>
      </c>
      <c r="D60" s="42">
        <v>82512180003</v>
      </c>
      <c r="E60" s="44">
        <v>46009</v>
      </c>
      <c r="F60" s="65" t="s">
        <v>114</v>
      </c>
      <c r="G60" s="66" t="s">
        <v>121</v>
      </c>
      <c r="H60" s="46" t="s">
        <v>16</v>
      </c>
      <c r="I60" s="12"/>
      <c r="J60" s="43"/>
      <c r="K60" s="47">
        <v>5</v>
      </c>
      <c r="L60" s="49">
        <f t="shared" si="0"/>
        <v>5</v>
      </c>
      <c r="M60" s="48">
        <f t="shared" si="2"/>
        <v>875</v>
      </c>
      <c r="N60" s="48">
        <v>175</v>
      </c>
      <c r="O60" s="50">
        <v>9</v>
      </c>
      <c r="P60" s="50">
        <v>9</v>
      </c>
      <c r="Q60" s="51">
        <f t="shared" si="1"/>
        <v>1032.5</v>
      </c>
      <c r="R60" s="48"/>
      <c r="S60" s="24" t="s">
        <v>116</v>
      </c>
      <c r="T60" s="43">
        <v>45755</v>
      </c>
      <c r="U60" s="43" t="s">
        <v>117</v>
      </c>
      <c r="V60" s="46" t="s">
        <v>33</v>
      </c>
      <c r="W60" s="54" t="s">
        <v>118</v>
      </c>
    </row>
    <row r="61" spans="1:23" ht="34.950000000000003" customHeight="1" x14ac:dyDescent="0.35">
      <c r="A61" s="12">
        <f>SUBTOTAL(3,$B$2:B61)</f>
        <v>60</v>
      </c>
      <c r="B61" s="42">
        <v>20</v>
      </c>
      <c r="C61" s="43">
        <v>45755</v>
      </c>
      <c r="D61" s="42">
        <v>82512180003</v>
      </c>
      <c r="E61" s="44">
        <v>46009</v>
      </c>
      <c r="F61" s="65" t="s">
        <v>114</v>
      </c>
      <c r="G61" s="66" t="s">
        <v>122</v>
      </c>
      <c r="H61" s="46" t="s">
        <v>16</v>
      </c>
      <c r="I61" s="12"/>
      <c r="J61" s="43"/>
      <c r="K61" s="47">
        <v>120</v>
      </c>
      <c r="L61" s="49">
        <f t="shared" si="0"/>
        <v>120</v>
      </c>
      <c r="M61" s="48">
        <f t="shared" si="2"/>
        <v>6000</v>
      </c>
      <c r="N61" s="48">
        <v>50</v>
      </c>
      <c r="O61" s="50">
        <v>9</v>
      </c>
      <c r="P61" s="50">
        <v>9</v>
      </c>
      <c r="Q61" s="51">
        <f t="shared" si="1"/>
        <v>7080</v>
      </c>
      <c r="R61" s="48"/>
      <c r="S61" s="24" t="s">
        <v>116</v>
      </c>
      <c r="T61" s="43">
        <v>45755</v>
      </c>
      <c r="U61" s="43" t="s">
        <v>117</v>
      </c>
      <c r="V61" s="46" t="s">
        <v>33</v>
      </c>
      <c r="W61" s="54" t="s">
        <v>118</v>
      </c>
    </row>
    <row r="62" spans="1:23" ht="34.950000000000003" customHeight="1" x14ac:dyDescent="0.35">
      <c r="A62" s="12">
        <f>SUBTOTAL(3,$B$2:B62)</f>
        <v>61</v>
      </c>
      <c r="B62" s="42">
        <v>20</v>
      </c>
      <c r="C62" s="43">
        <v>45755</v>
      </c>
      <c r="D62" s="42">
        <v>82512180003</v>
      </c>
      <c r="E62" s="44">
        <v>46009</v>
      </c>
      <c r="F62" s="65" t="s">
        <v>114</v>
      </c>
      <c r="G62" s="66" t="s">
        <v>123</v>
      </c>
      <c r="H62" s="46" t="s">
        <v>16</v>
      </c>
      <c r="I62" s="12"/>
      <c r="J62" s="43"/>
      <c r="K62" s="47">
        <v>150</v>
      </c>
      <c r="L62" s="49">
        <f t="shared" si="0"/>
        <v>150</v>
      </c>
      <c r="M62" s="48">
        <f t="shared" si="2"/>
        <v>9750</v>
      </c>
      <c r="N62" s="48">
        <v>65</v>
      </c>
      <c r="O62" s="50">
        <v>9</v>
      </c>
      <c r="P62" s="50">
        <v>9</v>
      </c>
      <c r="Q62" s="51">
        <f t="shared" si="1"/>
        <v>11505</v>
      </c>
      <c r="R62" s="48"/>
      <c r="S62" s="24" t="s">
        <v>116</v>
      </c>
      <c r="T62" s="43">
        <v>45755</v>
      </c>
      <c r="U62" s="43" t="s">
        <v>117</v>
      </c>
      <c r="V62" s="46" t="s">
        <v>33</v>
      </c>
      <c r="W62" s="54" t="s">
        <v>118</v>
      </c>
    </row>
    <row r="63" spans="1:23" ht="34.950000000000003" customHeight="1" x14ac:dyDescent="0.25">
      <c r="A63" s="12">
        <f>SUBTOTAL(3,$B$2:B63)</f>
        <v>62</v>
      </c>
      <c r="B63" s="42">
        <v>20</v>
      </c>
      <c r="C63" s="43">
        <v>45755</v>
      </c>
      <c r="D63" s="42">
        <v>82512180003</v>
      </c>
      <c r="E63" s="44">
        <v>46009</v>
      </c>
      <c r="F63" s="45" t="s">
        <v>114</v>
      </c>
      <c r="G63" s="54" t="s">
        <v>124</v>
      </c>
      <c r="H63" s="46" t="s">
        <v>125</v>
      </c>
      <c r="I63" s="46"/>
      <c r="J63" s="43"/>
      <c r="K63" s="47">
        <v>100</v>
      </c>
      <c r="L63" s="49">
        <f t="shared" si="0"/>
        <v>100</v>
      </c>
      <c r="M63" s="48">
        <f t="shared" si="2"/>
        <v>2500</v>
      </c>
      <c r="N63" s="48">
        <v>25</v>
      </c>
      <c r="O63" s="50">
        <v>2.5</v>
      </c>
      <c r="P63" s="50">
        <v>2.5</v>
      </c>
      <c r="Q63" s="51">
        <f t="shared" si="1"/>
        <v>2625</v>
      </c>
      <c r="R63" s="48"/>
      <c r="S63" s="24" t="s">
        <v>116</v>
      </c>
      <c r="T63" s="43">
        <v>45755</v>
      </c>
      <c r="U63" s="43" t="s">
        <v>117</v>
      </c>
      <c r="V63" s="46" t="s">
        <v>33</v>
      </c>
      <c r="W63" s="54" t="s">
        <v>118</v>
      </c>
    </row>
    <row r="64" spans="1:23" ht="34.950000000000003" customHeight="1" x14ac:dyDescent="0.25">
      <c r="A64" s="12">
        <f>SUBTOTAL(3,$B$2:B64)</f>
        <v>63</v>
      </c>
      <c r="B64" s="42">
        <v>20</v>
      </c>
      <c r="C64" s="43">
        <v>45755</v>
      </c>
      <c r="D64" s="42">
        <v>82512180003</v>
      </c>
      <c r="E64" s="44">
        <v>46009</v>
      </c>
      <c r="F64" s="45" t="s">
        <v>114</v>
      </c>
      <c r="G64" s="54" t="s">
        <v>126</v>
      </c>
      <c r="H64" s="46" t="s">
        <v>125</v>
      </c>
      <c r="I64" s="46"/>
      <c r="J64" s="43"/>
      <c r="K64" s="59">
        <v>25</v>
      </c>
      <c r="L64" s="49">
        <f t="shared" si="0"/>
        <v>25</v>
      </c>
      <c r="M64" s="48">
        <f t="shared" si="2"/>
        <v>10000</v>
      </c>
      <c r="N64" s="48">
        <v>400</v>
      </c>
      <c r="O64" s="50">
        <v>6</v>
      </c>
      <c r="P64" s="50">
        <v>6</v>
      </c>
      <c r="Q64" s="51">
        <f t="shared" si="1"/>
        <v>11200.000000000002</v>
      </c>
      <c r="R64" s="48"/>
      <c r="S64" s="24" t="s">
        <v>116</v>
      </c>
      <c r="T64" s="43">
        <v>45755</v>
      </c>
      <c r="U64" s="43" t="s">
        <v>117</v>
      </c>
      <c r="V64" s="46" t="s">
        <v>33</v>
      </c>
      <c r="W64" s="54" t="s">
        <v>118</v>
      </c>
    </row>
    <row r="65" spans="1:23" ht="34.950000000000003" customHeight="1" x14ac:dyDescent="0.25">
      <c r="A65" s="12">
        <f>SUBTOTAL(3,$B$2:B65)</f>
        <v>64</v>
      </c>
      <c r="B65" s="42">
        <v>20</v>
      </c>
      <c r="C65" s="43">
        <v>45755</v>
      </c>
      <c r="D65" s="42">
        <v>82512180003</v>
      </c>
      <c r="E65" s="44">
        <v>46009</v>
      </c>
      <c r="F65" s="45" t="s">
        <v>114</v>
      </c>
      <c r="G65" s="54" t="s">
        <v>127</v>
      </c>
      <c r="H65" s="46" t="s">
        <v>125</v>
      </c>
      <c r="I65" s="46"/>
      <c r="J65" s="43"/>
      <c r="K65" s="47">
        <v>40</v>
      </c>
      <c r="L65" s="49">
        <f t="shared" si="0"/>
        <v>40</v>
      </c>
      <c r="M65" s="48">
        <f t="shared" si="2"/>
        <v>4800</v>
      </c>
      <c r="N65" s="48">
        <v>120</v>
      </c>
      <c r="O65" s="50">
        <v>6</v>
      </c>
      <c r="P65" s="50">
        <v>6</v>
      </c>
      <c r="Q65" s="51">
        <f t="shared" si="1"/>
        <v>5376.0000000000009</v>
      </c>
      <c r="R65" s="48"/>
      <c r="S65" s="24" t="s">
        <v>116</v>
      </c>
      <c r="T65" s="43">
        <v>45755</v>
      </c>
      <c r="U65" s="43" t="s">
        <v>117</v>
      </c>
      <c r="V65" s="46" t="s">
        <v>33</v>
      </c>
      <c r="W65" s="54" t="s">
        <v>118</v>
      </c>
    </row>
    <row r="66" spans="1:23" ht="34.950000000000003" customHeight="1" x14ac:dyDescent="0.25">
      <c r="A66" s="12">
        <f>SUBTOTAL(3,$B$2:B66)</f>
        <v>65</v>
      </c>
      <c r="B66" s="42">
        <v>20</v>
      </c>
      <c r="C66" s="43">
        <v>45755</v>
      </c>
      <c r="D66" s="42">
        <v>82512180003</v>
      </c>
      <c r="E66" s="44">
        <v>46009</v>
      </c>
      <c r="F66" s="45" t="s">
        <v>114</v>
      </c>
      <c r="G66" s="54" t="s">
        <v>128</v>
      </c>
      <c r="H66" s="46" t="s">
        <v>16</v>
      </c>
      <c r="I66" s="46"/>
      <c r="J66" s="43"/>
      <c r="K66" s="59">
        <v>20</v>
      </c>
      <c r="L66" s="49">
        <f t="shared" ref="L66:L129" si="3">K66</f>
        <v>20</v>
      </c>
      <c r="M66" s="48">
        <f t="shared" si="2"/>
        <v>1000</v>
      </c>
      <c r="N66" s="48">
        <v>50</v>
      </c>
      <c r="O66" s="50">
        <v>9</v>
      </c>
      <c r="P66" s="50">
        <v>9</v>
      </c>
      <c r="Q66" s="51">
        <f t="shared" ref="Q66:Q129" si="4">IF(M66="","",M66*(1+(O66+P66)/100))</f>
        <v>1180</v>
      </c>
      <c r="R66" s="48"/>
      <c r="S66" s="24" t="s">
        <v>116</v>
      </c>
      <c r="T66" s="43">
        <v>45755</v>
      </c>
      <c r="U66" s="43" t="s">
        <v>117</v>
      </c>
      <c r="V66" s="46" t="s">
        <v>33</v>
      </c>
      <c r="W66" s="54" t="s">
        <v>118</v>
      </c>
    </row>
    <row r="67" spans="1:23" ht="34.950000000000003" customHeight="1" x14ac:dyDescent="0.25">
      <c r="A67" s="12">
        <f>SUBTOTAL(3,$B$2:B67)</f>
        <v>66</v>
      </c>
      <c r="B67" s="42">
        <v>20</v>
      </c>
      <c r="C67" s="43">
        <v>45755</v>
      </c>
      <c r="D67" s="42">
        <v>82512180003</v>
      </c>
      <c r="E67" s="44">
        <v>46009</v>
      </c>
      <c r="F67" s="45" t="s">
        <v>114</v>
      </c>
      <c r="G67" s="52" t="s">
        <v>129</v>
      </c>
      <c r="H67" s="57" t="s">
        <v>16</v>
      </c>
      <c r="I67" s="46"/>
      <c r="J67" s="43"/>
      <c r="K67" s="59">
        <v>10</v>
      </c>
      <c r="L67" s="49">
        <f t="shared" si="3"/>
        <v>10</v>
      </c>
      <c r="M67" s="48">
        <f t="shared" ref="M67:M130" si="5">L67*N67</f>
        <v>500</v>
      </c>
      <c r="N67" s="48">
        <v>50</v>
      </c>
      <c r="O67" s="50">
        <v>9</v>
      </c>
      <c r="P67" s="50">
        <v>9</v>
      </c>
      <c r="Q67" s="51">
        <f t="shared" si="4"/>
        <v>590</v>
      </c>
      <c r="R67" s="48"/>
      <c r="S67" s="24" t="s">
        <v>116</v>
      </c>
      <c r="T67" s="43">
        <v>45755</v>
      </c>
      <c r="U67" s="43" t="s">
        <v>117</v>
      </c>
      <c r="V67" s="46" t="s">
        <v>33</v>
      </c>
      <c r="W67" s="54" t="s">
        <v>118</v>
      </c>
    </row>
    <row r="68" spans="1:23" ht="34.950000000000003" customHeight="1" x14ac:dyDescent="0.25">
      <c r="A68" s="12">
        <f>SUBTOTAL(3,$B$2:B68)</f>
        <v>67</v>
      </c>
      <c r="B68" s="42">
        <v>20</v>
      </c>
      <c r="C68" s="43">
        <v>45755</v>
      </c>
      <c r="D68" s="42">
        <v>82512180003</v>
      </c>
      <c r="E68" s="44">
        <v>46009</v>
      </c>
      <c r="F68" s="45" t="s">
        <v>114</v>
      </c>
      <c r="G68" s="54" t="s">
        <v>130</v>
      </c>
      <c r="H68" s="46" t="s">
        <v>16</v>
      </c>
      <c r="I68" s="46"/>
      <c r="J68" s="43"/>
      <c r="K68" s="59">
        <v>50</v>
      </c>
      <c r="L68" s="49">
        <f t="shared" si="3"/>
        <v>50</v>
      </c>
      <c r="M68" s="48">
        <f t="shared" si="5"/>
        <v>57500</v>
      </c>
      <c r="N68" s="48">
        <v>1150</v>
      </c>
      <c r="O68" s="50">
        <v>6</v>
      </c>
      <c r="P68" s="50">
        <v>6</v>
      </c>
      <c r="Q68" s="51">
        <f t="shared" si="4"/>
        <v>64400.000000000007</v>
      </c>
      <c r="R68" s="48"/>
      <c r="S68" s="24" t="s">
        <v>116</v>
      </c>
      <c r="T68" s="43">
        <v>45755</v>
      </c>
      <c r="U68" s="43" t="s">
        <v>117</v>
      </c>
      <c r="V68" s="46" t="s">
        <v>33</v>
      </c>
      <c r="W68" s="54" t="s">
        <v>118</v>
      </c>
    </row>
    <row r="69" spans="1:23" ht="34.950000000000003" customHeight="1" x14ac:dyDescent="0.25">
      <c r="A69" s="12">
        <f>SUBTOTAL(3,$B$2:B69)</f>
        <v>68</v>
      </c>
      <c r="B69" s="42">
        <v>20</v>
      </c>
      <c r="C69" s="43">
        <v>45755</v>
      </c>
      <c r="D69" s="42">
        <v>82512180003</v>
      </c>
      <c r="E69" s="44">
        <v>46009</v>
      </c>
      <c r="F69" s="45" t="s">
        <v>114</v>
      </c>
      <c r="G69" s="54" t="s">
        <v>131</v>
      </c>
      <c r="H69" s="46" t="s">
        <v>16</v>
      </c>
      <c r="I69" s="46"/>
      <c r="J69" s="43"/>
      <c r="K69" s="47">
        <v>10</v>
      </c>
      <c r="L69" s="49">
        <f t="shared" si="3"/>
        <v>10</v>
      </c>
      <c r="M69" s="48">
        <f t="shared" si="5"/>
        <v>5500</v>
      </c>
      <c r="N69" s="48">
        <v>550</v>
      </c>
      <c r="O69" s="50">
        <v>9</v>
      </c>
      <c r="P69" s="50">
        <v>9</v>
      </c>
      <c r="Q69" s="51">
        <f t="shared" si="4"/>
        <v>6490</v>
      </c>
      <c r="R69" s="48"/>
      <c r="S69" s="24" t="s">
        <v>116</v>
      </c>
      <c r="T69" s="43">
        <v>45755</v>
      </c>
      <c r="U69" s="43" t="s">
        <v>117</v>
      </c>
      <c r="V69" s="46" t="s">
        <v>33</v>
      </c>
      <c r="W69" s="54" t="s">
        <v>19</v>
      </c>
    </row>
    <row r="70" spans="1:23" ht="34.950000000000003" customHeight="1" x14ac:dyDescent="0.25">
      <c r="A70" s="12">
        <f>SUBTOTAL(3,$B$2:B70)</f>
        <v>69</v>
      </c>
      <c r="B70" s="42">
        <v>20</v>
      </c>
      <c r="C70" s="43">
        <v>45755</v>
      </c>
      <c r="D70" s="42">
        <v>82512180003</v>
      </c>
      <c r="E70" s="44">
        <v>46009</v>
      </c>
      <c r="F70" s="45" t="s">
        <v>114</v>
      </c>
      <c r="G70" s="54" t="s">
        <v>132</v>
      </c>
      <c r="H70" s="46" t="s">
        <v>16</v>
      </c>
      <c r="I70" s="46"/>
      <c r="J70" s="43"/>
      <c r="K70" s="47">
        <v>120</v>
      </c>
      <c r="L70" s="49">
        <f t="shared" si="3"/>
        <v>120</v>
      </c>
      <c r="M70" s="48">
        <f t="shared" si="5"/>
        <v>7200</v>
      </c>
      <c r="N70" s="48">
        <v>60</v>
      </c>
      <c r="O70" s="50">
        <v>2.5</v>
      </c>
      <c r="P70" s="50">
        <v>2.5</v>
      </c>
      <c r="Q70" s="51">
        <f t="shared" si="4"/>
        <v>7560</v>
      </c>
      <c r="R70" s="48"/>
      <c r="S70" s="24" t="s">
        <v>116</v>
      </c>
      <c r="T70" s="43">
        <v>45755</v>
      </c>
      <c r="U70" s="43" t="s">
        <v>117</v>
      </c>
      <c r="V70" s="46" t="s">
        <v>33</v>
      </c>
      <c r="W70" s="54" t="s">
        <v>118</v>
      </c>
    </row>
    <row r="71" spans="1:23" ht="34.950000000000003" customHeight="1" x14ac:dyDescent="0.25">
      <c r="A71" s="12">
        <f>SUBTOTAL(3,$B$2:B71)</f>
        <v>70</v>
      </c>
      <c r="B71" s="42">
        <v>20</v>
      </c>
      <c r="C71" s="43">
        <v>45755</v>
      </c>
      <c r="D71" s="42">
        <v>82512180003</v>
      </c>
      <c r="E71" s="44">
        <v>46009</v>
      </c>
      <c r="F71" s="45" t="s">
        <v>114</v>
      </c>
      <c r="G71" s="54" t="s">
        <v>133</v>
      </c>
      <c r="H71" s="46" t="s">
        <v>16</v>
      </c>
      <c r="I71" s="46"/>
      <c r="J71" s="43"/>
      <c r="K71" s="47">
        <v>20</v>
      </c>
      <c r="L71" s="49">
        <f t="shared" si="3"/>
        <v>20</v>
      </c>
      <c r="M71" s="48">
        <f t="shared" si="5"/>
        <v>6000</v>
      </c>
      <c r="N71" s="48">
        <v>300</v>
      </c>
      <c r="O71" s="50">
        <v>2.5</v>
      </c>
      <c r="P71" s="50">
        <v>2.5</v>
      </c>
      <c r="Q71" s="51">
        <f t="shared" si="4"/>
        <v>6300</v>
      </c>
      <c r="R71" s="48"/>
      <c r="S71" s="24" t="s">
        <v>116</v>
      </c>
      <c r="T71" s="43">
        <v>45755</v>
      </c>
      <c r="U71" s="43" t="s">
        <v>117</v>
      </c>
      <c r="V71" s="46" t="s">
        <v>33</v>
      </c>
      <c r="W71" s="54" t="s">
        <v>118</v>
      </c>
    </row>
    <row r="72" spans="1:23" ht="34.950000000000003" customHeight="1" x14ac:dyDescent="0.25">
      <c r="A72" s="12">
        <f>SUBTOTAL(3,$B$2:B72)</f>
        <v>71</v>
      </c>
      <c r="B72" s="42">
        <v>20</v>
      </c>
      <c r="C72" s="43">
        <v>45755</v>
      </c>
      <c r="D72" s="42">
        <v>82512180003</v>
      </c>
      <c r="E72" s="44">
        <v>46009</v>
      </c>
      <c r="F72" s="45" t="s">
        <v>114</v>
      </c>
      <c r="G72" s="54" t="s">
        <v>134</v>
      </c>
      <c r="H72" s="46" t="s">
        <v>125</v>
      </c>
      <c r="I72" s="46"/>
      <c r="J72" s="43"/>
      <c r="K72" s="47">
        <v>50</v>
      </c>
      <c r="L72" s="49">
        <f t="shared" si="3"/>
        <v>50</v>
      </c>
      <c r="M72" s="48">
        <f t="shared" si="5"/>
        <v>11000</v>
      </c>
      <c r="N72" s="48">
        <v>220</v>
      </c>
      <c r="O72" s="50">
        <v>9</v>
      </c>
      <c r="P72" s="50">
        <v>9</v>
      </c>
      <c r="Q72" s="51">
        <f t="shared" si="4"/>
        <v>12980</v>
      </c>
      <c r="R72" s="48"/>
      <c r="S72" s="24" t="s">
        <v>116</v>
      </c>
      <c r="T72" s="43">
        <v>45755</v>
      </c>
      <c r="U72" s="43" t="s">
        <v>117</v>
      </c>
      <c r="V72" s="46" t="s">
        <v>33</v>
      </c>
      <c r="W72" s="53" t="s">
        <v>118</v>
      </c>
    </row>
    <row r="73" spans="1:23" ht="34.950000000000003" customHeight="1" x14ac:dyDescent="0.25">
      <c r="A73" s="12">
        <f>SUBTOTAL(3,$B$2:B73)</f>
        <v>72</v>
      </c>
      <c r="B73" s="42">
        <v>20</v>
      </c>
      <c r="C73" s="43">
        <v>45755</v>
      </c>
      <c r="D73" s="42">
        <v>82512180003</v>
      </c>
      <c r="E73" s="44">
        <v>46009</v>
      </c>
      <c r="F73" s="45" t="s">
        <v>114</v>
      </c>
      <c r="G73" s="54" t="s">
        <v>135</v>
      </c>
      <c r="H73" s="46" t="s">
        <v>125</v>
      </c>
      <c r="I73" s="46"/>
      <c r="J73" s="43"/>
      <c r="K73" s="47">
        <v>10</v>
      </c>
      <c r="L73" s="49">
        <f t="shared" si="3"/>
        <v>10</v>
      </c>
      <c r="M73" s="48">
        <f t="shared" si="5"/>
        <v>17500</v>
      </c>
      <c r="N73" s="48">
        <v>1750</v>
      </c>
      <c r="O73" s="50">
        <v>9</v>
      </c>
      <c r="P73" s="50">
        <v>9</v>
      </c>
      <c r="Q73" s="51">
        <f t="shared" si="4"/>
        <v>20650</v>
      </c>
      <c r="R73" s="48"/>
      <c r="S73" s="24" t="s">
        <v>116</v>
      </c>
      <c r="T73" s="43">
        <v>45755</v>
      </c>
      <c r="U73" s="43" t="s">
        <v>117</v>
      </c>
      <c r="V73" s="46" t="s">
        <v>33</v>
      </c>
      <c r="W73" s="54" t="s">
        <v>118</v>
      </c>
    </row>
    <row r="74" spans="1:23" ht="34.950000000000003" customHeight="1" x14ac:dyDescent="0.25">
      <c r="A74" s="12">
        <f>SUBTOTAL(3,$B$2:B74)</f>
        <v>73</v>
      </c>
      <c r="B74" s="42">
        <v>20</v>
      </c>
      <c r="C74" s="43">
        <v>45755</v>
      </c>
      <c r="D74" s="42">
        <v>82512180003</v>
      </c>
      <c r="E74" s="44">
        <v>46009</v>
      </c>
      <c r="F74" s="45" t="s">
        <v>114</v>
      </c>
      <c r="G74" s="54" t="s">
        <v>136</v>
      </c>
      <c r="H74" s="46" t="s">
        <v>16</v>
      </c>
      <c r="I74" s="46"/>
      <c r="J74" s="43"/>
      <c r="K74" s="47">
        <v>2</v>
      </c>
      <c r="L74" s="49">
        <f t="shared" si="3"/>
        <v>2</v>
      </c>
      <c r="M74" s="48">
        <f t="shared" si="5"/>
        <v>2100</v>
      </c>
      <c r="N74" s="48">
        <v>1050</v>
      </c>
      <c r="O74" s="50">
        <v>6</v>
      </c>
      <c r="P74" s="50">
        <v>6</v>
      </c>
      <c r="Q74" s="51">
        <f t="shared" si="4"/>
        <v>2352</v>
      </c>
      <c r="R74" s="48"/>
      <c r="S74" s="24" t="s">
        <v>116</v>
      </c>
      <c r="T74" s="43">
        <v>45755</v>
      </c>
      <c r="U74" s="43" t="s">
        <v>117</v>
      </c>
      <c r="V74" s="46" t="s">
        <v>33</v>
      </c>
      <c r="W74" s="54" t="s">
        <v>118</v>
      </c>
    </row>
    <row r="75" spans="1:23" ht="34.950000000000003" customHeight="1" x14ac:dyDescent="0.25">
      <c r="A75" s="12">
        <f>SUBTOTAL(3,$B$2:B75)</f>
        <v>74</v>
      </c>
      <c r="B75" s="42">
        <v>20</v>
      </c>
      <c r="C75" s="43">
        <v>45755</v>
      </c>
      <c r="D75" s="42">
        <v>82512180003</v>
      </c>
      <c r="E75" s="44">
        <v>46009</v>
      </c>
      <c r="F75" s="45" t="s">
        <v>114</v>
      </c>
      <c r="G75" s="54" t="s">
        <v>137</v>
      </c>
      <c r="H75" s="46" t="s">
        <v>16</v>
      </c>
      <c r="I75" s="46"/>
      <c r="J75" s="43"/>
      <c r="K75" s="47">
        <v>10</v>
      </c>
      <c r="L75" s="49">
        <f t="shared" si="3"/>
        <v>10</v>
      </c>
      <c r="M75" s="48">
        <f t="shared" si="5"/>
        <v>1250</v>
      </c>
      <c r="N75" s="48">
        <v>125</v>
      </c>
      <c r="O75" s="50">
        <v>9</v>
      </c>
      <c r="P75" s="50">
        <v>9</v>
      </c>
      <c r="Q75" s="51">
        <f t="shared" si="4"/>
        <v>1475</v>
      </c>
      <c r="R75" s="48"/>
      <c r="S75" s="24" t="s">
        <v>116</v>
      </c>
      <c r="T75" s="43">
        <v>45755</v>
      </c>
      <c r="U75" s="43" t="s">
        <v>117</v>
      </c>
      <c r="V75" s="46" t="s">
        <v>33</v>
      </c>
      <c r="W75" s="54" t="s">
        <v>112</v>
      </c>
    </row>
    <row r="76" spans="1:23" ht="34.950000000000003" customHeight="1" x14ac:dyDescent="0.25">
      <c r="A76" s="12">
        <f>SUBTOTAL(3,$B$2:B76)</f>
        <v>75</v>
      </c>
      <c r="B76" s="42">
        <v>20</v>
      </c>
      <c r="C76" s="43">
        <v>45755</v>
      </c>
      <c r="D76" s="42">
        <v>82512180003</v>
      </c>
      <c r="E76" s="44">
        <v>46009</v>
      </c>
      <c r="F76" s="45" t="s">
        <v>114</v>
      </c>
      <c r="G76" s="54" t="s">
        <v>138</v>
      </c>
      <c r="H76" s="46" t="s">
        <v>16</v>
      </c>
      <c r="I76" s="46"/>
      <c r="J76" s="43"/>
      <c r="K76" s="47">
        <v>2</v>
      </c>
      <c r="L76" s="49">
        <f t="shared" si="3"/>
        <v>2</v>
      </c>
      <c r="M76" s="48">
        <f t="shared" si="5"/>
        <v>800</v>
      </c>
      <c r="N76" s="48">
        <v>400</v>
      </c>
      <c r="O76" s="50">
        <v>9</v>
      </c>
      <c r="P76" s="50">
        <v>9</v>
      </c>
      <c r="Q76" s="51">
        <f t="shared" si="4"/>
        <v>944</v>
      </c>
      <c r="R76" s="48"/>
      <c r="S76" s="24" t="s">
        <v>116</v>
      </c>
      <c r="T76" s="43">
        <v>45755</v>
      </c>
      <c r="U76" s="43" t="s">
        <v>117</v>
      </c>
      <c r="V76" s="46" t="s">
        <v>33</v>
      </c>
      <c r="W76" s="54" t="s">
        <v>112</v>
      </c>
    </row>
    <row r="77" spans="1:23" ht="34.950000000000003" customHeight="1" x14ac:dyDescent="0.25">
      <c r="A77" s="12">
        <f>SUBTOTAL(3,$B$2:B77)</f>
        <v>76</v>
      </c>
      <c r="B77" s="42">
        <v>20</v>
      </c>
      <c r="C77" s="43">
        <v>45755</v>
      </c>
      <c r="D77" s="42">
        <v>82512180003</v>
      </c>
      <c r="E77" s="44">
        <v>46009</v>
      </c>
      <c r="F77" s="45" t="s">
        <v>114</v>
      </c>
      <c r="G77" s="54" t="s">
        <v>139</v>
      </c>
      <c r="H77" s="46" t="s">
        <v>140</v>
      </c>
      <c r="I77" s="46"/>
      <c r="J77" s="43"/>
      <c r="K77" s="47">
        <v>30</v>
      </c>
      <c r="L77" s="49">
        <f t="shared" si="3"/>
        <v>30</v>
      </c>
      <c r="M77" s="48">
        <f t="shared" si="5"/>
        <v>8400</v>
      </c>
      <c r="N77" s="48">
        <v>280</v>
      </c>
      <c r="O77" s="50">
        <v>9</v>
      </c>
      <c r="P77" s="50">
        <v>9</v>
      </c>
      <c r="Q77" s="51">
        <f t="shared" si="4"/>
        <v>9912</v>
      </c>
      <c r="R77" s="48"/>
      <c r="S77" s="24" t="s">
        <v>116</v>
      </c>
      <c r="T77" s="43">
        <v>45755</v>
      </c>
      <c r="U77" s="43" t="s">
        <v>117</v>
      </c>
      <c r="V77" s="46" t="s">
        <v>33</v>
      </c>
      <c r="W77" s="54" t="s">
        <v>118</v>
      </c>
    </row>
    <row r="78" spans="1:23" ht="34.950000000000003" customHeight="1" x14ac:dyDescent="0.25">
      <c r="A78" s="12">
        <f>SUBTOTAL(3,$B$2:B78)</f>
        <v>77</v>
      </c>
      <c r="B78" s="42">
        <v>20</v>
      </c>
      <c r="C78" s="43">
        <v>45755</v>
      </c>
      <c r="D78" s="42">
        <v>82512180003</v>
      </c>
      <c r="E78" s="44">
        <v>46009</v>
      </c>
      <c r="F78" s="45" t="s">
        <v>114</v>
      </c>
      <c r="G78" s="54" t="s">
        <v>141</v>
      </c>
      <c r="H78" s="46" t="s">
        <v>16</v>
      </c>
      <c r="I78" s="46"/>
      <c r="J78" s="43"/>
      <c r="K78" s="47">
        <v>6</v>
      </c>
      <c r="L78" s="49">
        <f t="shared" si="3"/>
        <v>6</v>
      </c>
      <c r="M78" s="48">
        <f t="shared" si="5"/>
        <v>900</v>
      </c>
      <c r="N78" s="48">
        <v>150</v>
      </c>
      <c r="O78" s="50">
        <v>9</v>
      </c>
      <c r="P78" s="50">
        <v>9</v>
      </c>
      <c r="Q78" s="51">
        <f t="shared" si="4"/>
        <v>1062</v>
      </c>
      <c r="R78" s="48"/>
      <c r="S78" s="24" t="s">
        <v>116</v>
      </c>
      <c r="T78" s="43">
        <v>45755</v>
      </c>
      <c r="U78" s="43" t="s">
        <v>117</v>
      </c>
      <c r="V78" s="46" t="s">
        <v>33</v>
      </c>
      <c r="W78" s="54" t="s">
        <v>34</v>
      </c>
    </row>
    <row r="79" spans="1:23" ht="34.950000000000003" customHeight="1" x14ac:dyDescent="0.25">
      <c r="A79" s="12">
        <f>SUBTOTAL(3,$B$2:B79)</f>
        <v>78</v>
      </c>
      <c r="B79" s="42">
        <v>21</v>
      </c>
      <c r="C79" s="43">
        <v>45755</v>
      </c>
      <c r="D79" s="42">
        <v>82512050001</v>
      </c>
      <c r="E79" s="44">
        <v>45996</v>
      </c>
      <c r="F79" s="45" t="s">
        <v>142</v>
      </c>
      <c r="G79" s="54" t="s">
        <v>143</v>
      </c>
      <c r="H79" s="46" t="s">
        <v>23</v>
      </c>
      <c r="I79" s="46"/>
      <c r="J79" s="43"/>
      <c r="K79" s="47">
        <v>500</v>
      </c>
      <c r="L79" s="49">
        <f t="shared" si="3"/>
        <v>500</v>
      </c>
      <c r="M79" s="48">
        <f t="shared" si="5"/>
        <v>25715</v>
      </c>
      <c r="N79" s="48">
        <v>51.43</v>
      </c>
      <c r="O79" s="50">
        <v>2.5</v>
      </c>
      <c r="P79" s="50">
        <v>2.5</v>
      </c>
      <c r="Q79" s="51">
        <f t="shared" si="4"/>
        <v>27000.75</v>
      </c>
      <c r="R79" s="48"/>
      <c r="S79" s="24">
        <v>22</v>
      </c>
      <c r="T79" s="43">
        <v>45755</v>
      </c>
      <c r="U79" s="43" t="s">
        <v>117</v>
      </c>
      <c r="V79" s="46" t="s">
        <v>33</v>
      </c>
      <c r="W79" s="54" t="s">
        <v>34</v>
      </c>
    </row>
    <row r="80" spans="1:23" s="27" customFormat="1" ht="34.950000000000003" customHeight="1" x14ac:dyDescent="0.25">
      <c r="A80" s="12">
        <f>SUBTOTAL(3,$B$2:B80)</f>
        <v>79</v>
      </c>
      <c r="B80" s="42">
        <v>21</v>
      </c>
      <c r="C80" s="43">
        <v>45755</v>
      </c>
      <c r="D80" s="42">
        <v>82512050001</v>
      </c>
      <c r="E80" s="44">
        <v>45996</v>
      </c>
      <c r="F80" s="45" t="s">
        <v>142</v>
      </c>
      <c r="G80" s="54" t="s">
        <v>144</v>
      </c>
      <c r="H80" s="46" t="s">
        <v>16</v>
      </c>
      <c r="I80" s="46"/>
      <c r="J80" s="43"/>
      <c r="K80" s="47">
        <v>4</v>
      </c>
      <c r="L80" s="49">
        <f t="shared" si="3"/>
        <v>4</v>
      </c>
      <c r="M80" s="48">
        <f t="shared" si="5"/>
        <v>8135.6</v>
      </c>
      <c r="N80" s="48">
        <v>2033.9</v>
      </c>
      <c r="O80" s="50">
        <v>9</v>
      </c>
      <c r="P80" s="50">
        <v>9</v>
      </c>
      <c r="Q80" s="51">
        <f t="shared" si="4"/>
        <v>9600.0079999999998</v>
      </c>
      <c r="R80" s="48"/>
      <c r="S80" s="24">
        <v>22</v>
      </c>
      <c r="T80" s="43">
        <v>45755</v>
      </c>
      <c r="U80" s="43" t="s">
        <v>117</v>
      </c>
      <c r="V80" s="46" t="s">
        <v>33</v>
      </c>
      <c r="W80" s="54" t="s">
        <v>19</v>
      </c>
    </row>
    <row r="81" spans="1:23" s="27" customFormat="1" ht="34.950000000000003" customHeight="1" x14ac:dyDescent="0.25">
      <c r="A81" s="12">
        <f>SUBTOTAL(3,$B$2:B81)</f>
        <v>80</v>
      </c>
      <c r="B81" s="42">
        <v>22</v>
      </c>
      <c r="C81" s="43">
        <v>45755</v>
      </c>
      <c r="D81" s="42">
        <v>82512180001</v>
      </c>
      <c r="E81" s="44">
        <v>46009</v>
      </c>
      <c r="F81" s="45" t="s">
        <v>145</v>
      </c>
      <c r="G81" s="54" t="s">
        <v>146</v>
      </c>
      <c r="H81" s="46" t="s">
        <v>94</v>
      </c>
      <c r="I81" s="46"/>
      <c r="J81" s="43"/>
      <c r="K81" s="47">
        <v>24</v>
      </c>
      <c r="L81" s="49">
        <f t="shared" si="3"/>
        <v>24</v>
      </c>
      <c r="M81" s="48">
        <f t="shared" si="5"/>
        <v>22881.3</v>
      </c>
      <c r="N81" s="48">
        <v>953.38749999999993</v>
      </c>
      <c r="O81" s="50">
        <v>9</v>
      </c>
      <c r="P81" s="50">
        <v>9</v>
      </c>
      <c r="Q81" s="51">
        <f t="shared" si="4"/>
        <v>26999.933999999997</v>
      </c>
      <c r="R81" s="48"/>
      <c r="S81" s="24" t="s">
        <v>147</v>
      </c>
      <c r="T81" s="43">
        <v>45754</v>
      </c>
      <c r="U81" s="43" t="s">
        <v>148</v>
      </c>
      <c r="V81" s="46" t="s">
        <v>33</v>
      </c>
      <c r="W81" s="54" t="s">
        <v>34</v>
      </c>
    </row>
    <row r="82" spans="1:23" s="27" customFormat="1" ht="34.950000000000003" customHeight="1" x14ac:dyDescent="0.25">
      <c r="A82" s="12">
        <f>SUBTOTAL(3,$B$2:B82)</f>
        <v>81</v>
      </c>
      <c r="B82" s="42">
        <v>22</v>
      </c>
      <c r="C82" s="43">
        <v>45755</v>
      </c>
      <c r="D82" s="42">
        <v>82512180001</v>
      </c>
      <c r="E82" s="44">
        <v>46009</v>
      </c>
      <c r="F82" s="45" t="s">
        <v>145</v>
      </c>
      <c r="G82" s="54" t="s">
        <v>149</v>
      </c>
      <c r="H82" s="46" t="s">
        <v>150</v>
      </c>
      <c r="I82" s="46"/>
      <c r="J82" s="43"/>
      <c r="K82" s="47">
        <v>200</v>
      </c>
      <c r="L82" s="49">
        <f t="shared" si="3"/>
        <v>200</v>
      </c>
      <c r="M82" s="48">
        <f t="shared" si="5"/>
        <v>13135.589999999998</v>
      </c>
      <c r="N82" s="48">
        <v>65.677949999999996</v>
      </c>
      <c r="O82" s="50">
        <v>9</v>
      </c>
      <c r="P82" s="50">
        <v>9</v>
      </c>
      <c r="Q82" s="51">
        <f t="shared" si="4"/>
        <v>15499.996199999998</v>
      </c>
      <c r="R82" s="48"/>
      <c r="S82" s="24" t="s">
        <v>147</v>
      </c>
      <c r="T82" s="43">
        <v>45754</v>
      </c>
      <c r="U82" s="43" t="s">
        <v>148</v>
      </c>
      <c r="V82" s="46" t="s">
        <v>33</v>
      </c>
      <c r="W82" s="54" t="s">
        <v>34</v>
      </c>
    </row>
    <row r="83" spans="1:23" s="27" customFormat="1" ht="34.950000000000003" customHeight="1" x14ac:dyDescent="0.25">
      <c r="A83" s="12">
        <f>SUBTOTAL(3,$B$2:B83)</f>
        <v>82</v>
      </c>
      <c r="B83" s="42">
        <v>22</v>
      </c>
      <c r="C83" s="43">
        <v>45755</v>
      </c>
      <c r="D83" s="42">
        <v>82512180001</v>
      </c>
      <c r="E83" s="44">
        <v>46009</v>
      </c>
      <c r="F83" s="45" t="s">
        <v>145</v>
      </c>
      <c r="G83" s="54" t="s">
        <v>151</v>
      </c>
      <c r="H83" s="46" t="s">
        <v>150</v>
      </c>
      <c r="I83" s="46"/>
      <c r="J83" s="43"/>
      <c r="K83" s="59">
        <v>400</v>
      </c>
      <c r="L83" s="49">
        <f t="shared" si="3"/>
        <v>400</v>
      </c>
      <c r="M83" s="48">
        <f t="shared" si="5"/>
        <v>54236</v>
      </c>
      <c r="N83" s="48">
        <v>135.59</v>
      </c>
      <c r="O83" s="50">
        <v>9</v>
      </c>
      <c r="P83" s="50">
        <v>9</v>
      </c>
      <c r="Q83" s="51">
        <f t="shared" si="4"/>
        <v>63998.479999999996</v>
      </c>
      <c r="R83" s="48"/>
      <c r="S83" s="24" t="s">
        <v>147</v>
      </c>
      <c r="T83" s="43">
        <v>45754</v>
      </c>
      <c r="U83" s="43" t="s">
        <v>148</v>
      </c>
      <c r="V83" s="46" t="s">
        <v>33</v>
      </c>
      <c r="W83" s="54" t="s">
        <v>34</v>
      </c>
    </row>
    <row r="84" spans="1:23" s="27" customFormat="1" ht="34.950000000000003" customHeight="1" x14ac:dyDescent="0.25">
      <c r="A84" s="12">
        <f>SUBTOTAL(3,$B$2:B84)</f>
        <v>83</v>
      </c>
      <c r="B84" s="42">
        <v>22</v>
      </c>
      <c r="C84" s="43">
        <v>45755</v>
      </c>
      <c r="D84" s="42">
        <v>82512180001</v>
      </c>
      <c r="E84" s="44">
        <v>46009</v>
      </c>
      <c r="F84" s="45" t="s">
        <v>145</v>
      </c>
      <c r="G84" s="54" t="s">
        <v>152</v>
      </c>
      <c r="H84" s="46" t="s">
        <v>16</v>
      </c>
      <c r="I84" s="46"/>
      <c r="J84" s="43"/>
      <c r="K84" s="47">
        <v>20</v>
      </c>
      <c r="L84" s="49">
        <f t="shared" si="3"/>
        <v>20</v>
      </c>
      <c r="M84" s="48">
        <f t="shared" si="5"/>
        <v>17800</v>
      </c>
      <c r="N84" s="48">
        <v>890</v>
      </c>
      <c r="O84" s="50">
        <v>9</v>
      </c>
      <c r="P84" s="50">
        <v>9</v>
      </c>
      <c r="Q84" s="51">
        <f t="shared" si="4"/>
        <v>21004</v>
      </c>
      <c r="R84" s="48"/>
      <c r="S84" s="24" t="s">
        <v>147</v>
      </c>
      <c r="T84" s="43">
        <v>45754</v>
      </c>
      <c r="U84" s="43" t="s">
        <v>148</v>
      </c>
      <c r="V84" s="46" t="s">
        <v>33</v>
      </c>
      <c r="W84" s="54" t="s">
        <v>34</v>
      </c>
    </row>
    <row r="85" spans="1:23" s="27" customFormat="1" ht="34.950000000000003" customHeight="1" x14ac:dyDescent="0.25">
      <c r="A85" s="12">
        <f>SUBTOTAL(3,$B$2:B85)</f>
        <v>84</v>
      </c>
      <c r="B85" s="42">
        <v>22</v>
      </c>
      <c r="C85" s="43">
        <v>45755</v>
      </c>
      <c r="D85" s="42">
        <v>82512180001</v>
      </c>
      <c r="E85" s="44">
        <v>46009</v>
      </c>
      <c r="F85" s="45" t="s">
        <v>145</v>
      </c>
      <c r="G85" s="54" t="s">
        <v>153</v>
      </c>
      <c r="H85" s="46" t="s">
        <v>16</v>
      </c>
      <c r="I85" s="46"/>
      <c r="J85" s="43"/>
      <c r="K85" s="47">
        <v>1</v>
      </c>
      <c r="L85" s="49">
        <f t="shared" si="3"/>
        <v>1</v>
      </c>
      <c r="M85" s="48">
        <f t="shared" si="5"/>
        <v>847.42</v>
      </c>
      <c r="N85" s="48">
        <v>847.42</v>
      </c>
      <c r="O85" s="50">
        <v>9</v>
      </c>
      <c r="P85" s="50">
        <v>9</v>
      </c>
      <c r="Q85" s="51">
        <f t="shared" si="4"/>
        <v>999.95559999999989</v>
      </c>
      <c r="R85" s="48"/>
      <c r="S85" s="24" t="s">
        <v>147</v>
      </c>
      <c r="T85" s="43">
        <v>45754</v>
      </c>
      <c r="U85" s="43" t="s">
        <v>148</v>
      </c>
      <c r="V85" s="46" t="s">
        <v>33</v>
      </c>
      <c r="W85" s="54" t="s">
        <v>112</v>
      </c>
    </row>
    <row r="86" spans="1:23" s="27" customFormat="1" ht="34.950000000000003" customHeight="1" x14ac:dyDescent="0.25">
      <c r="A86" s="12">
        <f>SUBTOTAL(3,$B$2:B86)</f>
        <v>85</v>
      </c>
      <c r="B86" s="42">
        <v>22</v>
      </c>
      <c r="C86" s="43">
        <v>45755</v>
      </c>
      <c r="D86" s="42">
        <v>82512180001</v>
      </c>
      <c r="E86" s="44">
        <v>46009</v>
      </c>
      <c r="F86" s="45" t="s">
        <v>145</v>
      </c>
      <c r="G86" s="54" t="s">
        <v>154</v>
      </c>
      <c r="H86" s="46" t="s">
        <v>155</v>
      </c>
      <c r="I86" s="46"/>
      <c r="J86" s="43"/>
      <c r="K86" s="47">
        <v>20</v>
      </c>
      <c r="L86" s="49">
        <f t="shared" si="3"/>
        <v>20</v>
      </c>
      <c r="M86" s="48">
        <f t="shared" si="5"/>
        <v>11016</v>
      </c>
      <c r="N86" s="48">
        <v>550.79999999999995</v>
      </c>
      <c r="O86" s="50">
        <v>9</v>
      </c>
      <c r="P86" s="50">
        <v>9</v>
      </c>
      <c r="Q86" s="51">
        <f t="shared" si="4"/>
        <v>12998.88</v>
      </c>
      <c r="R86" s="48"/>
      <c r="S86" s="24" t="s">
        <v>147</v>
      </c>
      <c r="T86" s="43">
        <v>45754</v>
      </c>
      <c r="U86" s="43" t="s">
        <v>148</v>
      </c>
      <c r="V86" s="46" t="s">
        <v>33</v>
      </c>
      <c r="W86" s="54" t="s">
        <v>34</v>
      </c>
    </row>
    <row r="87" spans="1:23" s="27" customFormat="1" ht="34.950000000000003" customHeight="1" x14ac:dyDescent="0.25">
      <c r="A87" s="12">
        <f>SUBTOTAL(3,$B$2:B87)</f>
        <v>86</v>
      </c>
      <c r="B87" s="42">
        <v>22</v>
      </c>
      <c r="C87" s="43">
        <v>45755</v>
      </c>
      <c r="D87" s="42">
        <v>82512180001</v>
      </c>
      <c r="E87" s="44">
        <v>46009</v>
      </c>
      <c r="F87" s="45" t="s">
        <v>145</v>
      </c>
      <c r="G87" s="52" t="s">
        <v>156</v>
      </c>
      <c r="H87" s="46" t="s">
        <v>16</v>
      </c>
      <c r="I87" s="46"/>
      <c r="J87" s="43"/>
      <c r="K87" s="47">
        <v>24</v>
      </c>
      <c r="L87" s="49">
        <f t="shared" si="3"/>
        <v>24</v>
      </c>
      <c r="M87" s="48">
        <f t="shared" si="5"/>
        <v>3050.64</v>
      </c>
      <c r="N87" s="48">
        <v>127.11</v>
      </c>
      <c r="O87" s="50">
        <v>9</v>
      </c>
      <c r="P87" s="50">
        <v>9</v>
      </c>
      <c r="Q87" s="51">
        <f t="shared" si="4"/>
        <v>3599.7551999999996</v>
      </c>
      <c r="R87" s="48"/>
      <c r="S87" s="24" t="s">
        <v>147</v>
      </c>
      <c r="T87" s="43">
        <v>45754</v>
      </c>
      <c r="U87" s="43" t="s">
        <v>148</v>
      </c>
      <c r="V87" s="46" t="s">
        <v>33</v>
      </c>
      <c r="W87" s="54" t="s">
        <v>34</v>
      </c>
    </row>
    <row r="88" spans="1:23" s="27" customFormat="1" ht="34.950000000000003" customHeight="1" x14ac:dyDescent="0.25">
      <c r="A88" s="12">
        <f>SUBTOTAL(3,$B$2:B88)</f>
        <v>87</v>
      </c>
      <c r="B88" s="42">
        <v>23</v>
      </c>
      <c r="C88" s="43">
        <v>45756</v>
      </c>
      <c r="D88" s="42">
        <v>82508230001</v>
      </c>
      <c r="E88" s="44">
        <v>45892</v>
      </c>
      <c r="F88" s="45" t="s">
        <v>157</v>
      </c>
      <c r="G88" s="52" t="s">
        <v>158</v>
      </c>
      <c r="H88" s="46" t="s">
        <v>16</v>
      </c>
      <c r="I88" s="46"/>
      <c r="J88" s="43"/>
      <c r="K88" s="47">
        <v>2</v>
      </c>
      <c r="L88" s="49">
        <f t="shared" si="3"/>
        <v>2</v>
      </c>
      <c r="M88" s="48">
        <f t="shared" si="5"/>
        <v>54000</v>
      </c>
      <c r="N88" s="48">
        <v>27000</v>
      </c>
      <c r="O88" s="50">
        <v>9</v>
      </c>
      <c r="P88" s="50">
        <v>9</v>
      </c>
      <c r="Q88" s="51">
        <f t="shared" si="4"/>
        <v>63720</v>
      </c>
      <c r="R88" s="48"/>
      <c r="S88" s="24">
        <v>6</v>
      </c>
      <c r="T88" s="43">
        <v>45755</v>
      </c>
      <c r="U88" s="43" t="s">
        <v>159</v>
      </c>
      <c r="V88" s="46" t="s">
        <v>33</v>
      </c>
      <c r="W88" s="54" t="s">
        <v>34</v>
      </c>
    </row>
    <row r="89" spans="1:23" s="27" customFormat="1" ht="34.950000000000003" customHeight="1" x14ac:dyDescent="0.25">
      <c r="A89" s="12">
        <f>SUBTOTAL(3,$B$2:B89)</f>
        <v>88</v>
      </c>
      <c r="B89" s="42">
        <v>23</v>
      </c>
      <c r="C89" s="43">
        <v>45756</v>
      </c>
      <c r="D89" s="42">
        <v>82508230001</v>
      </c>
      <c r="E89" s="44">
        <v>45892</v>
      </c>
      <c r="F89" s="45" t="s">
        <v>157</v>
      </c>
      <c r="G89" s="52" t="s">
        <v>160</v>
      </c>
      <c r="H89" s="46" t="s">
        <v>16</v>
      </c>
      <c r="I89" s="46"/>
      <c r="J89" s="43"/>
      <c r="K89" s="47">
        <v>3</v>
      </c>
      <c r="L89" s="49">
        <f t="shared" si="3"/>
        <v>3</v>
      </c>
      <c r="M89" s="48">
        <f t="shared" si="5"/>
        <v>7500</v>
      </c>
      <c r="N89" s="48">
        <v>2500</v>
      </c>
      <c r="O89" s="50">
        <v>9</v>
      </c>
      <c r="P89" s="50">
        <v>9</v>
      </c>
      <c r="Q89" s="51">
        <f t="shared" si="4"/>
        <v>8850</v>
      </c>
      <c r="R89" s="48"/>
      <c r="S89" s="24">
        <v>6</v>
      </c>
      <c r="T89" s="43">
        <v>45755</v>
      </c>
      <c r="U89" s="43" t="s">
        <v>159</v>
      </c>
      <c r="V89" s="46" t="s">
        <v>33</v>
      </c>
      <c r="W89" s="54" t="s">
        <v>34</v>
      </c>
    </row>
    <row r="90" spans="1:23" s="27" customFormat="1" ht="34.950000000000003" customHeight="1" x14ac:dyDescent="0.25">
      <c r="A90" s="12">
        <f>SUBTOTAL(3,$B$2:B90)</f>
        <v>89</v>
      </c>
      <c r="B90" s="42">
        <v>24</v>
      </c>
      <c r="C90" s="43">
        <v>45756</v>
      </c>
      <c r="D90" s="42">
        <v>0</v>
      </c>
      <c r="E90" s="44">
        <v>0</v>
      </c>
      <c r="F90" s="45" t="s">
        <v>161</v>
      </c>
      <c r="G90" s="52" t="s">
        <v>162</v>
      </c>
      <c r="H90" s="46" t="s">
        <v>16</v>
      </c>
      <c r="I90" s="46" t="s">
        <v>163</v>
      </c>
      <c r="J90" s="43">
        <v>45720</v>
      </c>
      <c r="K90" s="47">
        <v>1</v>
      </c>
      <c r="L90" s="49">
        <f t="shared" si="3"/>
        <v>1</v>
      </c>
      <c r="M90" s="48">
        <f t="shared" si="5"/>
        <v>230000</v>
      </c>
      <c r="N90" s="48">
        <v>230000</v>
      </c>
      <c r="O90" s="50">
        <v>9</v>
      </c>
      <c r="P90" s="50">
        <v>9</v>
      </c>
      <c r="Q90" s="51">
        <f t="shared" si="4"/>
        <v>271400</v>
      </c>
      <c r="R90" s="48"/>
      <c r="S90" s="24" t="s">
        <v>164</v>
      </c>
      <c r="T90" s="43">
        <v>45756</v>
      </c>
      <c r="U90" s="43" t="s">
        <v>165</v>
      </c>
      <c r="V90" s="46" t="s">
        <v>33</v>
      </c>
      <c r="W90" s="54" t="s">
        <v>166</v>
      </c>
    </row>
    <row r="91" spans="1:23" s="27" customFormat="1" ht="34.950000000000003" customHeight="1" x14ac:dyDescent="0.25">
      <c r="A91" s="12">
        <f>SUBTOTAL(3,$B$2:B91)</f>
        <v>90</v>
      </c>
      <c r="B91" s="42">
        <v>24</v>
      </c>
      <c r="C91" s="43">
        <v>45756</v>
      </c>
      <c r="D91" s="42">
        <v>0</v>
      </c>
      <c r="E91" s="44">
        <v>0</v>
      </c>
      <c r="F91" s="45" t="s">
        <v>161</v>
      </c>
      <c r="G91" s="52" t="s">
        <v>167</v>
      </c>
      <c r="H91" s="46" t="s">
        <v>16</v>
      </c>
      <c r="I91" s="46" t="s">
        <v>163</v>
      </c>
      <c r="J91" s="43">
        <v>45720</v>
      </c>
      <c r="K91" s="47">
        <v>1</v>
      </c>
      <c r="L91" s="49">
        <f t="shared" si="3"/>
        <v>1</v>
      </c>
      <c r="M91" s="48">
        <f t="shared" si="5"/>
        <v>200000</v>
      </c>
      <c r="N91" s="48">
        <v>200000</v>
      </c>
      <c r="O91" s="50">
        <v>9</v>
      </c>
      <c r="P91" s="50">
        <v>9</v>
      </c>
      <c r="Q91" s="51">
        <f t="shared" si="4"/>
        <v>236000</v>
      </c>
      <c r="R91" s="48"/>
      <c r="S91" s="24" t="s">
        <v>164</v>
      </c>
      <c r="T91" s="43">
        <v>45756</v>
      </c>
      <c r="U91" s="43" t="s">
        <v>165</v>
      </c>
      <c r="V91" s="46" t="s">
        <v>33</v>
      </c>
      <c r="W91" s="54" t="s">
        <v>166</v>
      </c>
    </row>
    <row r="92" spans="1:23" s="27" customFormat="1" ht="34.950000000000003" customHeight="1" x14ac:dyDescent="0.25">
      <c r="A92" s="12">
        <f>SUBTOTAL(3,$B$2:B92)</f>
        <v>91</v>
      </c>
      <c r="B92" s="42">
        <v>24</v>
      </c>
      <c r="C92" s="43">
        <v>45756</v>
      </c>
      <c r="D92" s="42">
        <v>0</v>
      </c>
      <c r="E92" s="44">
        <v>0</v>
      </c>
      <c r="F92" s="45" t="s">
        <v>161</v>
      </c>
      <c r="G92" s="52" t="s">
        <v>168</v>
      </c>
      <c r="H92" s="46" t="s">
        <v>16</v>
      </c>
      <c r="I92" s="46" t="s">
        <v>163</v>
      </c>
      <c r="J92" s="43">
        <v>45720</v>
      </c>
      <c r="K92" s="47">
        <v>2</v>
      </c>
      <c r="L92" s="49">
        <f t="shared" si="3"/>
        <v>2</v>
      </c>
      <c r="M92" s="48">
        <f t="shared" si="5"/>
        <v>61950</v>
      </c>
      <c r="N92" s="48">
        <v>30975</v>
      </c>
      <c r="O92" s="50">
        <v>9</v>
      </c>
      <c r="P92" s="50">
        <v>9</v>
      </c>
      <c r="Q92" s="51">
        <f t="shared" si="4"/>
        <v>73101</v>
      </c>
      <c r="R92" s="48"/>
      <c r="S92" s="24" t="s">
        <v>164</v>
      </c>
      <c r="T92" s="43">
        <v>45756</v>
      </c>
      <c r="U92" s="43" t="s">
        <v>165</v>
      </c>
      <c r="V92" s="46" t="s">
        <v>33</v>
      </c>
      <c r="W92" s="54" t="s">
        <v>166</v>
      </c>
    </row>
    <row r="93" spans="1:23" s="27" customFormat="1" ht="34.950000000000003" customHeight="1" x14ac:dyDescent="0.25">
      <c r="A93" s="12">
        <f>SUBTOTAL(3,$B$2:B93)</f>
        <v>92</v>
      </c>
      <c r="B93" s="42">
        <v>24</v>
      </c>
      <c r="C93" s="43">
        <v>45756</v>
      </c>
      <c r="D93" s="42">
        <v>0</v>
      </c>
      <c r="E93" s="44">
        <v>0</v>
      </c>
      <c r="F93" s="45" t="s">
        <v>161</v>
      </c>
      <c r="G93" s="45" t="s">
        <v>169</v>
      </c>
      <c r="H93" s="46" t="s">
        <v>16</v>
      </c>
      <c r="I93" s="46" t="s">
        <v>163</v>
      </c>
      <c r="J93" s="43">
        <v>45720</v>
      </c>
      <c r="K93" s="47">
        <v>1</v>
      </c>
      <c r="L93" s="49">
        <f t="shared" si="3"/>
        <v>1</v>
      </c>
      <c r="M93" s="48">
        <f t="shared" si="5"/>
        <v>125000</v>
      </c>
      <c r="N93" s="48">
        <v>125000</v>
      </c>
      <c r="O93" s="50">
        <v>9</v>
      </c>
      <c r="P93" s="50">
        <v>9</v>
      </c>
      <c r="Q93" s="51">
        <f t="shared" si="4"/>
        <v>147500</v>
      </c>
      <c r="R93" s="48"/>
      <c r="S93" s="24" t="s">
        <v>164</v>
      </c>
      <c r="T93" s="43">
        <v>45756</v>
      </c>
      <c r="U93" s="43" t="s">
        <v>165</v>
      </c>
      <c r="V93" s="46" t="s">
        <v>33</v>
      </c>
      <c r="W93" s="54" t="s">
        <v>166</v>
      </c>
    </row>
    <row r="94" spans="1:23" s="27" customFormat="1" ht="34.950000000000003" customHeight="1" x14ac:dyDescent="0.25">
      <c r="A94" s="12">
        <f>SUBTOTAL(3,$B$2:B94)</f>
        <v>93</v>
      </c>
      <c r="B94" s="42">
        <v>24</v>
      </c>
      <c r="C94" s="43">
        <v>45756</v>
      </c>
      <c r="D94" s="42">
        <v>0</v>
      </c>
      <c r="E94" s="44">
        <v>0</v>
      </c>
      <c r="F94" s="45" t="s">
        <v>161</v>
      </c>
      <c r="G94" s="45" t="s">
        <v>170</v>
      </c>
      <c r="H94" s="46" t="s">
        <v>16</v>
      </c>
      <c r="I94" s="46" t="s">
        <v>163</v>
      </c>
      <c r="J94" s="43">
        <v>45720</v>
      </c>
      <c r="K94" s="47">
        <v>1</v>
      </c>
      <c r="L94" s="49">
        <f t="shared" si="3"/>
        <v>1</v>
      </c>
      <c r="M94" s="48">
        <f t="shared" si="5"/>
        <v>400000</v>
      </c>
      <c r="N94" s="48">
        <v>400000</v>
      </c>
      <c r="O94" s="50">
        <v>9</v>
      </c>
      <c r="P94" s="50">
        <v>9</v>
      </c>
      <c r="Q94" s="51">
        <f t="shared" si="4"/>
        <v>472000</v>
      </c>
      <c r="R94" s="48"/>
      <c r="S94" s="24" t="s">
        <v>164</v>
      </c>
      <c r="T94" s="43">
        <v>45756</v>
      </c>
      <c r="U94" s="43" t="s">
        <v>165</v>
      </c>
      <c r="V94" s="46" t="s">
        <v>33</v>
      </c>
      <c r="W94" s="54" t="s">
        <v>166</v>
      </c>
    </row>
    <row r="95" spans="1:23" s="27" customFormat="1" ht="34.950000000000003" customHeight="1" x14ac:dyDescent="0.25">
      <c r="A95" s="12">
        <f>SUBTOTAL(3,$B$2:B95)</f>
        <v>94</v>
      </c>
      <c r="B95" s="13">
        <v>25</v>
      </c>
      <c r="C95" s="14">
        <v>45758</v>
      </c>
      <c r="D95" s="13">
        <v>0</v>
      </c>
      <c r="E95" s="14">
        <v>0</v>
      </c>
      <c r="F95" s="15" t="s">
        <v>171</v>
      </c>
      <c r="G95" s="25" t="s">
        <v>172</v>
      </c>
      <c r="H95" s="16" t="s">
        <v>155</v>
      </c>
      <c r="I95" s="16"/>
      <c r="J95" s="14"/>
      <c r="K95" s="19">
        <v>5</v>
      </c>
      <c r="L95" s="21">
        <f t="shared" si="3"/>
        <v>5</v>
      </c>
      <c r="M95" s="20">
        <f t="shared" si="5"/>
        <v>1425</v>
      </c>
      <c r="N95" s="20">
        <v>285</v>
      </c>
      <c r="O95" s="22">
        <v>0</v>
      </c>
      <c r="P95" s="22">
        <v>0</v>
      </c>
      <c r="Q95" s="23">
        <f t="shared" si="4"/>
        <v>1425</v>
      </c>
      <c r="R95" s="20">
        <v>250</v>
      </c>
      <c r="S95" s="18">
        <v>2025</v>
      </c>
      <c r="T95" s="14">
        <v>45758</v>
      </c>
      <c r="U95" s="14" t="s">
        <v>173</v>
      </c>
      <c r="V95" s="16" t="s">
        <v>18</v>
      </c>
      <c r="W95" s="61" t="s">
        <v>34</v>
      </c>
    </row>
    <row r="96" spans="1:23" s="27" customFormat="1" ht="34.950000000000003" customHeight="1" x14ac:dyDescent="0.25">
      <c r="A96" s="12">
        <f>SUBTOTAL(3,$B$2:B96)</f>
        <v>95</v>
      </c>
      <c r="B96" s="13">
        <v>26</v>
      </c>
      <c r="C96" s="14">
        <v>45758</v>
      </c>
      <c r="D96" s="13">
        <v>0</v>
      </c>
      <c r="E96" s="14">
        <v>0</v>
      </c>
      <c r="F96" s="15" t="s">
        <v>110</v>
      </c>
      <c r="G96" s="25" t="s">
        <v>174</v>
      </c>
      <c r="H96" s="16" t="s">
        <v>23</v>
      </c>
      <c r="I96" s="16"/>
      <c r="J96" s="14"/>
      <c r="K96" s="19">
        <v>30</v>
      </c>
      <c r="L96" s="21">
        <f t="shared" si="3"/>
        <v>30</v>
      </c>
      <c r="M96" s="20">
        <f t="shared" si="5"/>
        <v>1350</v>
      </c>
      <c r="N96" s="20">
        <v>45</v>
      </c>
      <c r="O96" s="22">
        <v>0</v>
      </c>
      <c r="P96" s="22">
        <v>0</v>
      </c>
      <c r="Q96" s="23">
        <f t="shared" si="4"/>
        <v>1350</v>
      </c>
      <c r="R96" s="20"/>
      <c r="S96" s="18">
        <v>124</v>
      </c>
      <c r="T96" s="14">
        <v>45758</v>
      </c>
      <c r="U96" s="14" t="s">
        <v>173</v>
      </c>
      <c r="V96" s="16" t="s">
        <v>18</v>
      </c>
      <c r="W96" s="61" t="s">
        <v>34</v>
      </c>
    </row>
    <row r="97" spans="1:23" s="27" customFormat="1" ht="34.950000000000003" customHeight="1" x14ac:dyDescent="0.25">
      <c r="A97" s="12">
        <f>SUBTOTAL(3,$B$2:B97)</f>
        <v>96</v>
      </c>
      <c r="B97" s="13">
        <v>27</v>
      </c>
      <c r="C97" s="14">
        <v>45758</v>
      </c>
      <c r="D97" s="13">
        <v>0</v>
      </c>
      <c r="E97" s="14">
        <v>0</v>
      </c>
      <c r="F97" s="15" t="s">
        <v>89</v>
      </c>
      <c r="G97" s="25" t="s">
        <v>156</v>
      </c>
      <c r="H97" s="16" t="s">
        <v>16</v>
      </c>
      <c r="I97" s="16"/>
      <c r="J97" s="14"/>
      <c r="K97" s="19">
        <v>2</v>
      </c>
      <c r="L97" s="21">
        <f t="shared" si="3"/>
        <v>2</v>
      </c>
      <c r="M97" s="20">
        <f t="shared" si="5"/>
        <v>360</v>
      </c>
      <c r="N97" s="20">
        <v>180</v>
      </c>
      <c r="O97" s="22"/>
      <c r="P97" s="22"/>
      <c r="Q97" s="23">
        <f t="shared" si="4"/>
        <v>360</v>
      </c>
      <c r="R97" s="20"/>
      <c r="S97" s="18" t="s">
        <v>175</v>
      </c>
      <c r="T97" s="14">
        <v>45750</v>
      </c>
      <c r="U97" s="14" t="s">
        <v>91</v>
      </c>
      <c r="V97" s="16" t="s">
        <v>18</v>
      </c>
      <c r="W97" s="61" t="s">
        <v>34</v>
      </c>
    </row>
    <row r="98" spans="1:23" s="27" customFormat="1" ht="34.950000000000003" customHeight="1" x14ac:dyDescent="0.25">
      <c r="A98" s="12">
        <f>SUBTOTAL(3,$B$2:B98)</f>
        <v>97</v>
      </c>
      <c r="B98" s="42">
        <v>28</v>
      </c>
      <c r="C98" s="43">
        <v>45759</v>
      </c>
      <c r="D98" s="42">
        <v>82601240001</v>
      </c>
      <c r="E98" s="44">
        <v>46046</v>
      </c>
      <c r="F98" s="45" t="s">
        <v>176</v>
      </c>
      <c r="G98" s="52" t="s">
        <v>177</v>
      </c>
      <c r="H98" s="46" t="s">
        <v>16</v>
      </c>
      <c r="I98" s="46"/>
      <c r="J98" s="43"/>
      <c r="K98" s="47">
        <v>1</v>
      </c>
      <c r="L98" s="49">
        <f t="shared" si="3"/>
        <v>1</v>
      </c>
      <c r="M98" s="48">
        <f t="shared" si="5"/>
        <v>5763</v>
      </c>
      <c r="N98" s="48">
        <v>5763</v>
      </c>
      <c r="O98" s="50">
        <v>9</v>
      </c>
      <c r="P98" s="50">
        <v>9</v>
      </c>
      <c r="Q98" s="51">
        <f t="shared" si="4"/>
        <v>6800.3399999999992</v>
      </c>
      <c r="R98" s="48"/>
      <c r="S98" s="24">
        <v>3308</v>
      </c>
      <c r="T98" s="43">
        <v>45756</v>
      </c>
      <c r="U98" s="43" t="s">
        <v>178</v>
      </c>
      <c r="V98" s="46" t="s">
        <v>33</v>
      </c>
      <c r="W98" s="54" t="s">
        <v>179</v>
      </c>
    </row>
    <row r="99" spans="1:23" s="27" customFormat="1" ht="34.950000000000003" customHeight="1" x14ac:dyDescent="0.25">
      <c r="A99" s="12">
        <f>SUBTOTAL(3,$B$2:B99)</f>
        <v>98</v>
      </c>
      <c r="B99" s="42">
        <v>28</v>
      </c>
      <c r="C99" s="43">
        <v>45759</v>
      </c>
      <c r="D99" s="42">
        <v>82601240001</v>
      </c>
      <c r="E99" s="44">
        <v>46046</v>
      </c>
      <c r="F99" s="45" t="s">
        <v>176</v>
      </c>
      <c r="G99" s="52" t="s">
        <v>180</v>
      </c>
      <c r="H99" s="57" t="s">
        <v>16</v>
      </c>
      <c r="I99" s="46"/>
      <c r="J99" s="43"/>
      <c r="K99" s="47">
        <v>1</v>
      </c>
      <c r="L99" s="49">
        <f t="shared" si="3"/>
        <v>1</v>
      </c>
      <c r="M99" s="48">
        <f t="shared" si="5"/>
        <v>4556</v>
      </c>
      <c r="N99" s="48">
        <v>4556</v>
      </c>
      <c r="O99" s="50">
        <v>9</v>
      </c>
      <c r="P99" s="50">
        <v>9</v>
      </c>
      <c r="Q99" s="51">
        <f t="shared" si="4"/>
        <v>5376.08</v>
      </c>
      <c r="R99" s="48"/>
      <c r="S99" s="24">
        <v>3308</v>
      </c>
      <c r="T99" s="43">
        <v>45756</v>
      </c>
      <c r="U99" s="43" t="s">
        <v>178</v>
      </c>
      <c r="V99" s="46" t="s">
        <v>33</v>
      </c>
      <c r="W99" s="54" t="s">
        <v>166</v>
      </c>
    </row>
    <row r="100" spans="1:23" s="27" customFormat="1" ht="34.950000000000003" customHeight="1" x14ac:dyDescent="0.25">
      <c r="A100" s="12">
        <f>SUBTOTAL(3,$B$2:B100)</f>
        <v>99</v>
      </c>
      <c r="B100" s="42">
        <v>28</v>
      </c>
      <c r="C100" s="43">
        <v>45759</v>
      </c>
      <c r="D100" s="42">
        <v>82601240001</v>
      </c>
      <c r="E100" s="44">
        <v>46046</v>
      </c>
      <c r="F100" s="45" t="s">
        <v>176</v>
      </c>
      <c r="G100" s="52" t="s">
        <v>181</v>
      </c>
      <c r="H100" s="46" t="s">
        <v>16</v>
      </c>
      <c r="I100" s="12"/>
      <c r="J100" s="43"/>
      <c r="K100" s="47">
        <v>1</v>
      </c>
      <c r="L100" s="49">
        <f t="shared" si="3"/>
        <v>1</v>
      </c>
      <c r="M100" s="48">
        <f t="shared" si="5"/>
        <v>2797</v>
      </c>
      <c r="N100" s="48">
        <v>2797</v>
      </c>
      <c r="O100" s="50">
        <v>9</v>
      </c>
      <c r="P100" s="50">
        <v>9</v>
      </c>
      <c r="Q100" s="51">
        <f t="shared" si="4"/>
        <v>3300.46</v>
      </c>
      <c r="R100" s="48"/>
      <c r="S100" s="24">
        <v>3308</v>
      </c>
      <c r="T100" s="43">
        <v>45756</v>
      </c>
      <c r="U100" s="43" t="s">
        <v>178</v>
      </c>
      <c r="V100" s="46" t="s">
        <v>33</v>
      </c>
      <c r="W100" s="53" t="s">
        <v>179</v>
      </c>
    </row>
    <row r="101" spans="1:23" s="27" customFormat="1" ht="34.950000000000003" customHeight="1" x14ac:dyDescent="0.25">
      <c r="A101" s="12">
        <f>SUBTOTAL(3,$B$2:B101)</f>
        <v>100</v>
      </c>
      <c r="B101" s="42">
        <v>28</v>
      </c>
      <c r="C101" s="43">
        <v>45759</v>
      </c>
      <c r="D101" s="42">
        <v>82601240001</v>
      </c>
      <c r="E101" s="44">
        <v>46046</v>
      </c>
      <c r="F101" s="45" t="s">
        <v>176</v>
      </c>
      <c r="G101" s="52" t="s">
        <v>182</v>
      </c>
      <c r="H101" s="46" t="s">
        <v>16</v>
      </c>
      <c r="I101" s="12"/>
      <c r="J101" s="43"/>
      <c r="K101" s="47">
        <v>200</v>
      </c>
      <c r="L101" s="49">
        <f t="shared" si="3"/>
        <v>200</v>
      </c>
      <c r="M101" s="48">
        <f t="shared" si="5"/>
        <v>4000</v>
      </c>
      <c r="N101" s="48">
        <v>20</v>
      </c>
      <c r="O101" s="50">
        <v>9</v>
      </c>
      <c r="P101" s="50">
        <v>9</v>
      </c>
      <c r="Q101" s="51">
        <f t="shared" si="4"/>
        <v>4720</v>
      </c>
      <c r="R101" s="48"/>
      <c r="S101" s="24">
        <v>3308</v>
      </c>
      <c r="T101" s="43">
        <v>45756</v>
      </c>
      <c r="U101" s="43" t="s">
        <v>178</v>
      </c>
      <c r="V101" s="46" t="s">
        <v>33</v>
      </c>
      <c r="W101" s="53" t="s">
        <v>34</v>
      </c>
    </row>
    <row r="102" spans="1:23" s="27" customFormat="1" ht="34.950000000000003" customHeight="1" x14ac:dyDescent="0.25">
      <c r="A102" s="12">
        <f>SUBTOTAL(3,$B$2:B102)</f>
        <v>101</v>
      </c>
      <c r="B102" s="42">
        <v>29</v>
      </c>
      <c r="C102" s="43">
        <v>45759</v>
      </c>
      <c r="D102" s="42">
        <v>82601240006</v>
      </c>
      <c r="E102" s="44">
        <v>46046</v>
      </c>
      <c r="F102" s="45" t="s">
        <v>183</v>
      </c>
      <c r="G102" s="52" t="s">
        <v>184</v>
      </c>
      <c r="H102" s="46" t="s">
        <v>94</v>
      </c>
      <c r="I102" s="12"/>
      <c r="J102" s="43"/>
      <c r="K102" s="55">
        <v>1500</v>
      </c>
      <c r="L102" s="49">
        <f t="shared" si="3"/>
        <v>1500</v>
      </c>
      <c r="M102" s="48">
        <f t="shared" si="5"/>
        <v>91500</v>
      </c>
      <c r="N102" s="48">
        <v>61</v>
      </c>
      <c r="O102" s="50">
        <v>9</v>
      </c>
      <c r="P102" s="50">
        <v>9</v>
      </c>
      <c r="Q102" s="51">
        <f t="shared" si="4"/>
        <v>107970</v>
      </c>
      <c r="R102" s="48"/>
      <c r="S102" s="24">
        <v>57</v>
      </c>
      <c r="T102" s="43">
        <v>45759</v>
      </c>
      <c r="U102" s="43" t="s">
        <v>178</v>
      </c>
      <c r="V102" s="46" t="s">
        <v>33</v>
      </c>
      <c r="W102" s="53" t="s">
        <v>34</v>
      </c>
    </row>
    <row r="103" spans="1:23" s="27" customFormat="1" ht="34.950000000000003" customHeight="1" x14ac:dyDescent="0.25">
      <c r="A103" s="12">
        <f>SUBTOTAL(3,$B$2:B103)</f>
        <v>102</v>
      </c>
      <c r="B103" s="42">
        <v>29</v>
      </c>
      <c r="C103" s="43">
        <v>45759</v>
      </c>
      <c r="D103" s="42">
        <v>82601240006</v>
      </c>
      <c r="E103" s="44">
        <v>46046</v>
      </c>
      <c r="F103" s="45" t="s">
        <v>183</v>
      </c>
      <c r="G103" s="52" t="s">
        <v>113</v>
      </c>
      <c r="H103" s="46" t="s">
        <v>16</v>
      </c>
      <c r="I103" s="67"/>
      <c r="J103" s="43"/>
      <c r="K103" s="55">
        <v>14</v>
      </c>
      <c r="L103" s="49">
        <f t="shared" si="3"/>
        <v>14</v>
      </c>
      <c r="M103" s="48">
        <f t="shared" si="5"/>
        <v>1820</v>
      </c>
      <c r="N103" s="48">
        <v>130</v>
      </c>
      <c r="O103" s="50">
        <v>9</v>
      </c>
      <c r="P103" s="50">
        <v>9</v>
      </c>
      <c r="Q103" s="51">
        <f t="shared" si="4"/>
        <v>2147.6</v>
      </c>
      <c r="R103" s="48"/>
      <c r="S103" s="24">
        <v>57</v>
      </c>
      <c r="T103" s="43">
        <v>45759</v>
      </c>
      <c r="U103" s="43" t="s">
        <v>178</v>
      </c>
      <c r="V103" s="46" t="s">
        <v>33</v>
      </c>
      <c r="W103" s="54" t="s">
        <v>19</v>
      </c>
    </row>
    <row r="104" spans="1:23" s="27" customFormat="1" ht="34.950000000000003" customHeight="1" x14ac:dyDescent="0.25">
      <c r="A104" s="12">
        <f>SUBTOTAL(3,$B$2:B104)</f>
        <v>103</v>
      </c>
      <c r="B104" s="42">
        <v>29</v>
      </c>
      <c r="C104" s="43">
        <v>45759</v>
      </c>
      <c r="D104" s="42">
        <v>82601240006</v>
      </c>
      <c r="E104" s="44">
        <v>46046</v>
      </c>
      <c r="F104" s="45" t="s">
        <v>183</v>
      </c>
      <c r="G104" s="52" t="s">
        <v>185</v>
      </c>
      <c r="H104" s="46" t="s">
        <v>16</v>
      </c>
      <c r="I104" s="67"/>
      <c r="J104" s="43"/>
      <c r="K104" s="55">
        <v>8</v>
      </c>
      <c r="L104" s="49">
        <f t="shared" si="3"/>
        <v>8</v>
      </c>
      <c r="M104" s="48">
        <f t="shared" si="5"/>
        <v>2000</v>
      </c>
      <c r="N104" s="48">
        <v>250</v>
      </c>
      <c r="O104" s="50">
        <v>0</v>
      </c>
      <c r="P104" s="50">
        <v>0</v>
      </c>
      <c r="Q104" s="51">
        <f t="shared" si="4"/>
        <v>2000</v>
      </c>
      <c r="R104" s="48"/>
      <c r="S104" s="24">
        <v>57</v>
      </c>
      <c r="T104" s="43">
        <v>45759</v>
      </c>
      <c r="U104" s="43" t="s">
        <v>178</v>
      </c>
      <c r="V104" s="46" t="s">
        <v>33</v>
      </c>
      <c r="W104" s="54" t="s">
        <v>34</v>
      </c>
    </row>
    <row r="105" spans="1:23" s="27" customFormat="1" ht="34.950000000000003" customHeight="1" x14ac:dyDescent="0.25">
      <c r="A105" s="12">
        <f>SUBTOTAL(3,$B$2:B105)</f>
        <v>104</v>
      </c>
      <c r="B105" s="42">
        <v>29</v>
      </c>
      <c r="C105" s="43">
        <v>45759</v>
      </c>
      <c r="D105" s="42">
        <v>82601240006</v>
      </c>
      <c r="E105" s="44">
        <v>46046</v>
      </c>
      <c r="F105" s="45" t="s">
        <v>183</v>
      </c>
      <c r="G105" s="52" t="s">
        <v>186</v>
      </c>
      <c r="H105" s="46" t="s">
        <v>16</v>
      </c>
      <c r="I105" s="67"/>
      <c r="J105" s="43"/>
      <c r="K105" s="55">
        <v>8</v>
      </c>
      <c r="L105" s="49">
        <f t="shared" si="3"/>
        <v>8</v>
      </c>
      <c r="M105" s="48">
        <f t="shared" si="5"/>
        <v>1600</v>
      </c>
      <c r="N105" s="48">
        <v>200</v>
      </c>
      <c r="O105" s="50">
        <v>0</v>
      </c>
      <c r="P105" s="50">
        <v>0</v>
      </c>
      <c r="Q105" s="51">
        <f t="shared" si="4"/>
        <v>1600</v>
      </c>
      <c r="R105" s="48"/>
      <c r="S105" s="24">
        <v>57</v>
      </c>
      <c r="T105" s="43">
        <v>45759</v>
      </c>
      <c r="U105" s="43" t="s">
        <v>178</v>
      </c>
      <c r="V105" s="46" t="s">
        <v>33</v>
      </c>
      <c r="W105" s="54" t="s">
        <v>34</v>
      </c>
    </row>
    <row r="106" spans="1:23" s="27" customFormat="1" ht="34.950000000000003" customHeight="1" x14ac:dyDescent="0.25">
      <c r="A106" s="12">
        <f>SUBTOTAL(3,$B$2:B106)</f>
        <v>105</v>
      </c>
      <c r="B106" s="42">
        <v>29</v>
      </c>
      <c r="C106" s="43">
        <v>45759</v>
      </c>
      <c r="D106" s="42">
        <v>82601240006</v>
      </c>
      <c r="E106" s="44">
        <v>46046</v>
      </c>
      <c r="F106" s="45" t="s">
        <v>183</v>
      </c>
      <c r="G106" s="52" t="s">
        <v>185</v>
      </c>
      <c r="H106" s="46" t="s">
        <v>16</v>
      </c>
      <c r="I106" s="67"/>
      <c r="J106" s="43"/>
      <c r="K106" s="55">
        <v>2</v>
      </c>
      <c r="L106" s="49">
        <f t="shared" si="3"/>
        <v>2</v>
      </c>
      <c r="M106" s="48">
        <f t="shared" si="5"/>
        <v>700</v>
      </c>
      <c r="N106" s="48">
        <v>350</v>
      </c>
      <c r="O106" s="50">
        <v>0</v>
      </c>
      <c r="P106" s="50">
        <v>0</v>
      </c>
      <c r="Q106" s="51">
        <f t="shared" si="4"/>
        <v>700</v>
      </c>
      <c r="R106" s="48"/>
      <c r="S106" s="24">
        <v>57</v>
      </c>
      <c r="T106" s="43">
        <v>45759</v>
      </c>
      <c r="U106" s="43" t="s">
        <v>178</v>
      </c>
      <c r="V106" s="46" t="s">
        <v>33</v>
      </c>
      <c r="W106" s="54" t="s">
        <v>34</v>
      </c>
    </row>
    <row r="107" spans="1:23" s="27" customFormat="1" ht="34.950000000000003" customHeight="1" x14ac:dyDescent="0.25">
      <c r="A107" s="12">
        <f>SUBTOTAL(3,$B$2:B107)</f>
        <v>106</v>
      </c>
      <c r="B107" s="42">
        <v>29</v>
      </c>
      <c r="C107" s="43">
        <v>45759</v>
      </c>
      <c r="D107" s="42">
        <v>82601240006</v>
      </c>
      <c r="E107" s="44">
        <v>46046</v>
      </c>
      <c r="F107" s="45" t="s">
        <v>183</v>
      </c>
      <c r="G107" s="52" t="s">
        <v>186</v>
      </c>
      <c r="H107" s="46" t="s">
        <v>16</v>
      </c>
      <c r="I107" s="67"/>
      <c r="J107" s="43"/>
      <c r="K107" s="55">
        <v>2</v>
      </c>
      <c r="L107" s="49">
        <f t="shared" si="3"/>
        <v>2</v>
      </c>
      <c r="M107" s="48">
        <f t="shared" si="5"/>
        <v>500</v>
      </c>
      <c r="N107" s="48">
        <v>250</v>
      </c>
      <c r="O107" s="50">
        <v>0</v>
      </c>
      <c r="P107" s="50">
        <v>0</v>
      </c>
      <c r="Q107" s="51">
        <f t="shared" si="4"/>
        <v>500</v>
      </c>
      <c r="R107" s="48"/>
      <c r="S107" s="24">
        <v>57</v>
      </c>
      <c r="T107" s="43">
        <v>45759</v>
      </c>
      <c r="U107" s="43" t="s">
        <v>178</v>
      </c>
      <c r="V107" s="46" t="s">
        <v>33</v>
      </c>
      <c r="W107" s="54" t="s">
        <v>34</v>
      </c>
    </row>
    <row r="108" spans="1:23" s="27" customFormat="1" ht="34.950000000000003" customHeight="1" x14ac:dyDescent="0.25">
      <c r="A108" s="12">
        <f>SUBTOTAL(3,$B$2:B108)</f>
        <v>107</v>
      </c>
      <c r="B108" s="42">
        <v>29</v>
      </c>
      <c r="C108" s="43">
        <v>45759</v>
      </c>
      <c r="D108" s="42">
        <v>82601240006</v>
      </c>
      <c r="E108" s="44">
        <v>46046</v>
      </c>
      <c r="F108" s="45" t="s">
        <v>183</v>
      </c>
      <c r="G108" s="52" t="s">
        <v>187</v>
      </c>
      <c r="H108" s="46" t="s">
        <v>16</v>
      </c>
      <c r="I108" s="12"/>
      <c r="J108" s="43"/>
      <c r="K108" s="55">
        <v>6</v>
      </c>
      <c r="L108" s="49">
        <f t="shared" si="3"/>
        <v>6</v>
      </c>
      <c r="M108" s="48">
        <f t="shared" si="5"/>
        <v>720</v>
      </c>
      <c r="N108" s="48">
        <v>120</v>
      </c>
      <c r="O108" s="50">
        <v>9</v>
      </c>
      <c r="P108" s="50">
        <v>9</v>
      </c>
      <c r="Q108" s="51">
        <f t="shared" si="4"/>
        <v>849.59999999999991</v>
      </c>
      <c r="R108" s="48"/>
      <c r="S108" s="24">
        <v>57</v>
      </c>
      <c r="T108" s="43">
        <v>45759</v>
      </c>
      <c r="U108" s="43" t="s">
        <v>178</v>
      </c>
      <c r="V108" s="46" t="s">
        <v>33</v>
      </c>
      <c r="W108" s="53" t="s">
        <v>19</v>
      </c>
    </row>
    <row r="109" spans="1:23" s="27" customFormat="1" ht="34.950000000000003" customHeight="1" x14ac:dyDescent="0.25">
      <c r="A109" s="12">
        <f>SUBTOTAL(3,$B$2:B109)</f>
        <v>108</v>
      </c>
      <c r="B109" s="42">
        <v>29</v>
      </c>
      <c r="C109" s="43">
        <v>45759</v>
      </c>
      <c r="D109" s="42">
        <v>82601240006</v>
      </c>
      <c r="E109" s="44">
        <v>46046</v>
      </c>
      <c r="F109" s="45" t="s">
        <v>183</v>
      </c>
      <c r="G109" s="52" t="s">
        <v>188</v>
      </c>
      <c r="H109" s="46" t="s">
        <v>16</v>
      </c>
      <c r="I109" s="12"/>
      <c r="J109" s="43"/>
      <c r="K109" s="55">
        <v>1</v>
      </c>
      <c r="L109" s="49">
        <f t="shared" si="3"/>
        <v>1</v>
      </c>
      <c r="M109" s="48">
        <f t="shared" si="5"/>
        <v>150</v>
      </c>
      <c r="N109" s="48">
        <v>150</v>
      </c>
      <c r="O109" s="50">
        <v>0</v>
      </c>
      <c r="P109" s="50">
        <v>0</v>
      </c>
      <c r="Q109" s="51">
        <f t="shared" si="4"/>
        <v>150</v>
      </c>
      <c r="R109" s="48"/>
      <c r="S109" s="24">
        <v>57</v>
      </c>
      <c r="T109" s="43">
        <v>45759</v>
      </c>
      <c r="U109" s="43" t="s">
        <v>178</v>
      </c>
      <c r="V109" s="46" t="s">
        <v>33</v>
      </c>
      <c r="W109" s="54" t="s">
        <v>34</v>
      </c>
    </row>
    <row r="110" spans="1:23" s="27" customFormat="1" ht="34.950000000000003" customHeight="1" x14ac:dyDescent="0.25">
      <c r="A110" s="12">
        <f>SUBTOTAL(3,$B$2:B110)</f>
        <v>109</v>
      </c>
      <c r="B110" s="42">
        <v>29</v>
      </c>
      <c r="C110" s="43">
        <v>45759</v>
      </c>
      <c r="D110" s="42">
        <v>82601240006</v>
      </c>
      <c r="E110" s="44">
        <v>46046</v>
      </c>
      <c r="F110" s="45" t="s">
        <v>183</v>
      </c>
      <c r="G110" s="52" t="s">
        <v>189</v>
      </c>
      <c r="H110" s="46" t="s">
        <v>16</v>
      </c>
      <c r="I110" s="12"/>
      <c r="J110" s="43"/>
      <c r="K110" s="55">
        <v>1</v>
      </c>
      <c r="L110" s="49">
        <f t="shared" si="3"/>
        <v>1</v>
      </c>
      <c r="M110" s="48">
        <f t="shared" si="5"/>
        <v>500</v>
      </c>
      <c r="N110" s="48">
        <v>500</v>
      </c>
      <c r="O110" s="50">
        <v>0</v>
      </c>
      <c r="P110" s="50">
        <v>0</v>
      </c>
      <c r="Q110" s="51">
        <f t="shared" si="4"/>
        <v>500</v>
      </c>
      <c r="R110" s="48"/>
      <c r="S110" s="24">
        <v>57</v>
      </c>
      <c r="T110" s="43">
        <v>45759</v>
      </c>
      <c r="U110" s="43" t="s">
        <v>178</v>
      </c>
      <c r="V110" s="46" t="s">
        <v>33</v>
      </c>
      <c r="W110" s="54" t="s">
        <v>34</v>
      </c>
    </row>
    <row r="111" spans="1:23" s="27" customFormat="1" ht="34.950000000000003" customHeight="1" x14ac:dyDescent="0.25">
      <c r="A111" s="12">
        <f>SUBTOTAL(3,$B$2:B111)</f>
        <v>110</v>
      </c>
      <c r="B111" s="42">
        <v>29</v>
      </c>
      <c r="C111" s="43">
        <v>45759</v>
      </c>
      <c r="D111" s="42">
        <v>82601240006</v>
      </c>
      <c r="E111" s="44">
        <v>46046</v>
      </c>
      <c r="F111" s="45" t="s">
        <v>183</v>
      </c>
      <c r="G111" s="52" t="s">
        <v>190</v>
      </c>
      <c r="H111" s="46" t="s">
        <v>16</v>
      </c>
      <c r="I111" s="12"/>
      <c r="J111" s="43"/>
      <c r="K111" s="55">
        <v>1</v>
      </c>
      <c r="L111" s="49">
        <f t="shared" si="3"/>
        <v>1</v>
      </c>
      <c r="M111" s="48">
        <f t="shared" si="5"/>
        <v>350</v>
      </c>
      <c r="N111" s="48">
        <v>350</v>
      </c>
      <c r="O111" s="50">
        <v>0</v>
      </c>
      <c r="P111" s="50">
        <v>0</v>
      </c>
      <c r="Q111" s="51">
        <f t="shared" si="4"/>
        <v>350</v>
      </c>
      <c r="R111" s="48"/>
      <c r="S111" s="24">
        <v>57</v>
      </c>
      <c r="T111" s="43">
        <v>45759</v>
      </c>
      <c r="U111" s="43" t="s">
        <v>178</v>
      </c>
      <c r="V111" s="46" t="s">
        <v>33</v>
      </c>
      <c r="W111" s="54" t="s">
        <v>34</v>
      </c>
    </row>
    <row r="112" spans="1:23" s="27" customFormat="1" ht="34.950000000000003" customHeight="1" x14ac:dyDescent="0.25">
      <c r="A112" s="12">
        <f>SUBTOTAL(3,$B$2:B112)</f>
        <v>111</v>
      </c>
      <c r="B112" s="42">
        <v>29</v>
      </c>
      <c r="C112" s="43">
        <v>45759</v>
      </c>
      <c r="D112" s="42">
        <v>82601240006</v>
      </c>
      <c r="E112" s="44">
        <v>46046</v>
      </c>
      <c r="F112" s="45" t="s">
        <v>183</v>
      </c>
      <c r="G112" s="52" t="s">
        <v>191</v>
      </c>
      <c r="H112" s="46" t="s">
        <v>16</v>
      </c>
      <c r="I112" s="12"/>
      <c r="J112" s="43"/>
      <c r="K112" s="55">
        <v>1</v>
      </c>
      <c r="L112" s="49">
        <f t="shared" si="3"/>
        <v>1</v>
      </c>
      <c r="M112" s="48">
        <f t="shared" si="5"/>
        <v>100</v>
      </c>
      <c r="N112" s="48">
        <v>100</v>
      </c>
      <c r="O112" s="50">
        <v>9</v>
      </c>
      <c r="P112" s="50">
        <v>9</v>
      </c>
      <c r="Q112" s="51">
        <f t="shared" si="4"/>
        <v>118</v>
      </c>
      <c r="R112" s="48"/>
      <c r="S112" s="24">
        <v>57</v>
      </c>
      <c r="T112" s="43">
        <v>45759</v>
      </c>
      <c r="U112" s="43" t="s">
        <v>178</v>
      </c>
      <c r="V112" s="46" t="s">
        <v>33</v>
      </c>
      <c r="W112" s="53" t="s">
        <v>34</v>
      </c>
    </row>
    <row r="113" spans="1:23" s="27" customFormat="1" ht="34.950000000000003" customHeight="1" x14ac:dyDescent="0.25">
      <c r="A113" s="12">
        <f>SUBTOTAL(3,$B$2:B113)</f>
        <v>112</v>
      </c>
      <c r="B113" s="42">
        <v>29</v>
      </c>
      <c r="C113" s="43">
        <v>45759</v>
      </c>
      <c r="D113" s="42">
        <v>82601240006</v>
      </c>
      <c r="E113" s="44">
        <v>46046</v>
      </c>
      <c r="F113" s="45" t="s">
        <v>183</v>
      </c>
      <c r="G113" s="52" t="s">
        <v>190</v>
      </c>
      <c r="H113" s="46" t="s">
        <v>16</v>
      </c>
      <c r="I113" s="12"/>
      <c r="J113" s="43"/>
      <c r="K113" s="55">
        <v>2</v>
      </c>
      <c r="L113" s="49">
        <f t="shared" si="3"/>
        <v>2</v>
      </c>
      <c r="M113" s="48">
        <f t="shared" si="5"/>
        <v>1000</v>
      </c>
      <c r="N113" s="48">
        <v>500</v>
      </c>
      <c r="O113" s="50">
        <v>0</v>
      </c>
      <c r="P113" s="50">
        <v>0</v>
      </c>
      <c r="Q113" s="51">
        <f t="shared" si="4"/>
        <v>1000</v>
      </c>
      <c r="R113" s="48"/>
      <c r="S113" s="24">
        <v>57</v>
      </c>
      <c r="T113" s="43">
        <v>45759</v>
      </c>
      <c r="U113" s="43" t="s">
        <v>178</v>
      </c>
      <c r="V113" s="46" t="s">
        <v>33</v>
      </c>
      <c r="W113" s="53" t="s">
        <v>34</v>
      </c>
    </row>
    <row r="114" spans="1:23" s="27" customFormat="1" ht="34.950000000000003" customHeight="1" x14ac:dyDescent="0.25">
      <c r="A114" s="12">
        <f>SUBTOTAL(3,$B$2:B114)</f>
        <v>113</v>
      </c>
      <c r="B114" s="42">
        <v>29</v>
      </c>
      <c r="C114" s="43">
        <v>45759</v>
      </c>
      <c r="D114" s="42">
        <v>82601240006</v>
      </c>
      <c r="E114" s="44">
        <v>46046</v>
      </c>
      <c r="F114" s="45" t="s">
        <v>183</v>
      </c>
      <c r="G114" s="52" t="s">
        <v>192</v>
      </c>
      <c r="H114" s="46" t="s">
        <v>94</v>
      </c>
      <c r="I114" s="12"/>
      <c r="J114" s="43"/>
      <c r="K114" s="55">
        <v>10</v>
      </c>
      <c r="L114" s="49">
        <f t="shared" si="3"/>
        <v>10</v>
      </c>
      <c r="M114" s="48">
        <f t="shared" si="5"/>
        <v>500</v>
      </c>
      <c r="N114" s="48">
        <v>50</v>
      </c>
      <c r="O114" s="50">
        <v>9</v>
      </c>
      <c r="P114" s="50">
        <v>9</v>
      </c>
      <c r="Q114" s="51">
        <f t="shared" si="4"/>
        <v>590</v>
      </c>
      <c r="R114" s="48"/>
      <c r="S114" s="24">
        <v>57</v>
      </c>
      <c r="T114" s="43">
        <v>45759</v>
      </c>
      <c r="U114" s="43" t="s">
        <v>178</v>
      </c>
      <c r="V114" s="46" t="s">
        <v>33</v>
      </c>
      <c r="W114" s="53" t="s">
        <v>34</v>
      </c>
    </row>
    <row r="115" spans="1:23" s="27" customFormat="1" ht="34.950000000000003" customHeight="1" x14ac:dyDescent="0.25">
      <c r="A115" s="12">
        <f>SUBTOTAL(3,$B$2:B115)</f>
        <v>114</v>
      </c>
      <c r="B115" s="42">
        <v>29</v>
      </c>
      <c r="C115" s="43">
        <v>45759</v>
      </c>
      <c r="D115" s="42">
        <v>82601240006</v>
      </c>
      <c r="E115" s="44">
        <v>46046</v>
      </c>
      <c r="F115" s="45" t="s">
        <v>183</v>
      </c>
      <c r="G115" s="52" t="s">
        <v>193</v>
      </c>
      <c r="H115" s="46" t="s">
        <v>16</v>
      </c>
      <c r="I115" s="12"/>
      <c r="J115" s="43"/>
      <c r="K115" s="55">
        <v>2</v>
      </c>
      <c r="L115" s="49">
        <f t="shared" si="3"/>
        <v>2</v>
      </c>
      <c r="M115" s="48">
        <f t="shared" si="5"/>
        <v>2000</v>
      </c>
      <c r="N115" s="48">
        <v>1000</v>
      </c>
      <c r="O115" s="50">
        <v>9</v>
      </c>
      <c r="P115" s="50">
        <v>9</v>
      </c>
      <c r="Q115" s="51">
        <f t="shared" si="4"/>
        <v>2360</v>
      </c>
      <c r="R115" s="48"/>
      <c r="S115" s="24">
        <v>57</v>
      </c>
      <c r="T115" s="43">
        <v>45759</v>
      </c>
      <c r="U115" s="43" t="s">
        <v>178</v>
      </c>
      <c r="V115" s="46" t="s">
        <v>33</v>
      </c>
      <c r="W115" s="53" t="s">
        <v>112</v>
      </c>
    </row>
    <row r="116" spans="1:23" s="27" customFormat="1" ht="34.950000000000003" customHeight="1" x14ac:dyDescent="0.25">
      <c r="A116" s="12">
        <f>SUBTOTAL(3,$B$2:B116)</f>
        <v>115</v>
      </c>
      <c r="B116" s="42">
        <v>29</v>
      </c>
      <c r="C116" s="43">
        <v>45759</v>
      </c>
      <c r="D116" s="42">
        <v>82601240006</v>
      </c>
      <c r="E116" s="44">
        <v>46046</v>
      </c>
      <c r="F116" s="45" t="s">
        <v>183</v>
      </c>
      <c r="G116" s="52" t="s">
        <v>194</v>
      </c>
      <c r="H116" s="46" t="s">
        <v>16</v>
      </c>
      <c r="I116" s="12"/>
      <c r="J116" s="43"/>
      <c r="K116" s="55">
        <v>2</v>
      </c>
      <c r="L116" s="49">
        <f t="shared" si="3"/>
        <v>2</v>
      </c>
      <c r="M116" s="48">
        <f t="shared" si="5"/>
        <v>900</v>
      </c>
      <c r="N116" s="48">
        <v>450</v>
      </c>
      <c r="O116" s="50">
        <v>9</v>
      </c>
      <c r="P116" s="50">
        <v>9</v>
      </c>
      <c r="Q116" s="51">
        <f t="shared" si="4"/>
        <v>1062</v>
      </c>
      <c r="R116" s="48"/>
      <c r="S116" s="24">
        <v>57</v>
      </c>
      <c r="T116" s="43">
        <v>45759</v>
      </c>
      <c r="U116" s="43" t="s">
        <v>178</v>
      </c>
      <c r="V116" s="46" t="s">
        <v>33</v>
      </c>
      <c r="W116" s="53" t="s">
        <v>112</v>
      </c>
    </row>
    <row r="117" spans="1:23" s="27" customFormat="1" ht="34.950000000000003" customHeight="1" x14ac:dyDescent="0.25">
      <c r="A117" s="12">
        <f>SUBTOTAL(3,$B$2:B117)</f>
        <v>116</v>
      </c>
      <c r="B117" s="42">
        <v>29</v>
      </c>
      <c r="C117" s="43">
        <v>45759</v>
      </c>
      <c r="D117" s="42">
        <v>82601240006</v>
      </c>
      <c r="E117" s="44">
        <v>46046</v>
      </c>
      <c r="F117" s="45" t="s">
        <v>183</v>
      </c>
      <c r="G117" s="52" t="s">
        <v>195</v>
      </c>
      <c r="H117" s="46" t="s">
        <v>16</v>
      </c>
      <c r="I117" s="67"/>
      <c r="J117" s="43"/>
      <c r="K117" s="55">
        <v>16</v>
      </c>
      <c r="L117" s="49">
        <f t="shared" si="3"/>
        <v>16</v>
      </c>
      <c r="M117" s="48">
        <f t="shared" si="5"/>
        <v>120</v>
      </c>
      <c r="N117" s="48">
        <v>7.5</v>
      </c>
      <c r="O117" s="50">
        <v>6</v>
      </c>
      <c r="P117" s="50">
        <v>6</v>
      </c>
      <c r="Q117" s="51">
        <f t="shared" si="4"/>
        <v>134.4</v>
      </c>
      <c r="R117" s="48"/>
      <c r="S117" s="64">
        <v>57</v>
      </c>
      <c r="T117" s="43">
        <v>45759</v>
      </c>
      <c r="U117" s="43" t="s">
        <v>178</v>
      </c>
      <c r="V117" s="46" t="s">
        <v>33</v>
      </c>
      <c r="W117" s="54" t="s">
        <v>34</v>
      </c>
    </row>
    <row r="118" spans="1:23" s="27" customFormat="1" ht="34.950000000000003" customHeight="1" x14ac:dyDescent="0.25">
      <c r="A118" s="12">
        <f>SUBTOTAL(3,$B$2:B118)</f>
        <v>117</v>
      </c>
      <c r="B118" s="42">
        <v>29</v>
      </c>
      <c r="C118" s="43">
        <v>45759</v>
      </c>
      <c r="D118" s="42">
        <v>82601240006</v>
      </c>
      <c r="E118" s="44">
        <v>46046</v>
      </c>
      <c r="F118" s="45" t="s">
        <v>183</v>
      </c>
      <c r="G118" s="52" t="s">
        <v>196</v>
      </c>
      <c r="H118" s="46" t="s">
        <v>16</v>
      </c>
      <c r="I118" s="12"/>
      <c r="J118" s="43"/>
      <c r="K118" s="55">
        <v>2</v>
      </c>
      <c r="L118" s="49">
        <f t="shared" si="3"/>
        <v>2</v>
      </c>
      <c r="M118" s="48">
        <f t="shared" si="5"/>
        <v>300</v>
      </c>
      <c r="N118" s="48">
        <v>150</v>
      </c>
      <c r="O118" s="50">
        <v>9</v>
      </c>
      <c r="P118" s="50">
        <v>9</v>
      </c>
      <c r="Q118" s="51">
        <f t="shared" si="4"/>
        <v>354</v>
      </c>
      <c r="R118" s="48"/>
      <c r="S118" s="24">
        <v>57</v>
      </c>
      <c r="T118" s="43">
        <v>45759</v>
      </c>
      <c r="U118" s="43" t="s">
        <v>178</v>
      </c>
      <c r="V118" s="46" t="s">
        <v>33</v>
      </c>
      <c r="W118" s="53" t="s">
        <v>34</v>
      </c>
    </row>
    <row r="119" spans="1:23" s="27" customFormat="1" ht="34.950000000000003" customHeight="1" x14ac:dyDescent="0.25">
      <c r="A119" s="12">
        <f>SUBTOTAL(3,$B$2:B119)</f>
        <v>118</v>
      </c>
      <c r="B119" s="42">
        <v>29</v>
      </c>
      <c r="C119" s="43">
        <v>45759</v>
      </c>
      <c r="D119" s="42">
        <v>82601240006</v>
      </c>
      <c r="E119" s="44">
        <v>46046</v>
      </c>
      <c r="F119" s="45" t="s">
        <v>183</v>
      </c>
      <c r="G119" s="52" t="s">
        <v>197</v>
      </c>
      <c r="H119" s="46" t="s">
        <v>16</v>
      </c>
      <c r="I119" s="12"/>
      <c r="J119" s="43"/>
      <c r="K119" s="55">
        <v>120</v>
      </c>
      <c r="L119" s="49">
        <f t="shared" si="3"/>
        <v>120</v>
      </c>
      <c r="M119" s="48">
        <f t="shared" si="5"/>
        <v>1100.4000000000001</v>
      </c>
      <c r="N119" s="48">
        <v>9.17</v>
      </c>
      <c r="O119" s="50">
        <v>9</v>
      </c>
      <c r="P119" s="50">
        <v>9</v>
      </c>
      <c r="Q119" s="51">
        <f t="shared" si="4"/>
        <v>1298.472</v>
      </c>
      <c r="R119" s="48"/>
      <c r="S119" s="24">
        <v>57</v>
      </c>
      <c r="T119" s="43">
        <v>45759</v>
      </c>
      <c r="U119" s="43" t="s">
        <v>178</v>
      </c>
      <c r="V119" s="46" t="s">
        <v>33</v>
      </c>
      <c r="W119" s="54" t="s">
        <v>34</v>
      </c>
    </row>
    <row r="120" spans="1:23" s="27" customFormat="1" ht="34.950000000000003" customHeight="1" x14ac:dyDescent="0.25">
      <c r="A120" s="12">
        <f>SUBTOTAL(3,$B$2:B120)</f>
        <v>119</v>
      </c>
      <c r="B120" s="42">
        <v>29</v>
      </c>
      <c r="C120" s="43">
        <v>45759</v>
      </c>
      <c r="D120" s="42">
        <v>82601240006</v>
      </c>
      <c r="E120" s="44">
        <v>46046</v>
      </c>
      <c r="F120" s="45" t="s">
        <v>183</v>
      </c>
      <c r="G120" s="52" t="s">
        <v>198</v>
      </c>
      <c r="H120" s="46" t="s">
        <v>16</v>
      </c>
      <c r="I120" s="12"/>
      <c r="J120" s="43"/>
      <c r="K120" s="55">
        <v>4000</v>
      </c>
      <c r="L120" s="49">
        <f t="shared" si="3"/>
        <v>4000</v>
      </c>
      <c r="M120" s="48">
        <f t="shared" si="5"/>
        <v>4000</v>
      </c>
      <c r="N120" s="48">
        <v>1</v>
      </c>
      <c r="O120" s="50">
        <v>9</v>
      </c>
      <c r="P120" s="50">
        <v>9</v>
      </c>
      <c r="Q120" s="51">
        <f t="shared" si="4"/>
        <v>4720</v>
      </c>
      <c r="R120" s="48"/>
      <c r="S120" s="24">
        <v>57</v>
      </c>
      <c r="T120" s="43">
        <v>45759</v>
      </c>
      <c r="U120" s="43" t="s">
        <v>178</v>
      </c>
      <c r="V120" s="46" t="s">
        <v>33</v>
      </c>
      <c r="W120" s="53" t="s">
        <v>34</v>
      </c>
    </row>
    <row r="121" spans="1:23" s="27" customFormat="1" ht="34.950000000000003" customHeight="1" x14ac:dyDescent="0.25">
      <c r="A121" s="12">
        <f>SUBTOTAL(3,$B$2:B121)</f>
        <v>120</v>
      </c>
      <c r="B121" s="42">
        <v>29</v>
      </c>
      <c r="C121" s="43">
        <v>45759</v>
      </c>
      <c r="D121" s="42">
        <v>82601240006</v>
      </c>
      <c r="E121" s="44">
        <v>46046</v>
      </c>
      <c r="F121" s="45" t="s">
        <v>183</v>
      </c>
      <c r="G121" s="52" t="s">
        <v>199</v>
      </c>
      <c r="H121" s="46" t="s">
        <v>16</v>
      </c>
      <c r="I121" s="12"/>
      <c r="J121" s="43"/>
      <c r="K121" s="55">
        <v>4000</v>
      </c>
      <c r="L121" s="49">
        <f t="shared" si="3"/>
        <v>4000</v>
      </c>
      <c r="M121" s="48">
        <f t="shared" si="5"/>
        <v>6000</v>
      </c>
      <c r="N121" s="48">
        <v>1.5</v>
      </c>
      <c r="O121" s="50">
        <v>9</v>
      </c>
      <c r="P121" s="50">
        <v>9</v>
      </c>
      <c r="Q121" s="51">
        <f t="shared" si="4"/>
        <v>7080</v>
      </c>
      <c r="R121" s="48"/>
      <c r="S121" s="24">
        <v>57</v>
      </c>
      <c r="T121" s="43">
        <v>45759</v>
      </c>
      <c r="U121" s="43" t="s">
        <v>178</v>
      </c>
      <c r="V121" s="46" t="s">
        <v>33</v>
      </c>
      <c r="W121" s="53" t="s">
        <v>34</v>
      </c>
    </row>
    <row r="122" spans="1:23" s="27" customFormat="1" ht="34.950000000000003" customHeight="1" x14ac:dyDescent="0.25">
      <c r="A122" s="12">
        <f>SUBTOTAL(3,$B$2:B122)</f>
        <v>121</v>
      </c>
      <c r="B122" s="42">
        <v>29</v>
      </c>
      <c r="C122" s="43">
        <v>45759</v>
      </c>
      <c r="D122" s="42">
        <v>82601240006</v>
      </c>
      <c r="E122" s="44">
        <v>46046</v>
      </c>
      <c r="F122" s="45" t="s">
        <v>183</v>
      </c>
      <c r="G122" s="52" t="s">
        <v>200</v>
      </c>
      <c r="H122" s="46" t="s">
        <v>16</v>
      </c>
      <c r="I122" s="12"/>
      <c r="J122" s="43"/>
      <c r="K122" s="55">
        <v>3000</v>
      </c>
      <c r="L122" s="49">
        <f t="shared" si="3"/>
        <v>3000</v>
      </c>
      <c r="M122" s="48">
        <f t="shared" si="5"/>
        <v>7500</v>
      </c>
      <c r="N122" s="48">
        <v>2.5</v>
      </c>
      <c r="O122" s="50">
        <v>9</v>
      </c>
      <c r="P122" s="50">
        <v>9</v>
      </c>
      <c r="Q122" s="51">
        <f t="shared" si="4"/>
        <v>8850</v>
      </c>
      <c r="R122" s="48"/>
      <c r="S122" s="24">
        <v>57</v>
      </c>
      <c r="T122" s="43">
        <v>45759</v>
      </c>
      <c r="U122" s="43" t="s">
        <v>178</v>
      </c>
      <c r="V122" s="46" t="s">
        <v>33</v>
      </c>
      <c r="W122" s="53" t="s">
        <v>34</v>
      </c>
    </row>
    <row r="123" spans="1:23" s="27" customFormat="1" ht="34.950000000000003" customHeight="1" x14ac:dyDescent="0.25">
      <c r="A123" s="12">
        <f>SUBTOTAL(3,$B$2:B123)</f>
        <v>122</v>
      </c>
      <c r="B123" s="42">
        <v>29</v>
      </c>
      <c r="C123" s="43">
        <v>45759</v>
      </c>
      <c r="D123" s="42">
        <v>82601240006</v>
      </c>
      <c r="E123" s="44">
        <v>46046</v>
      </c>
      <c r="F123" s="45" t="s">
        <v>183</v>
      </c>
      <c r="G123" s="52" t="s">
        <v>201</v>
      </c>
      <c r="H123" s="46" t="s">
        <v>16</v>
      </c>
      <c r="I123" s="12"/>
      <c r="J123" s="43"/>
      <c r="K123" s="55">
        <v>40</v>
      </c>
      <c r="L123" s="49">
        <f t="shared" si="3"/>
        <v>40</v>
      </c>
      <c r="M123" s="48">
        <f t="shared" si="5"/>
        <v>800</v>
      </c>
      <c r="N123" s="48">
        <v>20</v>
      </c>
      <c r="O123" s="50">
        <v>0</v>
      </c>
      <c r="P123" s="50">
        <v>0</v>
      </c>
      <c r="Q123" s="51">
        <f t="shared" si="4"/>
        <v>800</v>
      </c>
      <c r="R123" s="48"/>
      <c r="S123" s="24">
        <v>57</v>
      </c>
      <c r="T123" s="43">
        <v>45759</v>
      </c>
      <c r="U123" s="43" t="s">
        <v>178</v>
      </c>
      <c r="V123" s="46" t="s">
        <v>33</v>
      </c>
      <c r="W123" s="53" t="s">
        <v>34</v>
      </c>
    </row>
    <row r="124" spans="1:23" s="27" customFormat="1" ht="34.950000000000003" customHeight="1" x14ac:dyDescent="0.25">
      <c r="A124" s="12">
        <f>SUBTOTAL(3,$B$2:B124)</f>
        <v>123</v>
      </c>
      <c r="B124" s="42">
        <v>29</v>
      </c>
      <c r="C124" s="43">
        <v>45759</v>
      </c>
      <c r="D124" s="42">
        <v>82601240006</v>
      </c>
      <c r="E124" s="44">
        <v>46046</v>
      </c>
      <c r="F124" s="45" t="s">
        <v>183</v>
      </c>
      <c r="G124" s="52" t="s">
        <v>202</v>
      </c>
      <c r="H124" s="46" t="s">
        <v>16</v>
      </c>
      <c r="I124" s="12"/>
      <c r="J124" s="43"/>
      <c r="K124" s="55">
        <v>2</v>
      </c>
      <c r="L124" s="49">
        <f t="shared" si="3"/>
        <v>2</v>
      </c>
      <c r="M124" s="48">
        <f t="shared" si="5"/>
        <v>200</v>
      </c>
      <c r="N124" s="48">
        <v>100</v>
      </c>
      <c r="O124" s="50">
        <v>9</v>
      </c>
      <c r="P124" s="50">
        <v>9</v>
      </c>
      <c r="Q124" s="51">
        <f t="shared" si="4"/>
        <v>236</v>
      </c>
      <c r="R124" s="48"/>
      <c r="S124" s="24">
        <v>57</v>
      </c>
      <c r="T124" s="43">
        <v>45759</v>
      </c>
      <c r="U124" s="43" t="s">
        <v>178</v>
      </c>
      <c r="V124" s="46" t="s">
        <v>33</v>
      </c>
      <c r="W124" s="53" t="s">
        <v>34</v>
      </c>
    </row>
    <row r="125" spans="1:23" s="27" customFormat="1" ht="34.950000000000003" customHeight="1" x14ac:dyDescent="0.25">
      <c r="A125" s="12">
        <f>SUBTOTAL(3,$B$2:B125)</f>
        <v>124</v>
      </c>
      <c r="B125" s="42">
        <v>29</v>
      </c>
      <c r="C125" s="43">
        <v>45759</v>
      </c>
      <c r="D125" s="42">
        <v>82601240006</v>
      </c>
      <c r="E125" s="44">
        <v>46046</v>
      </c>
      <c r="F125" s="45" t="s">
        <v>183</v>
      </c>
      <c r="G125" s="52" t="s">
        <v>203</v>
      </c>
      <c r="H125" s="46" t="s">
        <v>16</v>
      </c>
      <c r="I125" s="12"/>
      <c r="J125" s="43"/>
      <c r="K125" s="55">
        <v>2</v>
      </c>
      <c r="L125" s="49">
        <f t="shared" si="3"/>
        <v>2</v>
      </c>
      <c r="M125" s="48">
        <f t="shared" si="5"/>
        <v>200</v>
      </c>
      <c r="N125" s="48">
        <v>100</v>
      </c>
      <c r="O125" s="50">
        <v>9</v>
      </c>
      <c r="P125" s="50">
        <v>9</v>
      </c>
      <c r="Q125" s="51">
        <f t="shared" si="4"/>
        <v>236</v>
      </c>
      <c r="R125" s="48"/>
      <c r="S125" s="24">
        <v>57</v>
      </c>
      <c r="T125" s="43">
        <v>45759</v>
      </c>
      <c r="U125" s="43" t="s">
        <v>178</v>
      </c>
      <c r="V125" s="46" t="s">
        <v>33</v>
      </c>
      <c r="W125" s="54" t="s">
        <v>34</v>
      </c>
    </row>
    <row r="126" spans="1:23" s="27" customFormat="1" ht="34.950000000000003" customHeight="1" x14ac:dyDescent="0.25">
      <c r="A126" s="12">
        <f>SUBTOTAL(3,$B$2:B126)</f>
        <v>125</v>
      </c>
      <c r="B126" s="42">
        <v>29</v>
      </c>
      <c r="C126" s="43">
        <v>45759</v>
      </c>
      <c r="D126" s="42">
        <v>82601240006</v>
      </c>
      <c r="E126" s="44">
        <v>46046</v>
      </c>
      <c r="F126" s="45" t="s">
        <v>183</v>
      </c>
      <c r="G126" s="52" t="s">
        <v>204</v>
      </c>
      <c r="H126" s="46" t="s">
        <v>16</v>
      </c>
      <c r="I126" s="12"/>
      <c r="J126" s="43"/>
      <c r="K126" s="55">
        <v>6</v>
      </c>
      <c r="L126" s="49">
        <f t="shared" si="3"/>
        <v>6</v>
      </c>
      <c r="M126" s="48">
        <f t="shared" si="5"/>
        <v>2400</v>
      </c>
      <c r="N126" s="48">
        <v>400</v>
      </c>
      <c r="O126" s="50">
        <v>0</v>
      </c>
      <c r="P126" s="50">
        <v>0</v>
      </c>
      <c r="Q126" s="51">
        <f t="shared" si="4"/>
        <v>2400</v>
      </c>
      <c r="R126" s="48"/>
      <c r="S126" s="24">
        <v>57</v>
      </c>
      <c r="T126" s="43">
        <v>45759</v>
      </c>
      <c r="U126" s="43" t="s">
        <v>178</v>
      </c>
      <c r="V126" s="46" t="s">
        <v>33</v>
      </c>
      <c r="W126" s="53" t="s">
        <v>112</v>
      </c>
    </row>
    <row r="127" spans="1:23" s="27" customFormat="1" ht="34.950000000000003" customHeight="1" x14ac:dyDescent="0.25">
      <c r="A127" s="12">
        <f>SUBTOTAL(3,$B$2:B127)</f>
        <v>126</v>
      </c>
      <c r="B127" s="42">
        <v>29</v>
      </c>
      <c r="C127" s="43">
        <v>45759</v>
      </c>
      <c r="D127" s="42">
        <v>82601240006</v>
      </c>
      <c r="E127" s="44">
        <v>46046</v>
      </c>
      <c r="F127" s="45" t="s">
        <v>183</v>
      </c>
      <c r="G127" s="52" t="s">
        <v>205</v>
      </c>
      <c r="H127" s="46" t="s">
        <v>16</v>
      </c>
      <c r="I127" s="12"/>
      <c r="J127" s="43"/>
      <c r="K127" s="55">
        <v>1</v>
      </c>
      <c r="L127" s="49">
        <f t="shared" si="3"/>
        <v>1</v>
      </c>
      <c r="M127" s="48">
        <f t="shared" si="5"/>
        <v>240</v>
      </c>
      <c r="N127" s="48">
        <v>240</v>
      </c>
      <c r="O127" s="50">
        <v>9</v>
      </c>
      <c r="P127" s="50">
        <v>9</v>
      </c>
      <c r="Q127" s="51">
        <f t="shared" si="4"/>
        <v>283.2</v>
      </c>
      <c r="R127" s="48"/>
      <c r="S127" s="24">
        <v>57</v>
      </c>
      <c r="T127" s="43">
        <v>45759</v>
      </c>
      <c r="U127" s="43" t="s">
        <v>178</v>
      </c>
      <c r="V127" s="46" t="s">
        <v>33</v>
      </c>
      <c r="W127" s="53" t="s">
        <v>112</v>
      </c>
    </row>
    <row r="128" spans="1:23" s="27" customFormat="1" ht="34.950000000000003" customHeight="1" x14ac:dyDescent="0.25">
      <c r="A128" s="12">
        <f>SUBTOTAL(3,$B$2:B128)</f>
        <v>127</v>
      </c>
      <c r="B128" s="42">
        <v>29</v>
      </c>
      <c r="C128" s="43">
        <v>45759</v>
      </c>
      <c r="D128" s="42">
        <v>82601240006</v>
      </c>
      <c r="E128" s="44">
        <v>46046</v>
      </c>
      <c r="F128" s="45" t="s">
        <v>183</v>
      </c>
      <c r="G128" s="52" t="s">
        <v>206</v>
      </c>
      <c r="H128" s="46" t="s">
        <v>16</v>
      </c>
      <c r="I128" s="12"/>
      <c r="J128" s="43"/>
      <c r="K128" s="55">
        <v>1</v>
      </c>
      <c r="L128" s="49">
        <f t="shared" si="3"/>
        <v>1</v>
      </c>
      <c r="M128" s="48">
        <f t="shared" si="5"/>
        <v>150</v>
      </c>
      <c r="N128" s="48">
        <v>150</v>
      </c>
      <c r="O128" s="50">
        <v>9</v>
      </c>
      <c r="P128" s="50">
        <v>9</v>
      </c>
      <c r="Q128" s="51">
        <f t="shared" si="4"/>
        <v>177</v>
      </c>
      <c r="R128" s="48"/>
      <c r="S128" s="24">
        <v>57</v>
      </c>
      <c r="T128" s="43">
        <v>45759</v>
      </c>
      <c r="U128" s="43" t="s">
        <v>178</v>
      </c>
      <c r="V128" s="46" t="s">
        <v>33</v>
      </c>
      <c r="W128" s="53" t="s">
        <v>112</v>
      </c>
    </row>
    <row r="129" spans="1:23" s="27" customFormat="1" ht="34.950000000000003" customHeight="1" x14ac:dyDescent="0.25">
      <c r="A129" s="12">
        <f>SUBTOTAL(3,$B$2:B129)</f>
        <v>128</v>
      </c>
      <c r="B129" s="42">
        <v>29</v>
      </c>
      <c r="C129" s="43">
        <v>45759</v>
      </c>
      <c r="D129" s="42">
        <v>82601240006</v>
      </c>
      <c r="E129" s="44">
        <v>46046</v>
      </c>
      <c r="F129" s="45" t="s">
        <v>183</v>
      </c>
      <c r="G129" s="52" t="s">
        <v>111</v>
      </c>
      <c r="H129" s="46" t="s">
        <v>16</v>
      </c>
      <c r="I129" s="12"/>
      <c r="J129" s="43"/>
      <c r="K129" s="55">
        <v>6</v>
      </c>
      <c r="L129" s="49">
        <f t="shared" si="3"/>
        <v>6</v>
      </c>
      <c r="M129" s="48">
        <f t="shared" si="5"/>
        <v>3600</v>
      </c>
      <c r="N129" s="48">
        <v>600</v>
      </c>
      <c r="O129" s="50">
        <v>9</v>
      </c>
      <c r="P129" s="50">
        <v>9</v>
      </c>
      <c r="Q129" s="51">
        <f t="shared" si="4"/>
        <v>4248</v>
      </c>
      <c r="R129" s="48"/>
      <c r="S129" s="24">
        <v>57</v>
      </c>
      <c r="T129" s="43">
        <v>45759</v>
      </c>
      <c r="U129" s="43" t="s">
        <v>178</v>
      </c>
      <c r="V129" s="46" t="s">
        <v>33</v>
      </c>
      <c r="W129" s="53" t="s">
        <v>112</v>
      </c>
    </row>
    <row r="130" spans="1:23" s="27" customFormat="1" ht="34.950000000000003" customHeight="1" x14ac:dyDescent="0.25">
      <c r="A130" s="12">
        <f>SUBTOTAL(3,$B$2:B130)</f>
        <v>129</v>
      </c>
      <c r="B130" s="42">
        <v>29</v>
      </c>
      <c r="C130" s="43">
        <v>45759</v>
      </c>
      <c r="D130" s="42">
        <v>82601240006</v>
      </c>
      <c r="E130" s="44">
        <v>46046</v>
      </c>
      <c r="F130" s="45" t="s">
        <v>183</v>
      </c>
      <c r="G130" s="52" t="s">
        <v>207</v>
      </c>
      <c r="H130" s="46" t="s">
        <v>23</v>
      </c>
      <c r="I130" s="12"/>
      <c r="J130" s="43"/>
      <c r="K130" s="55">
        <v>450</v>
      </c>
      <c r="L130" s="49">
        <f t="shared" ref="L130:L193" si="6">K130</f>
        <v>450</v>
      </c>
      <c r="M130" s="48">
        <f t="shared" si="5"/>
        <v>8550</v>
      </c>
      <c r="N130" s="48">
        <v>19</v>
      </c>
      <c r="O130" s="50">
        <v>2.5</v>
      </c>
      <c r="P130" s="50">
        <v>2.5</v>
      </c>
      <c r="Q130" s="51">
        <f t="shared" ref="Q130:Q193" si="7">IF(M130="","",M130*(1+(O130+P130)/100))</f>
        <v>8977.5</v>
      </c>
      <c r="R130" s="48"/>
      <c r="S130" s="24">
        <v>57</v>
      </c>
      <c r="T130" s="43">
        <v>45759</v>
      </c>
      <c r="U130" s="43" t="s">
        <v>178</v>
      </c>
      <c r="V130" s="46" t="s">
        <v>33</v>
      </c>
      <c r="W130" s="54" t="s">
        <v>34</v>
      </c>
    </row>
    <row r="131" spans="1:23" s="27" customFormat="1" ht="34.950000000000003" customHeight="1" x14ac:dyDescent="0.25">
      <c r="A131" s="12">
        <f>SUBTOTAL(3,$B$2:B131)</f>
        <v>130</v>
      </c>
      <c r="B131" s="42">
        <v>29</v>
      </c>
      <c r="C131" s="43">
        <v>45759</v>
      </c>
      <c r="D131" s="42">
        <v>82601240006</v>
      </c>
      <c r="E131" s="44">
        <v>46046</v>
      </c>
      <c r="F131" s="45" t="s">
        <v>183</v>
      </c>
      <c r="G131" s="52" t="s">
        <v>208</v>
      </c>
      <c r="H131" s="46" t="s">
        <v>94</v>
      </c>
      <c r="I131" s="67"/>
      <c r="J131" s="43"/>
      <c r="K131" s="55">
        <v>2.5</v>
      </c>
      <c r="L131" s="49">
        <f t="shared" si="6"/>
        <v>2.5</v>
      </c>
      <c r="M131" s="48">
        <f t="shared" ref="M131:M195" si="8">L131*N131</f>
        <v>177.97499999999999</v>
      </c>
      <c r="N131" s="48">
        <v>71.19</v>
      </c>
      <c r="O131" s="50">
        <v>9</v>
      </c>
      <c r="P131" s="50">
        <v>9</v>
      </c>
      <c r="Q131" s="51">
        <f t="shared" si="7"/>
        <v>210.01049999999998</v>
      </c>
      <c r="R131" s="48"/>
      <c r="S131" s="64">
        <v>57</v>
      </c>
      <c r="T131" s="43">
        <v>45759</v>
      </c>
      <c r="U131" s="43" t="s">
        <v>178</v>
      </c>
      <c r="V131" s="46" t="s">
        <v>33</v>
      </c>
      <c r="W131" s="54" t="s">
        <v>34</v>
      </c>
    </row>
    <row r="132" spans="1:23" s="27" customFormat="1" ht="34.950000000000003" customHeight="1" x14ac:dyDescent="0.25">
      <c r="A132" s="12">
        <f>SUBTOTAL(3,$B$2:B132)</f>
        <v>131</v>
      </c>
      <c r="B132" s="42">
        <v>29</v>
      </c>
      <c r="C132" s="43">
        <v>45759</v>
      </c>
      <c r="D132" s="42">
        <v>82601240006</v>
      </c>
      <c r="E132" s="44">
        <v>46046</v>
      </c>
      <c r="F132" s="45" t="s">
        <v>183</v>
      </c>
      <c r="G132" s="52" t="s">
        <v>209</v>
      </c>
      <c r="H132" s="46" t="s">
        <v>94</v>
      </c>
      <c r="I132" s="67"/>
      <c r="J132" s="43"/>
      <c r="K132" s="55">
        <v>2.5</v>
      </c>
      <c r="L132" s="49">
        <f t="shared" si="6"/>
        <v>2.5</v>
      </c>
      <c r="M132" s="48">
        <f t="shared" si="8"/>
        <v>177.97499999999999</v>
      </c>
      <c r="N132" s="48">
        <v>71.19</v>
      </c>
      <c r="O132" s="50">
        <v>9</v>
      </c>
      <c r="P132" s="50">
        <v>9</v>
      </c>
      <c r="Q132" s="51">
        <f t="shared" si="7"/>
        <v>210.01049999999998</v>
      </c>
      <c r="R132" s="48"/>
      <c r="S132" s="64">
        <v>57</v>
      </c>
      <c r="T132" s="43">
        <v>45759</v>
      </c>
      <c r="U132" s="43" t="s">
        <v>178</v>
      </c>
      <c r="V132" s="46" t="s">
        <v>33</v>
      </c>
      <c r="W132" s="54" t="s">
        <v>34</v>
      </c>
    </row>
    <row r="133" spans="1:23" s="27" customFormat="1" ht="34.950000000000003" customHeight="1" x14ac:dyDescent="0.25">
      <c r="A133" s="12">
        <f>SUBTOTAL(3,$B$2:B133)</f>
        <v>132</v>
      </c>
      <c r="B133" s="42">
        <v>29</v>
      </c>
      <c r="C133" s="43">
        <v>45759</v>
      </c>
      <c r="D133" s="42">
        <v>82601240006</v>
      </c>
      <c r="E133" s="44">
        <v>46046</v>
      </c>
      <c r="F133" s="45" t="s">
        <v>183</v>
      </c>
      <c r="G133" s="52" t="s">
        <v>210</v>
      </c>
      <c r="H133" s="46" t="s">
        <v>94</v>
      </c>
      <c r="I133" s="67"/>
      <c r="J133" s="43"/>
      <c r="K133" s="68">
        <v>2.5</v>
      </c>
      <c r="L133" s="49">
        <f t="shared" si="6"/>
        <v>2.5</v>
      </c>
      <c r="M133" s="48">
        <f t="shared" si="8"/>
        <v>200</v>
      </c>
      <c r="N133" s="48">
        <v>80</v>
      </c>
      <c r="O133" s="50">
        <v>9</v>
      </c>
      <c r="P133" s="50">
        <v>9</v>
      </c>
      <c r="Q133" s="51">
        <f t="shared" si="7"/>
        <v>236</v>
      </c>
      <c r="R133" s="48"/>
      <c r="S133" s="64">
        <v>57</v>
      </c>
      <c r="T133" s="43">
        <v>45759</v>
      </c>
      <c r="U133" s="43" t="s">
        <v>178</v>
      </c>
      <c r="V133" s="46" t="s">
        <v>33</v>
      </c>
      <c r="W133" s="54" t="s">
        <v>34</v>
      </c>
    </row>
    <row r="134" spans="1:23" s="27" customFormat="1" ht="34.950000000000003" customHeight="1" x14ac:dyDescent="0.25">
      <c r="A134" s="12">
        <f>SUBTOTAL(3,$B$2:B134)</f>
        <v>133</v>
      </c>
      <c r="B134" s="42">
        <v>29</v>
      </c>
      <c r="C134" s="43">
        <v>45759</v>
      </c>
      <c r="D134" s="42">
        <v>82601240006</v>
      </c>
      <c r="E134" s="44">
        <v>46046</v>
      </c>
      <c r="F134" s="45" t="s">
        <v>183</v>
      </c>
      <c r="G134" s="52" t="s">
        <v>211</v>
      </c>
      <c r="H134" s="46" t="s">
        <v>94</v>
      </c>
      <c r="I134" s="67"/>
      <c r="J134" s="43"/>
      <c r="K134" s="55">
        <v>2.5</v>
      </c>
      <c r="L134" s="49">
        <f t="shared" si="6"/>
        <v>2.5</v>
      </c>
      <c r="M134" s="48">
        <f t="shared" si="8"/>
        <v>200</v>
      </c>
      <c r="N134" s="48">
        <v>80</v>
      </c>
      <c r="O134" s="50">
        <v>9</v>
      </c>
      <c r="P134" s="50">
        <v>9</v>
      </c>
      <c r="Q134" s="51">
        <f t="shared" si="7"/>
        <v>236</v>
      </c>
      <c r="R134" s="48"/>
      <c r="S134" s="64">
        <v>57</v>
      </c>
      <c r="T134" s="43">
        <v>45759</v>
      </c>
      <c r="U134" s="43" t="s">
        <v>178</v>
      </c>
      <c r="V134" s="46" t="s">
        <v>33</v>
      </c>
      <c r="W134" s="54" t="s">
        <v>34</v>
      </c>
    </row>
    <row r="135" spans="1:23" s="27" customFormat="1" ht="34.950000000000003" customHeight="1" x14ac:dyDescent="0.25">
      <c r="A135" s="12">
        <f>SUBTOTAL(3,$B$2:B135)</f>
        <v>134</v>
      </c>
      <c r="B135" s="42">
        <v>29</v>
      </c>
      <c r="C135" s="43">
        <v>45759</v>
      </c>
      <c r="D135" s="42">
        <v>82601240006</v>
      </c>
      <c r="E135" s="44">
        <v>46046</v>
      </c>
      <c r="F135" s="45" t="s">
        <v>183</v>
      </c>
      <c r="G135" s="69" t="s">
        <v>144</v>
      </c>
      <c r="H135" s="46" t="s">
        <v>16</v>
      </c>
      <c r="I135" s="67"/>
      <c r="J135" s="43"/>
      <c r="K135" s="55">
        <v>2</v>
      </c>
      <c r="L135" s="49">
        <f t="shared" si="6"/>
        <v>2</v>
      </c>
      <c r="M135" s="48">
        <f t="shared" si="8"/>
        <v>1100</v>
      </c>
      <c r="N135" s="48">
        <v>550</v>
      </c>
      <c r="O135" s="50">
        <v>9</v>
      </c>
      <c r="P135" s="50">
        <v>9</v>
      </c>
      <c r="Q135" s="51">
        <f t="shared" si="7"/>
        <v>1298</v>
      </c>
      <c r="R135" s="48"/>
      <c r="S135" s="64">
        <v>57</v>
      </c>
      <c r="T135" s="43">
        <v>45759</v>
      </c>
      <c r="U135" s="43" t="s">
        <v>178</v>
      </c>
      <c r="V135" s="46" t="s">
        <v>33</v>
      </c>
      <c r="W135" s="54" t="s">
        <v>19</v>
      </c>
    </row>
    <row r="136" spans="1:23" s="27" customFormat="1" ht="34.950000000000003" customHeight="1" x14ac:dyDescent="0.25">
      <c r="A136" s="12">
        <f>SUBTOTAL(3,$B$2:B136)</f>
        <v>135</v>
      </c>
      <c r="B136" s="42">
        <v>29</v>
      </c>
      <c r="C136" s="43">
        <v>45759</v>
      </c>
      <c r="D136" s="42">
        <v>82601240006</v>
      </c>
      <c r="E136" s="44">
        <v>46046</v>
      </c>
      <c r="F136" s="45" t="s">
        <v>183</v>
      </c>
      <c r="G136" s="54" t="s">
        <v>212</v>
      </c>
      <c r="H136" s="46" t="s">
        <v>16</v>
      </c>
      <c r="I136" s="46"/>
      <c r="J136" s="43"/>
      <c r="K136" s="55">
        <v>2</v>
      </c>
      <c r="L136" s="49">
        <f t="shared" si="6"/>
        <v>2</v>
      </c>
      <c r="M136" s="48">
        <f t="shared" si="8"/>
        <v>700</v>
      </c>
      <c r="N136" s="48">
        <v>350</v>
      </c>
      <c r="O136" s="50">
        <v>9</v>
      </c>
      <c r="P136" s="50">
        <v>9</v>
      </c>
      <c r="Q136" s="51">
        <f t="shared" si="7"/>
        <v>826</v>
      </c>
      <c r="R136" s="48"/>
      <c r="S136" s="24">
        <v>57</v>
      </c>
      <c r="T136" s="43">
        <v>45759</v>
      </c>
      <c r="U136" s="43" t="s">
        <v>178</v>
      </c>
      <c r="V136" s="46" t="s">
        <v>33</v>
      </c>
      <c r="W136" s="54" t="s">
        <v>34</v>
      </c>
    </row>
    <row r="137" spans="1:23" s="27" customFormat="1" ht="34.950000000000003" customHeight="1" x14ac:dyDescent="0.25">
      <c r="A137" s="12">
        <f>SUBTOTAL(3,$B$2:B137)</f>
        <v>136</v>
      </c>
      <c r="B137" s="42">
        <v>29</v>
      </c>
      <c r="C137" s="43">
        <v>45759</v>
      </c>
      <c r="D137" s="42">
        <v>82601240006</v>
      </c>
      <c r="E137" s="44">
        <v>46046</v>
      </c>
      <c r="F137" s="45" t="s">
        <v>183</v>
      </c>
      <c r="G137" s="54" t="s">
        <v>213</v>
      </c>
      <c r="H137" s="46" t="s">
        <v>16</v>
      </c>
      <c r="I137" s="46"/>
      <c r="J137" s="43"/>
      <c r="K137" s="55">
        <v>2</v>
      </c>
      <c r="L137" s="49">
        <f t="shared" si="6"/>
        <v>2</v>
      </c>
      <c r="M137" s="48">
        <f t="shared" si="8"/>
        <v>100</v>
      </c>
      <c r="N137" s="48">
        <v>50</v>
      </c>
      <c r="O137" s="50">
        <v>9</v>
      </c>
      <c r="P137" s="50">
        <v>9</v>
      </c>
      <c r="Q137" s="51">
        <f t="shared" si="7"/>
        <v>118</v>
      </c>
      <c r="R137" s="48"/>
      <c r="S137" s="24">
        <v>57</v>
      </c>
      <c r="T137" s="43">
        <v>45759</v>
      </c>
      <c r="U137" s="43" t="s">
        <v>178</v>
      </c>
      <c r="V137" s="46" t="s">
        <v>33</v>
      </c>
      <c r="W137" s="54" t="s">
        <v>112</v>
      </c>
    </row>
    <row r="138" spans="1:23" s="27" customFormat="1" ht="34.950000000000003" customHeight="1" x14ac:dyDescent="0.25">
      <c r="A138" s="12">
        <f>SUBTOTAL(3,$B$2:B138)</f>
        <v>137</v>
      </c>
      <c r="B138" s="42">
        <v>29</v>
      </c>
      <c r="C138" s="43">
        <v>45759</v>
      </c>
      <c r="D138" s="42">
        <v>82601240006</v>
      </c>
      <c r="E138" s="44">
        <v>46046</v>
      </c>
      <c r="F138" s="45" t="s">
        <v>183</v>
      </c>
      <c r="G138" s="54" t="s">
        <v>214</v>
      </c>
      <c r="H138" s="46" t="s">
        <v>16</v>
      </c>
      <c r="I138" s="46"/>
      <c r="J138" s="43"/>
      <c r="K138" s="55">
        <v>2</v>
      </c>
      <c r="L138" s="49">
        <f t="shared" si="6"/>
        <v>2</v>
      </c>
      <c r="M138" s="48">
        <f t="shared" si="8"/>
        <v>300</v>
      </c>
      <c r="N138" s="48">
        <v>150</v>
      </c>
      <c r="O138" s="50">
        <v>9</v>
      </c>
      <c r="P138" s="50">
        <v>9</v>
      </c>
      <c r="Q138" s="51">
        <f t="shared" si="7"/>
        <v>354</v>
      </c>
      <c r="R138" s="48"/>
      <c r="S138" s="24">
        <v>57</v>
      </c>
      <c r="T138" s="43">
        <v>45759</v>
      </c>
      <c r="U138" s="43" t="s">
        <v>178</v>
      </c>
      <c r="V138" s="46" t="s">
        <v>33</v>
      </c>
      <c r="W138" s="54" t="s">
        <v>112</v>
      </c>
    </row>
    <row r="139" spans="1:23" s="27" customFormat="1" ht="34.950000000000003" customHeight="1" x14ac:dyDescent="0.25">
      <c r="A139" s="12">
        <f>SUBTOTAL(3,$B$2:B139)</f>
        <v>138</v>
      </c>
      <c r="B139" s="42">
        <v>29</v>
      </c>
      <c r="C139" s="43">
        <v>45759</v>
      </c>
      <c r="D139" s="42">
        <v>82601240006</v>
      </c>
      <c r="E139" s="44">
        <v>46046</v>
      </c>
      <c r="F139" s="45" t="s">
        <v>183</v>
      </c>
      <c r="G139" s="52" t="s">
        <v>215</v>
      </c>
      <c r="H139" s="46" t="s">
        <v>16</v>
      </c>
      <c r="I139" s="67"/>
      <c r="J139" s="43"/>
      <c r="K139" s="55">
        <v>4</v>
      </c>
      <c r="L139" s="49">
        <f t="shared" si="6"/>
        <v>4</v>
      </c>
      <c r="M139" s="48">
        <f t="shared" si="8"/>
        <v>800</v>
      </c>
      <c r="N139" s="48">
        <v>200</v>
      </c>
      <c r="O139" s="50">
        <v>0</v>
      </c>
      <c r="P139" s="50">
        <v>0</v>
      </c>
      <c r="Q139" s="51">
        <f t="shared" si="7"/>
        <v>800</v>
      </c>
      <c r="R139" s="48"/>
      <c r="S139" s="64">
        <v>57</v>
      </c>
      <c r="T139" s="43">
        <v>45759</v>
      </c>
      <c r="U139" s="43" t="s">
        <v>178</v>
      </c>
      <c r="V139" s="46" t="s">
        <v>33</v>
      </c>
      <c r="W139" s="54" t="s">
        <v>112</v>
      </c>
    </row>
    <row r="140" spans="1:23" s="27" customFormat="1" ht="34.950000000000003" customHeight="1" x14ac:dyDescent="0.25">
      <c r="A140" s="12">
        <f>SUBTOTAL(3,$B$2:B140)</f>
        <v>139</v>
      </c>
      <c r="B140" s="42">
        <v>29</v>
      </c>
      <c r="C140" s="43">
        <v>45759</v>
      </c>
      <c r="D140" s="42">
        <v>82601240006</v>
      </c>
      <c r="E140" s="44">
        <v>46046</v>
      </c>
      <c r="F140" s="45" t="s">
        <v>183</v>
      </c>
      <c r="G140" s="52" t="s">
        <v>216</v>
      </c>
      <c r="H140" s="46" t="s">
        <v>23</v>
      </c>
      <c r="I140" s="67"/>
      <c r="J140" s="43"/>
      <c r="K140" s="55">
        <v>2</v>
      </c>
      <c r="L140" s="49">
        <f t="shared" si="6"/>
        <v>2</v>
      </c>
      <c r="M140" s="48">
        <f t="shared" si="8"/>
        <v>840</v>
      </c>
      <c r="N140" s="48">
        <v>420</v>
      </c>
      <c r="O140" s="50">
        <v>9</v>
      </c>
      <c r="P140" s="50">
        <v>9</v>
      </c>
      <c r="Q140" s="51">
        <f t="shared" si="7"/>
        <v>991.19999999999993</v>
      </c>
      <c r="R140" s="48"/>
      <c r="S140" s="64">
        <v>57</v>
      </c>
      <c r="T140" s="43">
        <v>45759</v>
      </c>
      <c r="U140" s="43" t="s">
        <v>178</v>
      </c>
      <c r="V140" s="46" t="s">
        <v>33</v>
      </c>
      <c r="W140" s="54" t="s">
        <v>34</v>
      </c>
    </row>
    <row r="141" spans="1:23" s="27" customFormat="1" ht="34.950000000000003" customHeight="1" x14ac:dyDescent="0.25">
      <c r="A141" s="12">
        <f>SUBTOTAL(3,$B$2:B141)</f>
        <v>140</v>
      </c>
      <c r="B141" s="42">
        <v>29</v>
      </c>
      <c r="C141" s="43">
        <v>45759</v>
      </c>
      <c r="D141" s="42">
        <v>82601240006</v>
      </c>
      <c r="E141" s="44">
        <v>46046</v>
      </c>
      <c r="F141" s="45" t="s">
        <v>183</v>
      </c>
      <c r="G141" s="52" t="s">
        <v>217</v>
      </c>
      <c r="H141" s="46" t="s">
        <v>23</v>
      </c>
      <c r="I141" s="67"/>
      <c r="J141" s="43"/>
      <c r="K141" s="55">
        <v>2</v>
      </c>
      <c r="L141" s="49">
        <f t="shared" si="6"/>
        <v>2</v>
      </c>
      <c r="M141" s="48">
        <f t="shared" si="8"/>
        <v>240</v>
      </c>
      <c r="N141" s="48">
        <v>120</v>
      </c>
      <c r="O141" s="50">
        <v>9</v>
      </c>
      <c r="P141" s="50">
        <v>9</v>
      </c>
      <c r="Q141" s="51">
        <f t="shared" si="7"/>
        <v>283.2</v>
      </c>
      <c r="R141" s="48"/>
      <c r="S141" s="64">
        <v>57</v>
      </c>
      <c r="T141" s="43">
        <v>45759</v>
      </c>
      <c r="U141" s="43" t="s">
        <v>178</v>
      </c>
      <c r="V141" s="46" t="s">
        <v>33</v>
      </c>
      <c r="W141" s="54" t="s">
        <v>34</v>
      </c>
    </row>
    <row r="142" spans="1:23" s="27" customFormat="1" ht="34.950000000000003" customHeight="1" x14ac:dyDescent="0.25">
      <c r="A142" s="12">
        <f>SUBTOTAL(3,$B$2:B142)</f>
        <v>141</v>
      </c>
      <c r="B142" s="42">
        <v>29</v>
      </c>
      <c r="C142" s="43">
        <v>45759</v>
      </c>
      <c r="D142" s="42">
        <v>82601240006</v>
      </c>
      <c r="E142" s="44">
        <v>46046</v>
      </c>
      <c r="F142" s="45" t="s">
        <v>183</v>
      </c>
      <c r="G142" s="69" t="s">
        <v>218</v>
      </c>
      <c r="H142" s="46" t="s">
        <v>16</v>
      </c>
      <c r="I142" s="67"/>
      <c r="J142" s="43"/>
      <c r="K142" s="55">
        <v>5</v>
      </c>
      <c r="L142" s="49">
        <f t="shared" si="6"/>
        <v>5</v>
      </c>
      <c r="M142" s="48">
        <f t="shared" si="8"/>
        <v>300</v>
      </c>
      <c r="N142" s="48">
        <v>60</v>
      </c>
      <c r="O142" s="50">
        <v>9</v>
      </c>
      <c r="P142" s="50">
        <v>9</v>
      </c>
      <c r="Q142" s="51">
        <f t="shared" si="7"/>
        <v>354</v>
      </c>
      <c r="R142" s="48"/>
      <c r="S142" s="64">
        <v>57</v>
      </c>
      <c r="T142" s="43">
        <v>45759</v>
      </c>
      <c r="U142" s="43" t="s">
        <v>178</v>
      </c>
      <c r="V142" s="46" t="s">
        <v>33</v>
      </c>
      <c r="W142" s="54" t="s">
        <v>112</v>
      </c>
    </row>
    <row r="143" spans="1:23" s="27" customFormat="1" ht="34.950000000000003" customHeight="1" x14ac:dyDescent="0.25">
      <c r="A143" s="12">
        <f>SUBTOTAL(3,$B$2:B143)</f>
        <v>142</v>
      </c>
      <c r="B143" s="42">
        <v>29</v>
      </c>
      <c r="C143" s="43">
        <v>45759</v>
      </c>
      <c r="D143" s="42">
        <v>82601240006</v>
      </c>
      <c r="E143" s="44">
        <v>46046</v>
      </c>
      <c r="F143" s="45" t="s">
        <v>183</v>
      </c>
      <c r="G143" s="52" t="s">
        <v>219</v>
      </c>
      <c r="H143" s="46" t="s">
        <v>220</v>
      </c>
      <c r="I143" s="67"/>
      <c r="J143" s="43"/>
      <c r="K143" s="55">
        <v>2</v>
      </c>
      <c r="L143" s="49">
        <f t="shared" si="6"/>
        <v>2</v>
      </c>
      <c r="M143" s="48">
        <f t="shared" si="8"/>
        <v>180</v>
      </c>
      <c r="N143" s="48">
        <v>90</v>
      </c>
      <c r="O143" s="50">
        <v>9</v>
      </c>
      <c r="P143" s="50">
        <v>9</v>
      </c>
      <c r="Q143" s="51">
        <f t="shared" si="7"/>
        <v>212.39999999999998</v>
      </c>
      <c r="R143" s="48"/>
      <c r="S143" s="64">
        <v>57</v>
      </c>
      <c r="T143" s="43">
        <v>45759</v>
      </c>
      <c r="U143" s="43" t="s">
        <v>178</v>
      </c>
      <c r="V143" s="46" t="s">
        <v>33</v>
      </c>
      <c r="W143" s="54" t="s">
        <v>112</v>
      </c>
    </row>
    <row r="144" spans="1:23" s="27" customFormat="1" ht="34.950000000000003" customHeight="1" x14ac:dyDescent="0.25">
      <c r="A144" s="12">
        <f>SUBTOTAL(3,$B$2:B144)</f>
        <v>143</v>
      </c>
      <c r="B144" s="42">
        <v>29</v>
      </c>
      <c r="C144" s="43">
        <v>45759</v>
      </c>
      <c r="D144" s="42">
        <v>82601240006</v>
      </c>
      <c r="E144" s="44">
        <v>46046</v>
      </c>
      <c r="F144" s="45" t="s">
        <v>183</v>
      </c>
      <c r="G144" s="52" t="s">
        <v>221</v>
      </c>
      <c r="H144" s="46" t="s">
        <v>16</v>
      </c>
      <c r="I144" s="67"/>
      <c r="J144" s="43"/>
      <c r="K144" s="55">
        <v>2</v>
      </c>
      <c r="L144" s="49">
        <f t="shared" si="6"/>
        <v>2</v>
      </c>
      <c r="M144" s="48">
        <f t="shared" si="8"/>
        <v>240</v>
      </c>
      <c r="N144" s="48">
        <v>120</v>
      </c>
      <c r="O144" s="50">
        <v>2.5</v>
      </c>
      <c r="P144" s="50">
        <v>2.5</v>
      </c>
      <c r="Q144" s="51">
        <f t="shared" si="7"/>
        <v>252</v>
      </c>
      <c r="R144" s="48"/>
      <c r="S144" s="64">
        <v>57</v>
      </c>
      <c r="T144" s="43">
        <v>45759</v>
      </c>
      <c r="U144" s="43" t="s">
        <v>178</v>
      </c>
      <c r="V144" s="46" t="s">
        <v>33</v>
      </c>
      <c r="W144" s="54" t="s">
        <v>34</v>
      </c>
    </row>
    <row r="145" spans="1:23" s="27" customFormat="1" ht="34.950000000000003" customHeight="1" x14ac:dyDescent="0.25">
      <c r="A145" s="12">
        <f>SUBTOTAL(3,$B$2:B145)</f>
        <v>144</v>
      </c>
      <c r="B145" s="42">
        <v>29</v>
      </c>
      <c r="C145" s="43">
        <v>45759</v>
      </c>
      <c r="D145" s="42">
        <v>82601240006</v>
      </c>
      <c r="E145" s="44">
        <v>46046</v>
      </c>
      <c r="F145" s="45" t="s">
        <v>183</v>
      </c>
      <c r="G145" s="70" t="s">
        <v>222</v>
      </c>
      <c r="H145" s="57" t="s">
        <v>16</v>
      </c>
      <c r="I145" s="67"/>
      <c r="J145" s="43"/>
      <c r="K145" s="55">
        <v>6</v>
      </c>
      <c r="L145" s="49">
        <f t="shared" si="6"/>
        <v>6</v>
      </c>
      <c r="M145" s="48">
        <f t="shared" si="8"/>
        <v>1200</v>
      </c>
      <c r="N145" s="48">
        <v>200</v>
      </c>
      <c r="O145" s="50">
        <v>9</v>
      </c>
      <c r="P145" s="50">
        <v>9</v>
      </c>
      <c r="Q145" s="51">
        <f t="shared" si="7"/>
        <v>1416</v>
      </c>
      <c r="R145" s="48"/>
      <c r="S145" s="64">
        <v>57</v>
      </c>
      <c r="T145" s="43">
        <v>45759</v>
      </c>
      <c r="U145" s="43" t="s">
        <v>178</v>
      </c>
      <c r="V145" s="46" t="s">
        <v>33</v>
      </c>
      <c r="W145" s="54" t="s">
        <v>112</v>
      </c>
    </row>
    <row r="146" spans="1:23" s="27" customFormat="1" ht="34.950000000000003" customHeight="1" x14ac:dyDescent="0.25">
      <c r="A146" s="12">
        <f>SUBTOTAL(3,$B$2:B146)</f>
        <v>145</v>
      </c>
      <c r="B146" s="42">
        <v>29</v>
      </c>
      <c r="C146" s="43">
        <v>45759</v>
      </c>
      <c r="D146" s="42">
        <v>82601240006</v>
      </c>
      <c r="E146" s="44">
        <v>46046</v>
      </c>
      <c r="F146" s="45" t="s">
        <v>183</v>
      </c>
      <c r="G146" s="52" t="s">
        <v>223</v>
      </c>
      <c r="H146" s="46" t="s">
        <v>16</v>
      </c>
      <c r="I146" s="67"/>
      <c r="J146" s="43"/>
      <c r="K146" s="55">
        <v>25</v>
      </c>
      <c r="L146" s="49">
        <f t="shared" si="6"/>
        <v>25</v>
      </c>
      <c r="M146" s="48">
        <f t="shared" si="8"/>
        <v>1625</v>
      </c>
      <c r="N146" s="48">
        <v>65</v>
      </c>
      <c r="O146" s="50">
        <v>9</v>
      </c>
      <c r="P146" s="50">
        <v>9</v>
      </c>
      <c r="Q146" s="51">
        <f t="shared" si="7"/>
        <v>1917.5</v>
      </c>
      <c r="R146" s="48"/>
      <c r="S146" s="64">
        <v>57</v>
      </c>
      <c r="T146" s="43">
        <v>45759</v>
      </c>
      <c r="U146" s="43" t="s">
        <v>178</v>
      </c>
      <c r="V146" s="46" t="s">
        <v>33</v>
      </c>
      <c r="W146" s="54" t="s">
        <v>34</v>
      </c>
    </row>
    <row r="147" spans="1:23" s="27" customFormat="1" ht="34.950000000000003" customHeight="1" x14ac:dyDescent="0.25">
      <c r="A147" s="12">
        <f>SUBTOTAL(3,$B$2:B147)</f>
        <v>146</v>
      </c>
      <c r="B147" s="42">
        <v>30</v>
      </c>
      <c r="C147" s="43">
        <v>45761</v>
      </c>
      <c r="D147" s="42">
        <v>82507310001</v>
      </c>
      <c r="E147" s="44">
        <v>45869</v>
      </c>
      <c r="F147" s="45" t="s">
        <v>35</v>
      </c>
      <c r="G147" s="54" t="s">
        <v>36</v>
      </c>
      <c r="H147" s="46" t="s">
        <v>37</v>
      </c>
      <c r="I147" s="46" t="s">
        <v>38</v>
      </c>
      <c r="J147" s="43">
        <v>45733</v>
      </c>
      <c r="K147" s="55">
        <v>7</v>
      </c>
      <c r="L147" s="49">
        <f t="shared" si="6"/>
        <v>7</v>
      </c>
      <c r="M147" s="48">
        <f t="shared" si="8"/>
        <v>22542.309999999998</v>
      </c>
      <c r="N147" s="48">
        <v>3220.33</v>
      </c>
      <c r="O147" s="50">
        <v>9</v>
      </c>
      <c r="P147" s="50">
        <v>9</v>
      </c>
      <c r="Q147" s="51">
        <f t="shared" si="7"/>
        <v>26599.925799999997</v>
      </c>
      <c r="R147" s="48"/>
      <c r="S147" s="24" t="s">
        <v>224</v>
      </c>
      <c r="T147" s="43">
        <v>45761</v>
      </c>
      <c r="U147" s="43" t="s">
        <v>225</v>
      </c>
      <c r="V147" s="46" t="s">
        <v>33</v>
      </c>
      <c r="W147" s="54" t="s">
        <v>34</v>
      </c>
    </row>
    <row r="148" spans="1:23" s="27" customFormat="1" ht="34.950000000000003" customHeight="1" x14ac:dyDescent="0.25">
      <c r="A148" s="12">
        <f>SUBTOTAL(3,$B$2:B148)</f>
        <v>147</v>
      </c>
      <c r="B148" s="42">
        <v>31</v>
      </c>
      <c r="C148" s="43">
        <v>45761</v>
      </c>
      <c r="D148" s="42">
        <v>82507310002</v>
      </c>
      <c r="E148" s="44">
        <v>45869</v>
      </c>
      <c r="F148" s="45" t="s">
        <v>35</v>
      </c>
      <c r="G148" s="54" t="s">
        <v>36</v>
      </c>
      <c r="H148" s="57" t="s">
        <v>37</v>
      </c>
      <c r="I148" s="46" t="s">
        <v>38</v>
      </c>
      <c r="J148" s="43">
        <v>45733</v>
      </c>
      <c r="K148" s="55">
        <v>7</v>
      </c>
      <c r="L148" s="49">
        <f t="shared" si="6"/>
        <v>7</v>
      </c>
      <c r="M148" s="48">
        <f t="shared" si="8"/>
        <v>22542.309999999998</v>
      </c>
      <c r="N148" s="48">
        <v>3220.33</v>
      </c>
      <c r="O148" s="50">
        <v>9</v>
      </c>
      <c r="P148" s="50">
        <v>9</v>
      </c>
      <c r="Q148" s="51">
        <f t="shared" si="7"/>
        <v>26599.925799999997</v>
      </c>
      <c r="R148" s="48"/>
      <c r="S148" s="24" t="s">
        <v>226</v>
      </c>
      <c r="T148" s="43">
        <v>45761</v>
      </c>
      <c r="U148" s="43" t="s">
        <v>97</v>
      </c>
      <c r="V148" s="46" t="s">
        <v>33</v>
      </c>
      <c r="W148" s="54" t="s">
        <v>34</v>
      </c>
    </row>
    <row r="149" spans="1:23" s="27" customFormat="1" ht="34.950000000000003" customHeight="1" x14ac:dyDescent="0.25">
      <c r="A149" s="12">
        <f>SUBTOTAL(3,$B$2:B149)</f>
        <v>148</v>
      </c>
      <c r="B149" s="42">
        <v>32</v>
      </c>
      <c r="C149" s="43">
        <v>45761</v>
      </c>
      <c r="D149" s="42">
        <v>82507310003</v>
      </c>
      <c r="E149" s="44">
        <v>45869</v>
      </c>
      <c r="F149" s="45" t="s">
        <v>35</v>
      </c>
      <c r="G149" s="52" t="s">
        <v>36</v>
      </c>
      <c r="H149" s="46" t="s">
        <v>37</v>
      </c>
      <c r="I149" s="46" t="s">
        <v>38</v>
      </c>
      <c r="J149" s="43">
        <v>45733</v>
      </c>
      <c r="K149" s="55">
        <v>7</v>
      </c>
      <c r="L149" s="49">
        <f t="shared" si="6"/>
        <v>7</v>
      </c>
      <c r="M149" s="48">
        <f t="shared" si="8"/>
        <v>22542.309999999998</v>
      </c>
      <c r="N149" s="48">
        <v>3220.33</v>
      </c>
      <c r="O149" s="50">
        <v>9</v>
      </c>
      <c r="P149" s="50">
        <v>9</v>
      </c>
      <c r="Q149" s="51">
        <f t="shared" si="7"/>
        <v>26599.925799999997</v>
      </c>
      <c r="R149" s="48"/>
      <c r="S149" s="24" t="s">
        <v>227</v>
      </c>
      <c r="T149" s="43">
        <v>45761</v>
      </c>
      <c r="U149" s="43" t="s">
        <v>228</v>
      </c>
      <c r="V149" s="46" t="s">
        <v>33</v>
      </c>
      <c r="W149" s="54" t="s">
        <v>34</v>
      </c>
    </row>
    <row r="150" spans="1:23" s="27" customFormat="1" ht="34.950000000000003" customHeight="1" x14ac:dyDescent="0.35">
      <c r="A150" s="12">
        <f>SUBTOTAL(3,$B$2:B150)</f>
        <v>149</v>
      </c>
      <c r="B150" s="42">
        <v>33</v>
      </c>
      <c r="C150" s="43">
        <v>45761</v>
      </c>
      <c r="D150" s="42">
        <v>82507310004</v>
      </c>
      <c r="E150" s="44">
        <v>45869</v>
      </c>
      <c r="F150" s="45" t="s">
        <v>35</v>
      </c>
      <c r="G150" s="71" t="s">
        <v>36</v>
      </c>
      <c r="H150" s="72" t="s">
        <v>37</v>
      </c>
      <c r="I150" s="46" t="s">
        <v>38</v>
      </c>
      <c r="J150" s="43">
        <v>45733</v>
      </c>
      <c r="K150" s="55">
        <v>7</v>
      </c>
      <c r="L150" s="49">
        <f t="shared" si="6"/>
        <v>7</v>
      </c>
      <c r="M150" s="48">
        <f t="shared" si="8"/>
        <v>22542.309999999998</v>
      </c>
      <c r="N150" s="48">
        <v>3220.33</v>
      </c>
      <c r="O150" s="50">
        <v>9</v>
      </c>
      <c r="P150" s="50">
        <v>9</v>
      </c>
      <c r="Q150" s="51">
        <f t="shared" si="7"/>
        <v>26599.925799999997</v>
      </c>
      <c r="R150" s="48"/>
      <c r="S150" s="24" t="s">
        <v>229</v>
      </c>
      <c r="T150" s="43">
        <v>45761</v>
      </c>
      <c r="U150" s="43" t="s">
        <v>230</v>
      </c>
      <c r="V150" s="46" t="s">
        <v>33</v>
      </c>
      <c r="W150" s="54" t="s">
        <v>34</v>
      </c>
    </row>
    <row r="151" spans="1:23" s="27" customFormat="1" ht="34.950000000000003" customHeight="1" x14ac:dyDescent="0.35">
      <c r="A151" s="12">
        <f>SUBTOTAL(3,$B$2:B151)</f>
        <v>150</v>
      </c>
      <c r="B151" s="42">
        <v>34</v>
      </c>
      <c r="C151" s="43">
        <v>45762</v>
      </c>
      <c r="D151" s="42">
        <v>82601230001</v>
      </c>
      <c r="E151" s="44">
        <v>46045</v>
      </c>
      <c r="F151" s="45" t="s">
        <v>231</v>
      </c>
      <c r="G151" s="53" t="s">
        <v>232</v>
      </c>
      <c r="H151" s="72" t="s">
        <v>16</v>
      </c>
      <c r="I151" s="46"/>
      <c r="J151" s="43"/>
      <c r="K151" s="73">
        <v>1</v>
      </c>
      <c r="L151" s="49">
        <f t="shared" si="6"/>
        <v>1</v>
      </c>
      <c r="M151" s="48">
        <f t="shared" si="8"/>
        <v>95084</v>
      </c>
      <c r="N151" s="48">
        <v>95084</v>
      </c>
      <c r="O151" s="50">
        <v>9</v>
      </c>
      <c r="P151" s="50">
        <v>9</v>
      </c>
      <c r="Q151" s="51">
        <f t="shared" si="7"/>
        <v>112199.12</v>
      </c>
      <c r="R151" s="48"/>
      <c r="S151" s="24">
        <v>17</v>
      </c>
      <c r="T151" s="43">
        <v>45762</v>
      </c>
      <c r="U151" s="43" t="s">
        <v>233</v>
      </c>
      <c r="V151" s="46" t="s">
        <v>33</v>
      </c>
      <c r="W151" s="54" t="s">
        <v>34</v>
      </c>
    </row>
    <row r="152" spans="1:23" s="27" customFormat="1" ht="34.950000000000003" customHeight="1" x14ac:dyDescent="0.35">
      <c r="A152" s="12">
        <f>SUBTOTAL(3,$B$2:B152)</f>
        <v>151</v>
      </c>
      <c r="B152" s="42">
        <v>34</v>
      </c>
      <c r="C152" s="43">
        <v>45762</v>
      </c>
      <c r="D152" s="42">
        <v>82601230001</v>
      </c>
      <c r="E152" s="44">
        <v>46045</v>
      </c>
      <c r="F152" s="45" t="s">
        <v>231</v>
      </c>
      <c r="G152" s="53" t="s">
        <v>234</v>
      </c>
      <c r="H152" s="72" t="s">
        <v>23</v>
      </c>
      <c r="I152" s="46"/>
      <c r="J152" s="43"/>
      <c r="K152" s="73">
        <v>505</v>
      </c>
      <c r="L152" s="49">
        <f t="shared" si="6"/>
        <v>505</v>
      </c>
      <c r="M152" s="48">
        <f t="shared" si="8"/>
        <v>83855</v>
      </c>
      <c r="N152" s="48">
        <v>166.04950495049505</v>
      </c>
      <c r="O152" s="50">
        <v>9</v>
      </c>
      <c r="P152" s="50">
        <v>9</v>
      </c>
      <c r="Q152" s="51">
        <f t="shared" si="7"/>
        <v>98948.9</v>
      </c>
      <c r="R152" s="48">
        <v>0</v>
      </c>
      <c r="S152" s="24">
        <v>17</v>
      </c>
      <c r="T152" s="43">
        <v>45762</v>
      </c>
      <c r="U152" s="43" t="s">
        <v>233</v>
      </c>
      <c r="V152" s="46" t="s">
        <v>33</v>
      </c>
      <c r="W152" s="54" t="s">
        <v>34</v>
      </c>
    </row>
    <row r="153" spans="1:23" s="27" customFormat="1" ht="34.950000000000003" customHeight="1" x14ac:dyDescent="0.35">
      <c r="A153" s="12">
        <f>SUBTOTAL(3,$B$2:B153)</f>
        <v>152</v>
      </c>
      <c r="B153" s="42">
        <v>34</v>
      </c>
      <c r="C153" s="43">
        <v>45762</v>
      </c>
      <c r="D153" s="42">
        <v>82601230001</v>
      </c>
      <c r="E153" s="44">
        <v>46045</v>
      </c>
      <c r="F153" s="45" t="s">
        <v>231</v>
      </c>
      <c r="G153" s="71" t="s">
        <v>235</v>
      </c>
      <c r="H153" s="72" t="s">
        <v>23</v>
      </c>
      <c r="I153" s="46"/>
      <c r="J153" s="43"/>
      <c r="K153" s="73">
        <v>525</v>
      </c>
      <c r="L153" s="49">
        <f t="shared" si="6"/>
        <v>525</v>
      </c>
      <c r="M153" s="48">
        <f t="shared" si="8"/>
        <v>102436</v>
      </c>
      <c r="N153" s="48">
        <v>195.11619047619047</v>
      </c>
      <c r="O153" s="50">
        <v>9</v>
      </c>
      <c r="P153" s="50">
        <v>9</v>
      </c>
      <c r="Q153" s="51">
        <f t="shared" si="7"/>
        <v>120874.48</v>
      </c>
      <c r="R153" s="48"/>
      <c r="S153" s="24">
        <v>17</v>
      </c>
      <c r="T153" s="43">
        <v>45762</v>
      </c>
      <c r="U153" s="43" t="s">
        <v>233</v>
      </c>
      <c r="V153" s="46" t="s">
        <v>33</v>
      </c>
      <c r="W153" s="54" t="s">
        <v>34</v>
      </c>
    </row>
    <row r="154" spans="1:23" s="27" customFormat="1" ht="34.950000000000003" customHeight="1" x14ac:dyDescent="0.35">
      <c r="A154" s="12">
        <f>SUBTOTAL(3,$B$2:B154)</f>
        <v>153</v>
      </c>
      <c r="B154" s="13">
        <v>35</v>
      </c>
      <c r="C154" s="14">
        <v>45764</v>
      </c>
      <c r="D154" s="13">
        <v>0</v>
      </c>
      <c r="E154" s="14">
        <v>0</v>
      </c>
      <c r="F154" s="15" t="s">
        <v>236</v>
      </c>
      <c r="G154" s="26" t="s">
        <v>172</v>
      </c>
      <c r="H154" s="74" t="s">
        <v>155</v>
      </c>
      <c r="I154" s="16"/>
      <c r="J154" s="14"/>
      <c r="K154" s="75">
        <v>10</v>
      </c>
      <c r="L154" s="21">
        <f t="shared" si="6"/>
        <v>10</v>
      </c>
      <c r="M154" s="20">
        <f t="shared" si="8"/>
        <v>3500</v>
      </c>
      <c r="N154" s="20">
        <v>350</v>
      </c>
      <c r="O154" s="22">
        <v>0</v>
      </c>
      <c r="P154" s="22">
        <v>0</v>
      </c>
      <c r="Q154" s="23">
        <f t="shared" si="7"/>
        <v>3500</v>
      </c>
      <c r="R154" s="20"/>
      <c r="S154" s="18">
        <v>539</v>
      </c>
      <c r="T154" s="14">
        <v>45764</v>
      </c>
      <c r="U154" s="14" t="s">
        <v>237</v>
      </c>
      <c r="V154" s="16" t="s">
        <v>18</v>
      </c>
      <c r="W154" s="61" t="s">
        <v>34</v>
      </c>
    </row>
    <row r="155" spans="1:23" s="27" customFormat="1" ht="34.950000000000003" customHeight="1" x14ac:dyDescent="0.35">
      <c r="A155" s="12">
        <f>SUBTOTAL(3,$B$2:B155)</f>
        <v>154</v>
      </c>
      <c r="B155" s="13">
        <v>36</v>
      </c>
      <c r="C155" s="14">
        <v>45765</v>
      </c>
      <c r="D155" s="13">
        <v>0</v>
      </c>
      <c r="E155" s="14">
        <v>0</v>
      </c>
      <c r="F155" s="15" t="s">
        <v>238</v>
      </c>
      <c r="G155" s="26" t="s">
        <v>239</v>
      </c>
      <c r="H155" s="74" t="s">
        <v>240</v>
      </c>
      <c r="I155" s="16"/>
      <c r="J155" s="14"/>
      <c r="K155" s="75">
        <v>3.38</v>
      </c>
      <c r="L155" s="21">
        <f t="shared" si="6"/>
        <v>3.38</v>
      </c>
      <c r="M155" s="20">
        <f t="shared" si="8"/>
        <v>2550</v>
      </c>
      <c r="N155" s="20">
        <v>754.43786982248525</v>
      </c>
      <c r="O155" s="22"/>
      <c r="P155" s="22"/>
      <c r="Q155" s="23">
        <f t="shared" si="7"/>
        <v>2550</v>
      </c>
      <c r="R155" s="20"/>
      <c r="S155" s="18">
        <v>32</v>
      </c>
      <c r="T155" s="14">
        <v>45765</v>
      </c>
      <c r="U155" s="14" t="s">
        <v>241</v>
      </c>
      <c r="V155" s="16" t="s">
        <v>18</v>
      </c>
      <c r="W155" s="61" t="s">
        <v>34</v>
      </c>
    </row>
    <row r="156" spans="1:23" s="27" customFormat="1" ht="34.950000000000003" customHeight="1" x14ac:dyDescent="0.35">
      <c r="A156" s="12">
        <f>SUBTOTAL(3,$B$2:B156)</f>
        <v>155</v>
      </c>
      <c r="B156" s="13">
        <v>37</v>
      </c>
      <c r="C156" s="14">
        <v>45768</v>
      </c>
      <c r="D156" s="13">
        <v>0</v>
      </c>
      <c r="E156" s="14">
        <v>0</v>
      </c>
      <c r="F156" s="15" t="s">
        <v>110</v>
      </c>
      <c r="G156" s="26" t="s">
        <v>242</v>
      </c>
      <c r="H156" s="74" t="s">
        <v>243</v>
      </c>
      <c r="I156" s="16"/>
      <c r="J156" s="14"/>
      <c r="K156" s="75">
        <v>1</v>
      </c>
      <c r="L156" s="21">
        <f t="shared" si="6"/>
        <v>1</v>
      </c>
      <c r="M156" s="20">
        <f t="shared" si="8"/>
        <v>250</v>
      </c>
      <c r="N156" s="20">
        <v>250</v>
      </c>
      <c r="O156" s="22">
        <v>0</v>
      </c>
      <c r="P156" s="22">
        <v>0</v>
      </c>
      <c r="Q156" s="23">
        <f t="shared" si="7"/>
        <v>250</v>
      </c>
      <c r="R156" s="20"/>
      <c r="S156" s="18">
        <v>142</v>
      </c>
      <c r="T156" s="14">
        <v>45768</v>
      </c>
      <c r="U156" s="14" t="s">
        <v>244</v>
      </c>
      <c r="V156" s="16" t="s">
        <v>18</v>
      </c>
      <c r="W156" s="61" t="s">
        <v>34</v>
      </c>
    </row>
    <row r="157" spans="1:23" s="27" customFormat="1" ht="34.950000000000003" customHeight="1" x14ac:dyDescent="0.35">
      <c r="A157" s="12">
        <f>SUBTOTAL(3,$B$2:B157)</f>
        <v>156</v>
      </c>
      <c r="B157" s="42">
        <v>38</v>
      </c>
      <c r="C157" s="43">
        <v>45768</v>
      </c>
      <c r="D157" s="42">
        <v>82509230008</v>
      </c>
      <c r="E157" s="43">
        <v>45923</v>
      </c>
      <c r="F157" s="45" t="s">
        <v>157</v>
      </c>
      <c r="G157" s="53" t="s">
        <v>245</v>
      </c>
      <c r="H157" s="72" t="s">
        <v>16</v>
      </c>
      <c r="I157" s="46"/>
      <c r="J157" s="43"/>
      <c r="K157" s="73">
        <v>6</v>
      </c>
      <c r="L157" s="49">
        <f t="shared" si="6"/>
        <v>6</v>
      </c>
      <c r="M157" s="48">
        <f t="shared" si="8"/>
        <v>7200</v>
      </c>
      <c r="N157" s="48">
        <v>1200</v>
      </c>
      <c r="O157" s="50">
        <v>9</v>
      </c>
      <c r="P157" s="50">
        <v>9</v>
      </c>
      <c r="Q157" s="51">
        <f t="shared" si="7"/>
        <v>8496</v>
      </c>
      <c r="R157" s="48"/>
      <c r="S157" s="24">
        <v>20</v>
      </c>
      <c r="T157" s="43">
        <v>45768</v>
      </c>
      <c r="U157" s="43" t="s">
        <v>246</v>
      </c>
      <c r="V157" s="46" t="s">
        <v>247</v>
      </c>
      <c r="W157" s="54" t="s">
        <v>34</v>
      </c>
    </row>
    <row r="158" spans="1:23" s="27" customFormat="1" ht="34.950000000000003" customHeight="1" x14ac:dyDescent="0.25">
      <c r="A158" s="12">
        <f>SUBTOTAL(3,$B$2:B158)</f>
        <v>157</v>
      </c>
      <c r="B158" s="42">
        <v>38</v>
      </c>
      <c r="C158" s="43">
        <v>45768</v>
      </c>
      <c r="D158" s="42">
        <v>82509230008</v>
      </c>
      <c r="E158" s="43">
        <v>45923</v>
      </c>
      <c r="F158" s="45" t="s">
        <v>157</v>
      </c>
      <c r="G158" s="71" t="s">
        <v>248</v>
      </c>
      <c r="H158" s="76" t="s">
        <v>16</v>
      </c>
      <c r="I158" s="46"/>
      <c r="J158" s="43"/>
      <c r="K158" s="73">
        <v>2</v>
      </c>
      <c r="L158" s="49">
        <f t="shared" si="6"/>
        <v>2</v>
      </c>
      <c r="M158" s="48">
        <f t="shared" si="8"/>
        <v>800</v>
      </c>
      <c r="N158" s="48">
        <v>400</v>
      </c>
      <c r="O158" s="50">
        <v>9</v>
      </c>
      <c r="P158" s="50">
        <v>9</v>
      </c>
      <c r="Q158" s="51">
        <f t="shared" si="7"/>
        <v>944</v>
      </c>
      <c r="R158" s="48"/>
      <c r="S158" s="24">
        <v>20</v>
      </c>
      <c r="T158" s="43">
        <v>45768</v>
      </c>
      <c r="U158" s="43" t="s">
        <v>246</v>
      </c>
      <c r="V158" s="46" t="s">
        <v>247</v>
      </c>
      <c r="W158" s="54" t="s">
        <v>34</v>
      </c>
    </row>
    <row r="159" spans="1:23" s="27" customFormat="1" ht="34.950000000000003" customHeight="1" x14ac:dyDescent="0.25">
      <c r="A159" s="12">
        <f>SUBTOTAL(3,$B$2:B159)</f>
        <v>158</v>
      </c>
      <c r="B159" s="42">
        <v>38</v>
      </c>
      <c r="C159" s="43">
        <v>45768</v>
      </c>
      <c r="D159" s="42">
        <v>82509230008</v>
      </c>
      <c r="E159" s="43">
        <v>45923</v>
      </c>
      <c r="F159" s="45" t="s">
        <v>157</v>
      </c>
      <c r="G159" s="71" t="s">
        <v>249</v>
      </c>
      <c r="H159" s="76" t="s">
        <v>16</v>
      </c>
      <c r="I159" s="46"/>
      <c r="J159" s="43"/>
      <c r="K159" s="73">
        <v>4</v>
      </c>
      <c r="L159" s="49">
        <f t="shared" si="6"/>
        <v>4</v>
      </c>
      <c r="M159" s="48">
        <f t="shared" si="8"/>
        <v>1145</v>
      </c>
      <c r="N159" s="48">
        <f>1145/4</f>
        <v>286.25</v>
      </c>
      <c r="O159" s="50">
        <v>9</v>
      </c>
      <c r="P159" s="50">
        <v>9</v>
      </c>
      <c r="Q159" s="51">
        <f t="shared" si="7"/>
        <v>1351.1</v>
      </c>
      <c r="R159" s="48"/>
      <c r="S159" s="24">
        <v>20</v>
      </c>
      <c r="T159" s="43">
        <v>45768</v>
      </c>
      <c r="U159" s="43" t="s">
        <v>246</v>
      </c>
      <c r="V159" s="46" t="s">
        <v>247</v>
      </c>
      <c r="W159" s="54" t="s">
        <v>34</v>
      </c>
    </row>
    <row r="160" spans="1:23" s="27" customFormat="1" ht="34.950000000000003" customHeight="1" x14ac:dyDescent="0.25">
      <c r="A160" s="12">
        <f>SUBTOTAL(3,$B$2:B160)</f>
        <v>159</v>
      </c>
      <c r="B160" s="13">
        <v>39</v>
      </c>
      <c r="C160" s="14">
        <v>45769</v>
      </c>
      <c r="D160" s="13">
        <v>0</v>
      </c>
      <c r="E160" s="14">
        <v>0</v>
      </c>
      <c r="F160" s="15" t="s">
        <v>250</v>
      </c>
      <c r="G160" s="77" t="s">
        <v>251</v>
      </c>
      <c r="H160" s="78" t="s">
        <v>16</v>
      </c>
      <c r="I160" s="16"/>
      <c r="J160" s="14"/>
      <c r="K160" s="75">
        <v>5</v>
      </c>
      <c r="L160" s="21">
        <f t="shared" si="6"/>
        <v>5</v>
      </c>
      <c r="M160" s="20">
        <f t="shared" si="8"/>
        <v>1400</v>
      </c>
      <c r="N160" s="20">
        <v>280</v>
      </c>
      <c r="O160" s="22"/>
      <c r="P160" s="22"/>
      <c r="Q160" s="23">
        <f t="shared" si="7"/>
        <v>1400</v>
      </c>
      <c r="R160" s="20"/>
      <c r="S160" s="18">
        <v>328</v>
      </c>
      <c r="T160" s="14">
        <v>45769</v>
      </c>
      <c r="U160" s="14" t="s">
        <v>91</v>
      </c>
      <c r="V160" s="16" t="s">
        <v>18</v>
      </c>
      <c r="W160" s="61" t="s">
        <v>34</v>
      </c>
    </row>
    <row r="161" spans="1:23" s="27" customFormat="1" ht="34.950000000000003" customHeight="1" x14ac:dyDescent="0.25">
      <c r="A161" s="12">
        <f>SUBTOTAL(3,$B$2:B161)</f>
        <v>160</v>
      </c>
      <c r="B161" s="13">
        <v>39</v>
      </c>
      <c r="C161" s="14">
        <v>45769</v>
      </c>
      <c r="D161" s="13">
        <v>0</v>
      </c>
      <c r="E161" s="14">
        <v>0</v>
      </c>
      <c r="F161" s="15" t="s">
        <v>250</v>
      </c>
      <c r="G161" s="77" t="s">
        <v>252</v>
      </c>
      <c r="H161" s="78" t="s">
        <v>16</v>
      </c>
      <c r="I161" s="16"/>
      <c r="J161" s="14"/>
      <c r="K161" s="75">
        <v>5</v>
      </c>
      <c r="L161" s="21">
        <f t="shared" si="6"/>
        <v>5</v>
      </c>
      <c r="M161" s="20">
        <f t="shared" si="8"/>
        <v>1850</v>
      </c>
      <c r="N161" s="20">
        <v>370</v>
      </c>
      <c r="O161" s="22"/>
      <c r="P161" s="22"/>
      <c r="Q161" s="23">
        <f t="shared" si="7"/>
        <v>1850</v>
      </c>
      <c r="R161" s="20"/>
      <c r="S161" s="18">
        <v>328</v>
      </c>
      <c r="T161" s="14">
        <v>45769</v>
      </c>
      <c r="U161" s="14" t="s">
        <v>91</v>
      </c>
      <c r="V161" s="16" t="s">
        <v>18</v>
      </c>
      <c r="W161" s="61" t="s">
        <v>34</v>
      </c>
    </row>
    <row r="162" spans="1:23" s="27" customFormat="1" ht="34.950000000000003" customHeight="1" x14ac:dyDescent="0.25">
      <c r="A162" s="12">
        <f>SUBTOTAL(3,$B$2:B162)</f>
        <v>161</v>
      </c>
      <c r="B162" s="13">
        <v>39</v>
      </c>
      <c r="C162" s="14">
        <v>45769</v>
      </c>
      <c r="D162" s="13">
        <v>0</v>
      </c>
      <c r="E162" s="14">
        <v>0</v>
      </c>
      <c r="F162" s="15" t="s">
        <v>250</v>
      </c>
      <c r="G162" s="77" t="s">
        <v>253</v>
      </c>
      <c r="H162" s="78" t="s">
        <v>16</v>
      </c>
      <c r="I162" s="16"/>
      <c r="J162" s="14"/>
      <c r="K162" s="75">
        <v>1</v>
      </c>
      <c r="L162" s="21">
        <f t="shared" si="6"/>
        <v>1</v>
      </c>
      <c r="M162" s="20">
        <f t="shared" si="8"/>
        <v>600</v>
      </c>
      <c r="N162" s="20">
        <v>600</v>
      </c>
      <c r="O162" s="22"/>
      <c r="P162" s="22"/>
      <c r="Q162" s="23">
        <f t="shared" si="7"/>
        <v>600</v>
      </c>
      <c r="R162" s="20"/>
      <c r="S162" s="18">
        <v>328</v>
      </c>
      <c r="T162" s="14">
        <v>45769</v>
      </c>
      <c r="U162" s="14" t="s">
        <v>91</v>
      </c>
      <c r="V162" s="16" t="s">
        <v>18</v>
      </c>
      <c r="W162" s="61" t="s">
        <v>34</v>
      </c>
    </row>
    <row r="163" spans="1:23" s="27" customFormat="1" ht="34.950000000000003" customHeight="1" x14ac:dyDescent="0.25">
      <c r="A163" s="12">
        <f>SUBTOTAL(3,$B$2:B163)</f>
        <v>162</v>
      </c>
      <c r="B163" s="13">
        <v>39</v>
      </c>
      <c r="C163" s="14">
        <v>45769</v>
      </c>
      <c r="D163" s="13">
        <v>0</v>
      </c>
      <c r="E163" s="14">
        <v>0</v>
      </c>
      <c r="F163" s="15" t="s">
        <v>250</v>
      </c>
      <c r="G163" s="77" t="s">
        <v>254</v>
      </c>
      <c r="H163" s="78" t="s">
        <v>16</v>
      </c>
      <c r="I163" s="16"/>
      <c r="J163" s="14"/>
      <c r="K163" s="75">
        <v>1</v>
      </c>
      <c r="L163" s="21">
        <f t="shared" si="6"/>
        <v>1</v>
      </c>
      <c r="M163" s="20">
        <f t="shared" si="8"/>
        <v>210</v>
      </c>
      <c r="N163" s="20">
        <v>210</v>
      </c>
      <c r="O163" s="22"/>
      <c r="P163" s="22"/>
      <c r="Q163" s="23">
        <f t="shared" si="7"/>
        <v>210</v>
      </c>
      <c r="R163" s="20"/>
      <c r="S163" s="18">
        <v>328</v>
      </c>
      <c r="T163" s="14">
        <v>45769</v>
      </c>
      <c r="U163" s="14" t="s">
        <v>91</v>
      </c>
      <c r="V163" s="16" t="s">
        <v>18</v>
      </c>
      <c r="W163" s="61" t="s">
        <v>34</v>
      </c>
    </row>
    <row r="164" spans="1:23" s="27" customFormat="1" ht="34.950000000000003" customHeight="1" x14ac:dyDescent="0.25">
      <c r="A164" s="12">
        <f>SUBTOTAL(3,$B$2:B164)</f>
        <v>163</v>
      </c>
      <c r="B164" s="13">
        <v>40</v>
      </c>
      <c r="C164" s="14">
        <v>45770</v>
      </c>
      <c r="D164" s="13">
        <v>0</v>
      </c>
      <c r="E164" s="14">
        <v>0</v>
      </c>
      <c r="F164" s="15" t="s">
        <v>236</v>
      </c>
      <c r="G164" s="77" t="s">
        <v>172</v>
      </c>
      <c r="H164" s="78" t="s">
        <v>155</v>
      </c>
      <c r="I164" s="16"/>
      <c r="J164" s="14"/>
      <c r="K164" s="75">
        <v>20</v>
      </c>
      <c r="L164" s="21">
        <f t="shared" si="6"/>
        <v>20</v>
      </c>
      <c r="M164" s="20">
        <f t="shared" si="8"/>
        <v>6700</v>
      </c>
      <c r="N164" s="20">
        <v>335</v>
      </c>
      <c r="O164" s="22"/>
      <c r="P164" s="22"/>
      <c r="Q164" s="23">
        <f t="shared" si="7"/>
        <v>6700</v>
      </c>
      <c r="R164" s="20"/>
      <c r="S164" s="18">
        <v>544</v>
      </c>
      <c r="T164" s="14">
        <v>45770</v>
      </c>
      <c r="U164" s="14" t="s">
        <v>237</v>
      </c>
      <c r="V164" s="16" t="s">
        <v>18</v>
      </c>
      <c r="W164" s="61" t="s">
        <v>34</v>
      </c>
    </row>
    <row r="165" spans="1:23" s="27" customFormat="1" ht="34.950000000000003" customHeight="1" x14ac:dyDescent="0.25">
      <c r="A165" s="12">
        <f>SUBTOTAL(3,$B$2:B165)</f>
        <v>164</v>
      </c>
      <c r="B165" s="13">
        <v>41</v>
      </c>
      <c r="C165" s="14">
        <v>45771</v>
      </c>
      <c r="D165" s="13">
        <v>0</v>
      </c>
      <c r="E165" s="14">
        <v>0</v>
      </c>
      <c r="F165" s="15" t="s">
        <v>110</v>
      </c>
      <c r="G165" s="77" t="s">
        <v>255</v>
      </c>
      <c r="H165" s="78" t="s">
        <v>16</v>
      </c>
      <c r="I165" s="16"/>
      <c r="J165" s="14"/>
      <c r="K165" s="75">
        <v>1</v>
      </c>
      <c r="L165" s="21">
        <f t="shared" si="6"/>
        <v>1</v>
      </c>
      <c r="M165" s="20">
        <f t="shared" si="8"/>
        <v>3000</v>
      </c>
      <c r="N165" s="20">
        <v>3000</v>
      </c>
      <c r="O165" s="22"/>
      <c r="P165" s="22"/>
      <c r="Q165" s="23">
        <f t="shared" si="7"/>
        <v>3000</v>
      </c>
      <c r="R165" s="20"/>
      <c r="S165" s="18" t="s">
        <v>256</v>
      </c>
      <c r="T165" s="14">
        <v>45771</v>
      </c>
      <c r="U165" s="14" t="s">
        <v>91</v>
      </c>
      <c r="V165" s="16" t="s">
        <v>18</v>
      </c>
      <c r="W165" s="61" t="s">
        <v>179</v>
      </c>
    </row>
    <row r="166" spans="1:23" s="27" customFormat="1" ht="34.950000000000003" customHeight="1" x14ac:dyDescent="0.25">
      <c r="A166" s="12">
        <f>SUBTOTAL(3,$B$2:B166)</f>
        <v>165</v>
      </c>
      <c r="B166" s="42">
        <v>42</v>
      </c>
      <c r="C166" s="43">
        <v>45773</v>
      </c>
      <c r="D166" s="42">
        <v>0</v>
      </c>
      <c r="E166" s="44">
        <v>0</v>
      </c>
      <c r="F166" s="45" t="s">
        <v>257</v>
      </c>
      <c r="G166" s="71" t="s">
        <v>258</v>
      </c>
      <c r="H166" s="76" t="s">
        <v>16</v>
      </c>
      <c r="I166" s="46"/>
      <c r="J166" s="43"/>
      <c r="K166" s="73">
        <v>2</v>
      </c>
      <c r="L166" s="49">
        <f t="shared" si="6"/>
        <v>2</v>
      </c>
      <c r="M166" s="48">
        <f t="shared" si="8"/>
        <v>16100</v>
      </c>
      <c r="N166" s="48">
        <v>8050</v>
      </c>
      <c r="O166" s="50">
        <v>9</v>
      </c>
      <c r="P166" s="50">
        <v>9</v>
      </c>
      <c r="Q166" s="51">
        <f t="shared" si="7"/>
        <v>18998</v>
      </c>
      <c r="R166" s="48"/>
      <c r="S166" s="24">
        <v>45</v>
      </c>
      <c r="T166" s="43">
        <v>45773</v>
      </c>
      <c r="U166" s="43" t="s">
        <v>259</v>
      </c>
      <c r="V166" s="46" t="s">
        <v>33</v>
      </c>
      <c r="W166" s="54" t="s">
        <v>166</v>
      </c>
    </row>
    <row r="167" spans="1:23" s="27" customFormat="1" ht="34.950000000000003" customHeight="1" x14ac:dyDescent="0.25">
      <c r="A167" s="12">
        <f>SUBTOTAL(3,$B$2:B167)</f>
        <v>166</v>
      </c>
      <c r="B167" s="42">
        <v>43</v>
      </c>
      <c r="C167" s="43">
        <v>45773</v>
      </c>
      <c r="D167" s="42">
        <v>0</v>
      </c>
      <c r="E167" s="44">
        <v>0</v>
      </c>
      <c r="F167" s="45" t="s">
        <v>257</v>
      </c>
      <c r="G167" s="71" t="s">
        <v>260</v>
      </c>
      <c r="H167" s="76" t="s">
        <v>16</v>
      </c>
      <c r="I167" s="46"/>
      <c r="J167" s="43"/>
      <c r="K167" s="73">
        <v>3</v>
      </c>
      <c r="L167" s="49">
        <f t="shared" si="6"/>
        <v>3</v>
      </c>
      <c r="M167" s="48">
        <f t="shared" si="8"/>
        <v>101484</v>
      </c>
      <c r="N167" s="48">
        <v>33828</v>
      </c>
      <c r="O167" s="50">
        <v>14</v>
      </c>
      <c r="P167" s="50">
        <v>14</v>
      </c>
      <c r="Q167" s="51">
        <f t="shared" si="7"/>
        <v>129899.52</v>
      </c>
      <c r="R167" s="48"/>
      <c r="S167" s="24">
        <v>46</v>
      </c>
      <c r="T167" s="43">
        <v>45773</v>
      </c>
      <c r="U167" s="43" t="s">
        <v>259</v>
      </c>
      <c r="V167" s="46" t="s">
        <v>33</v>
      </c>
      <c r="W167" s="54" t="s">
        <v>166</v>
      </c>
    </row>
    <row r="168" spans="1:23" s="27" customFormat="1" ht="34.950000000000003" customHeight="1" x14ac:dyDescent="0.25">
      <c r="A168" s="12">
        <f>SUBTOTAL(3,$B$2:B168)</f>
        <v>167</v>
      </c>
      <c r="B168" s="13">
        <v>44</v>
      </c>
      <c r="C168" s="14">
        <v>45776</v>
      </c>
      <c r="D168" s="13">
        <v>0</v>
      </c>
      <c r="E168" s="14">
        <v>0</v>
      </c>
      <c r="F168" s="15" t="s">
        <v>238</v>
      </c>
      <c r="G168" s="77" t="s">
        <v>239</v>
      </c>
      <c r="H168" s="78" t="s">
        <v>240</v>
      </c>
      <c r="I168" s="16"/>
      <c r="J168" s="14"/>
      <c r="K168" s="75">
        <v>4.45</v>
      </c>
      <c r="L168" s="21">
        <f t="shared" si="6"/>
        <v>4.45</v>
      </c>
      <c r="M168" s="20">
        <f t="shared" si="8"/>
        <v>3257.4</v>
      </c>
      <c r="N168" s="20">
        <v>732</v>
      </c>
      <c r="O168" s="22"/>
      <c r="P168" s="22"/>
      <c r="Q168" s="23">
        <f t="shared" si="7"/>
        <v>3257.4</v>
      </c>
      <c r="R168" s="20">
        <v>80</v>
      </c>
      <c r="S168" s="18">
        <v>34</v>
      </c>
      <c r="T168" s="14">
        <v>45776</v>
      </c>
      <c r="U168" s="14" t="s">
        <v>261</v>
      </c>
      <c r="V168" s="16" t="s">
        <v>18</v>
      </c>
      <c r="W168" s="61" t="s">
        <v>34</v>
      </c>
    </row>
    <row r="169" spans="1:23" s="27" customFormat="1" ht="34.950000000000003" customHeight="1" x14ac:dyDescent="0.25">
      <c r="A169" s="12">
        <f>SUBTOTAL(3,$B$2:B169)</f>
        <v>168</v>
      </c>
      <c r="B169" s="13">
        <v>45</v>
      </c>
      <c r="C169" s="14">
        <v>45776</v>
      </c>
      <c r="D169" s="13">
        <v>0</v>
      </c>
      <c r="E169" s="14">
        <v>0</v>
      </c>
      <c r="F169" s="15" t="s">
        <v>262</v>
      </c>
      <c r="G169" s="77" t="s">
        <v>263</v>
      </c>
      <c r="H169" s="78" t="s">
        <v>16</v>
      </c>
      <c r="I169" s="16"/>
      <c r="J169" s="14"/>
      <c r="K169" s="75">
        <v>26</v>
      </c>
      <c r="L169" s="21">
        <f t="shared" si="6"/>
        <v>26</v>
      </c>
      <c r="M169" s="20">
        <f t="shared" si="8"/>
        <v>10868</v>
      </c>
      <c r="N169" s="20">
        <v>418</v>
      </c>
      <c r="O169" s="22"/>
      <c r="P169" s="22"/>
      <c r="Q169" s="23">
        <f t="shared" si="7"/>
        <v>10868</v>
      </c>
      <c r="R169" s="20"/>
      <c r="S169" s="18">
        <v>638</v>
      </c>
      <c r="T169" s="14">
        <v>45776</v>
      </c>
      <c r="U169" s="14" t="s">
        <v>264</v>
      </c>
      <c r="V169" s="16" t="s">
        <v>18</v>
      </c>
      <c r="W169" s="61" t="s">
        <v>34</v>
      </c>
    </row>
    <row r="170" spans="1:23" s="27" customFormat="1" ht="34.950000000000003" customHeight="1" x14ac:dyDescent="0.25">
      <c r="A170" s="12">
        <f>SUBTOTAL(3,$B$2:B170)</f>
        <v>169</v>
      </c>
      <c r="B170" s="13">
        <v>45</v>
      </c>
      <c r="C170" s="14">
        <v>45776</v>
      </c>
      <c r="D170" s="13">
        <v>0</v>
      </c>
      <c r="E170" s="14">
        <v>0</v>
      </c>
      <c r="F170" s="15" t="s">
        <v>262</v>
      </c>
      <c r="G170" s="77" t="s">
        <v>265</v>
      </c>
      <c r="H170" s="78" t="s">
        <v>16</v>
      </c>
      <c r="I170" s="16"/>
      <c r="J170" s="14"/>
      <c r="K170" s="75">
        <v>8</v>
      </c>
      <c r="L170" s="21">
        <f t="shared" si="6"/>
        <v>8</v>
      </c>
      <c r="M170" s="20">
        <f t="shared" si="8"/>
        <v>2616</v>
      </c>
      <c r="N170" s="20">
        <v>327</v>
      </c>
      <c r="O170" s="22"/>
      <c r="P170" s="22"/>
      <c r="Q170" s="23">
        <f t="shared" si="7"/>
        <v>2616</v>
      </c>
      <c r="R170" s="20"/>
      <c r="S170" s="18">
        <v>638</v>
      </c>
      <c r="T170" s="14">
        <v>45776</v>
      </c>
      <c r="U170" s="14" t="s">
        <v>264</v>
      </c>
      <c r="V170" s="16" t="s">
        <v>18</v>
      </c>
      <c r="W170" s="61" t="s">
        <v>34</v>
      </c>
    </row>
    <row r="171" spans="1:23" s="27" customFormat="1" ht="34.950000000000003" customHeight="1" x14ac:dyDescent="0.25">
      <c r="A171" s="12">
        <f>SUBTOTAL(3,$B$2:B171)</f>
        <v>170</v>
      </c>
      <c r="B171" s="13">
        <v>45</v>
      </c>
      <c r="C171" s="14">
        <v>45776</v>
      </c>
      <c r="D171" s="13">
        <v>0</v>
      </c>
      <c r="E171" s="14">
        <v>0</v>
      </c>
      <c r="F171" s="15" t="s">
        <v>262</v>
      </c>
      <c r="G171" s="77" t="s">
        <v>266</v>
      </c>
      <c r="H171" s="78" t="s">
        <v>16</v>
      </c>
      <c r="I171" s="16"/>
      <c r="J171" s="14"/>
      <c r="K171" s="75">
        <v>2</v>
      </c>
      <c r="L171" s="21">
        <f t="shared" si="6"/>
        <v>2</v>
      </c>
      <c r="M171" s="20">
        <f t="shared" si="8"/>
        <v>2616</v>
      </c>
      <c r="N171" s="20">
        <v>1308</v>
      </c>
      <c r="O171" s="22"/>
      <c r="P171" s="22"/>
      <c r="Q171" s="23">
        <f t="shared" si="7"/>
        <v>2616</v>
      </c>
      <c r="R171" s="20"/>
      <c r="S171" s="18">
        <v>638</v>
      </c>
      <c r="T171" s="14">
        <v>45776</v>
      </c>
      <c r="U171" s="14" t="s">
        <v>264</v>
      </c>
      <c r="V171" s="16" t="s">
        <v>18</v>
      </c>
      <c r="W171" s="61" t="s">
        <v>34</v>
      </c>
    </row>
    <row r="172" spans="1:23" s="27" customFormat="1" ht="34.950000000000003" customHeight="1" x14ac:dyDescent="0.25">
      <c r="A172" s="12">
        <f>SUBTOTAL(3,$B$2:B172)</f>
        <v>171</v>
      </c>
      <c r="B172" s="42">
        <v>46</v>
      </c>
      <c r="C172" s="43">
        <v>45777</v>
      </c>
      <c r="D172" s="42">
        <v>82601300001</v>
      </c>
      <c r="E172" s="44">
        <v>46052</v>
      </c>
      <c r="F172" s="45" t="s">
        <v>267</v>
      </c>
      <c r="G172" s="71" t="s">
        <v>268</v>
      </c>
      <c r="H172" s="76" t="s">
        <v>23</v>
      </c>
      <c r="I172" s="46"/>
      <c r="J172" s="43"/>
      <c r="K172" s="73">
        <v>350</v>
      </c>
      <c r="L172" s="49">
        <f t="shared" si="6"/>
        <v>350</v>
      </c>
      <c r="M172" s="48">
        <f t="shared" si="8"/>
        <v>15750</v>
      </c>
      <c r="N172" s="48">
        <v>45</v>
      </c>
      <c r="O172" s="50">
        <v>9</v>
      </c>
      <c r="P172" s="50">
        <v>9</v>
      </c>
      <c r="Q172" s="51">
        <f t="shared" si="7"/>
        <v>18585</v>
      </c>
      <c r="R172" s="48"/>
      <c r="S172" s="24" t="s">
        <v>269</v>
      </c>
      <c r="T172" s="43">
        <v>45777</v>
      </c>
      <c r="U172" s="43" t="s">
        <v>270</v>
      </c>
      <c r="V172" s="46" t="s">
        <v>33</v>
      </c>
      <c r="W172" s="54" t="s">
        <v>34</v>
      </c>
    </row>
    <row r="173" spans="1:23" s="27" customFormat="1" ht="34.950000000000003" customHeight="1" x14ac:dyDescent="0.25">
      <c r="A173" s="12">
        <f>SUBTOTAL(3,$B$2:B173)</f>
        <v>172</v>
      </c>
      <c r="B173" s="42">
        <v>46</v>
      </c>
      <c r="C173" s="43">
        <v>45777</v>
      </c>
      <c r="D173" s="42">
        <v>82601300001</v>
      </c>
      <c r="E173" s="44">
        <v>46052</v>
      </c>
      <c r="F173" s="45" t="s">
        <v>267</v>
      </c>
      <c r="G173" s="71" t="s">
        <v>271</v>
      </c>
      <c r="H173" s="76" t="s">
        <v>272</v>
      </c>
      <c r="I173" s="46"/>
      <c r="J173" s="43"/>
      <c r="K173" s="73">
        <v>10</v>
      </c>
      <c r="L173" s="49">
        <f t="shared" si="6"/>
        <v>10</v>
      </c>
      <c r="M173" s="48">
        <f t="shared" si="8"/>
        <v>35000</v>
      </c>
      <c r="N173" s="48">
        <v>3500</v>
      </c>
      <c r="O173" s="50">
        <v>9</v>
      </c>
      <c r="P173" s="50">
        <v>9</v>
      </c>
      <c r="Q173" s="51">
        <f t="shared" si="7"/>
        <v>41300</v>
      </c>
      <c r="R173" s="48"/>
      <c r="S173" s="24" t="s">
        <v>269</v>
      </c>
      <c r="T173" s="43">
        <v>45777</v>
      </c>
      <c r="U173" s="43" t="s">
        <v>270</v>
      </c>
      <c r="V173" s="46" t="s">
        <v>33</v>
      </c>
      <c r="W173" s="54" t="s">
        <v>34</v>
      </c>
    </row>
    <row r="174" spans="1:23" s="27" customFormat="1" ht="34.950000000000003" customHeight="1" x14ac:dyDescent="0.25">
      <c r="A174" s="12">
        <f>SUBTOTAL(3,$B$2:B174)</f>
        <v>173</v>
      </c>
      <c r="B174" s="42">
        <v>46</v>
      </c>
      <c r="C174" s="43">
        <v>45777</v>
      </c>
      <c r="D174" s="42">
        <v>82601300001</v>
      </c>
      <c r="E174" s="44">
        <v>46052</v>
      </c>
      <c r="F174" s="45" t="s">
        <v>267</v>
      </c>
      <c r="G174" s="71" t="s">
        <v>273</v>
      </c>
      <c r="H174" s="76" t="s">
        <v>16</v>
      </c>
      <c r="I174" s="46"/>
      <c r="J174" s="43"/>
      <c r="K174" s="73">
        <v>1</v>
      </c>
      <c r="L174" s="49">
        <f t="shared" si="6"/>
        <v>1</v>
      </c>
      <c r="M174" s="48">
        <f t="shared" si="8"/>
        <v>21000</v>
      </c>
      <c r="N174" s="48">
        <v>21000</v>
      </c>
      <c r="O174" s="50">
        <v>9</v>
      </c>
      <c r="P174" s="50">
        <v>9</v>
      </c>
      <c r="Q174" s="51">
        <f t="shared" si="7"/>
        <v>24780</v>
      </c>
      <c r="R174" s="48"/>
      <c r="S174" s="24" t="s">
        <v>269</v>
      </c>
      <c r="T174" s="43">
        <v>45777</v>
      </c>
      <c r="U174" s="43" t="s">
        <v>270</v>
      </c>
      <c r="V174" s="46" t="s">
        <v>33</v>
      </c>
      <c r="W174" s="54" t="s">
        <v>34</v>
      </c>
    </row>
    <row r="175" spans="1:23" s="27" customFormat="1" ht="34.950000000000003" customHeight="1" x14ac:dyDescent="0.25">
      <c r="A175" s="12">
        <f>SUBTOTAL(3,$B$2:B175)</f>
        <v>174</v>
      </c>
      <c r="B175" s="42">
        <v>46</v>
      </c>
      <c r="C175" s="43">
        <v>45777</v>
      </c>
      <c r="D175" s="42">
        <v>82601300001</v>
      </c>
      <c r="E175" s="44">
        <v>46052</v>
      </c>
      <c r="F175" s="45" t="s">
        <v>267</v>
      </c>
      <c r="G175" s="71" t="s">
        <v>274</v>
      </c>
      <c r="H175" s="76" t="s">
        <v>16</v>
      </c>
      <c r="I175" s="46"/>
      <c r="J175" s="43"/>
      <c r="K175" s="73">
        <v>8</v>
      </c>
      <c r="L175" s="49">
        <f t="shared" si="6"/>
        <v>8</v>
      </c>
      <c r="M175" s="48">
        <f t="shared" si="8"/>
        <v>47200</v>
      </c>
      <c r="N175" s="48">
        <v>5900</v>
      </c>
      <c r="O175" s="50">
        <v>9</v>
      </c>
      <c r="P175" s="50">
        <v>9</v>
      </c>
      <c r="Q175" s="51">
        <f t="shared" si="7"/>
        <v>55696</v>
      </c>
      <c r="R175" s="48"/>
      <c r="S175" s="24" t="s">
        <v>269</v>
      </c>
      <c r="T175" s="43">
        <v>45777</v>
      </c>
      <c r="U175" s="43" t="s">
        <v>270</v>
      </c>
      <c r="V175" s="46" t="s">
        <v>33</v>
      </c>
      <c r="W175" s="54" t="s">
        <v>166</v>
      </c>
    </row>
    <row r="176" spans="1:23" s="27" customFormat="1" ht="34.950000000000003" customHeight="1" x14ac:dyDescent="0.25">
      <c r="A176" s="12">
        <f>SUBTOTAL(3,$B$2:B176)</f>
        <v>175</v>
      </c>
      <c r="B176" s="42">
        <v>46</v>
      </c>
      <c r="C176" s="43">
        <v>45777</v>
      </c>
      <c r="D176" s="42">
        <v>82601300001</v>
      </c>
      <c r="E176" s="44">
        <v>46052</v>
      </c>
      <c r="F176" s="45" t="s">
        <v>267</v>
      </c>
      <c r="G176" s="71" t="s">
        <v>275</v>
      </c>
      <c r="H176" s="76" t="s">
        <v>16</v>
      </c>
      <c r="I176" s="46"/>
      <c r="J176" s="43"/>
      <c r="K176" s="73">
        <v>4</v>
      </c>
      <c r="L176" s="49">
        <f t="shared" si="6"/>
        <v>4</v>
      </c>
      <c r="M176" s="48">
        <f t="shared" si="8"/>
        <v>22000</v>
      </c>
      <c r="N176" s="48">
        <v>5500</v>
      </c>
      <c r="O176" s="50">
        <v>9</v>
      </c>
      <c r="P176" s="50">
        <v>9</v>
      </c>
      <c r="Q176" s="51">
        <f t="shared" si="7"/>
        <v>25960</v>
      </c>
      <c r="R176" s="48"/>
      <c r="S176" s="24" t="s">
        <v>269</v>
      </c>
      <c r="T176" s="43">
        <v>45777</v>
      </c>
      <c r="U176" s="43" t="s">
        <v>270</v>
      </c>
      <c r="V176" s="46" t="s">
        <v>33</v>
      </c>
      <c r="W176" s="54" t="s">
        <v>34</v>
      </c>
    </row>
    <row r="177" spans="1:25" s="27" customFormat="1" ht="34.950000000000003" customHeight="1" x14ac:dyDescent="0.25">
      <c r="A177" s="12">
        <f>SUBTOTAL(3,$B$2:B177)</f>
        <v>176</v>
      </c>
      <c r="B177" s="42">
        <v>46</v>
      </c>
      <c r="C177" s="43">
        <v>45777</v>
      </c>
      <c r="D177" s="42">
        <v>82601300001</v>
      </c>
      <c r="E177" s="44">
        <v>46052</v>
      </c>
      <c r="F177" s="79" t="s">
        <v>267</v>
      </c>
      <c r="G177" s="52" t="s">
        <v>276</v>
      </c>
      <c r="H177" s="46" t="s">
        <v>16</v>
      </c>
      <c r="I177" s="46"/>
      <c r="J177" s="43"/>
      <c r="K177" s="80">
        <v>5</v>
      </c>
      <c r="L177" s="49">
        <f t="shared" si="6"/>
        <v>5</v>
      </c>
      <c r="M177" s="48">
        <f t="shared" si="8"/>
        <v>47500</v>
      </c>
      <c r="N177" s="48">
        <v>9500</v>
      </c>
      <c r="O177" s="50">
        <v>9</v>
      </c>
      <c r="P177" s="50">
        <v>9</v>
      </c>
      <c r="Q177" s="51">
        <f t="shared" si="7"/>
        <v>56050</v>
      </c>
      <c r="R177" s="48"/>
      <c r="S177" s="64" t="s">
        <v>269</v>
      </c>
      <c r="T177" s="43">
        <v>45777</v>
      </c>
      <c r="U177" s="24" t="s">
        <v>270</v>
      </c>
      <c r="V177" s="46" t="s">
        <v>33</v>
      </c>
      <c r="W177" s="54" t="s">
        <v>52</v>
      </c>
    </row>
    <row r="178" spans="1:25" s="27" customFormat="1" ht="34.950000000000003" customHeight="1" x14ac:dyDescent="0.25">
      <c r="A178" s="12">
        <f>SUBTOTAL(3,$B$2:B178)</f>
        <v>177</v>
      </c>
      <c r="B178" s="42">
        <v>46</v>
      </c>
      <c r="C178" s="43">
        <v>45777</v>
      </c>
      <c r="D178" s="42">
        <v>82601300001</v>
      </c>
      <c r="E178" s="44">
        <v>46052</v>
      </c>
      <c r="F178" s="79" t="s">
        <v>267</v>
      </c>
      <c r="G178" s="52" t="s">
        <v>277</v>
      </c>
      <c r="H178" s="46" t="s">
        <v>16</v>
      </c>
      <c r="I178" s="46"/>
      <c r="J178" s="43"/>
      <c r="K178" s="80">
        <v>1</v>
      </c>
      <c r="L178" s="49">
        <f t="shared" si="6"/>
        <v>1</v>
      </c>
      <c r="M178" s="48">
        <f t="shared" si="8"/>
        <v>5500</v>
      </c>
      <c r="N178" s="48">
        <v>5500</v>
      </c>
      <c r="O178" s="50">
        <v>9</v>
      </c>
      <c r="P178" s="50">
        <v>9</v>
      </c>
      <c r="Q178" s="51">
        <f t="shared" si="7"/>
        <v>6490</v>
      </c>
      <c r="R178" s="48"/>
      <c r="S178" s="64" t="s">
        <v>269</v>
      </c>
      <c r="T178" s="43">
        <v>45777</v>
      </c>
      <c r="U178" s="24" t="s">
        <v>270</v>
      </c>
      <c r="V178" s="46" t="s">
        <v>33</v>
      </c>
      <c r="W178" s="54" t="s">
        <v>34</v>
      </c>
    </row>
    <row r="179" spans="1:25" s="27" customFormat="1" ht="34.950000000000003" customHeight="1" x14ac:dyDescent="0.25">
      <c r="A179" s="12">
        <f>SUBTOTAL(3,$B$2:B179)</f>
        <v>178</v>
      </c>
      <c r="B179" s="42">
        <v>46</v>
      </c>
      <c r="C179" s="43">
        <v>45777</v>
      </c>
      <c r="D179" s="42">
        <v>82601300001</v>
      </c>
      <c r="E179" s="44">
        <v>46052</v>
      </c>
      <c r="F179" s="79" t="s">
        <v>267</v>
      </c>
      <c r="G179" s="52" t="s">
        <v>278</v>
      </c>
      <c r="H179" s="46" t="s">
        <v>16</v>
      </c>
      <c r="I179" s="46"/>
      <c r="J179" s="43"/>
      <c r="K179" s="73">
        <v>2</v>
      </c>
      <c r="L179" s="49">
        <f t="shared" si="6"/>
        <v>2</v>
      </c>
      <c r="M179" s="48">
        <f t="shared" si="8"/>
        <v>128000</v>
      </c>
      <c r="N179" s="48">
        <v>64000</v>
      </c>
      <c r="O179" s="50">
        <v>9</v>
      </c>
      <c r="P179" s="50">
        <v>9</v>
      </c>
      <c r="Q179" s="51">
        <f t="shared" si="7"/>
        <v>151040</v>
      </c>
      <c r="R179" s="48"/>
      <c r="S179" s="64" t="s">
        <v>269</v>
      </c>
      <c r="T179" s="43">
        <v>45777</v>
      </c>
      <c r="U179" s="24" t="s">
        <v>270</v>
      </c>
      <c r="V179" s="46" t="s">
        <v>33</v>
      </c>
      <c r="W179" s="54" t="s">
        <v>166</v>
      </c>
    </row>
    <row r="180" spans="1:25" s="27" customFormat="1" ht="34.950000000000003" customHeight="1" x14ac:dyDescent="0.25">
      <c r="A180" s="12">
        <f>SUBTOTAL(3,$B$2:B180)</f>
        <v>179</v>
      </c>
      <c r="B180" s="42">
        <v>46</v>
      </c>
      <c r="C180" s="43">
        <v>45777</v>
      </c>
      <c r="D180" s="42">
        <v>82601300001</v>
      </c>
      <c r="E180" s="44">
        <v>46052</v>
      </c>
      <c r="F180" s="79" t="s">
        <v>267</v>
      </c>
      <c r="G180" s="52" t="s">
        <v>279</v>
      </c>
      <c r="H180" s="46" t="s">
        <v>16</v>
      </c>
      <c r="I180" s="46"/>
      <c r="J180" s="43"/>
      <c r="K180" s="73">
        <v>1</v>
      </c>
      <c r="L180" s="49">
        <f t="shared" si="6"/>
        <v>1</v>
      </c>
      <c r="M180" s="48">
        <f t="shared" si="8"/>
        <v>15470</v>
      </c>
      <c r="N180" s="48">
        <v>15470</v>
      </c>
      <c r="O180" s="50">
        <v>9</v>
      </c>
      <c r="P180" s="50">
        <v>9</v>
      </c>
      <c r="Q180" s="51">
        <f t="shared" si="7"/>
        <v>18254.599999999999</v>
      </c>
      <c r="R180" s="48"/>
      <c r="S180" s="64" t="s">
        <v>269</v>
      </c>
      <c r="T180" s="43">
        <v>45777</v>
      </c>
      <c r="U180" s="24" t="s">
        <v>270</v>
      </c>
      <c r="V180" s="46" t="s">
        <v>33</v>
      </c>
      <c r="W180" s="54" t="s">
        <v>166</v>
      </c>
    </row>
    <row r="181" spans="1:25" s="27" customFormat="1" ht="34.950000000000003" customHeight="1" x14ac:dyDescent="0.25">
      <c r="A181" s="12">
        <f>SUBTOTAL(3,$B$2:B181)</f>
        <v>180</v>
      </c>
      <c r="B181" s="42">
        <v>46</v>
      </c>
      <c r="C181" s="43">
        <v>45777</v>
      </c>
      <c r="D181" s="42">
        <v>82601300001</v>
      </c>
      <c r="E181" s="44">
        <v>46052</v>
      </c>
      <c r="F181" s="79" t="s">
        <v>267</v>
      </c>
      <c r="G181" s="52" t="s">
        <v>280</v>
      </c>
      <c r="H181" s="46" t="s">
        <v>243</v>
      </c>
      <c r="I181" s="46"/>
      <c r="J181" s="43"/>
      <c r="K181" s="73">
        <v>1</v>
      </c>
      <c r="L181" s="49">
        <f t="shared" si="6"/>
        <v>1</v>
      </c>
      <c r="M181" s="48">
        <f t="shared" si="8"/>
        <v>12500</v>
      </c>
      <c r="N181" s="48">
        <v>12500</v>
      </c>
      <c r="O181" s="50">
        <v>9</v>
      </c>
      <c r="P181" s="50">
        <v>9</v>
      </c>
      <c r="Q181" s="51">
        <f t="shared" si="7"/>
        <v>14750</v>
      </c>
      <c r="R181" s="48"/>
      <c r="S181" s="64" t="s">
        <v>269</v>
      </c>
      <c r="T181" s="43">
        <v>45777</v>
      </c>
      <c r="U181" s="24" t="s">
        <v>270</v>
      </c>
      <c r="V181" s="46" t="s">
        <v>33</v>
      </c>
      <c r="W181" s="54" t="s">
        <v>34</v>
      </c>
    </row>
    <row r="182" spans="1:25" s="27" customFormat="1" ht="34.950000000000003" customHeight="1" x14ac:dyDescent="0.25">
      <c r="A182" s="12">
        <f>SUBTOTAL(3,$B$2:B182)</f>
        <v>181</v>
      </c>
      <c r="B182" s="42">
        <v>46</v>
      </c>
      <c r="C182" s="43">
        <v>45777</v>
      </c>
      <c r="D182" s="42">
        <v>82601300001</v>
      </c>
      <c r="E182" s="44">
        <v>46052</v>
      </c>
      <c r="F182" s="79" t="s">
        <v>267</v>
      </c>
      <c r="G182" s="52" t="s">
        <v>281</v>
      </c>
      <c r="H182" s="46" t="s">
        <v>16</v>
      </c>
      <c r="I182" s="46"/>
      <c r="J182" s="43"/>
      <c r="K182" s="73">
        <v>4</v>
      </c>
      <c r="L182" s="49">
        <f t="shared" si="6"/>
        <v>4</v>
      </c>
      <c r="M182" s="48">
        <f t="shared" si="8"/>
        <v>4000</v>
      </c>
      <c r="N182" s="48">
        <v>1000</v>
      </c>
      <c r="O182" s="50">
        <v>9</v>
      </c>
      <c r="P182" s="50">
        <v>9</v>
      </c>
      <c r="Q182" s="51">
        <f t="shared" si="7"/>
        <v>4720</v>
      </c>
      <c r="R182" s="48"/>
      <c r="S182" s="64" t="s">
        <v>269</v>
      </c>
      <c r="T182" s="43">
        <v>45777</v>
      </c>
      <c r="U182" s="24" t="s">
        <v>270</v>
      </c>
      <c r="V182" s="46" t="s">
        <v>33</v>
      </c>
      <c r="W182" s="54" t="s">
        <v>34</v>
      </c>
    </row>
    <row r="183" spans="1:25" s="27" customFormat="1" ht="34.950000000000003" customHeight="1" x14ac:dyDescent="0.25">
      <c r="A183" s="12">
        <f>SUBTOTAL(3,$B$2:B183)</f>
        <v>182</v>
      </c>
      <c r="B183" s="42">
        <v>46</v>
      </c>
      <c r="C183" s="43">
        <v>45777</v>
      </c>
      <c r="D183" s="42">
        <v>82601300001</v>
      </c>
      <c r="E183" s="44">
        <v>46052</v>
      </c>
      <c r="F183" s="79" t="s">
        <v>267</v>
      </c>
      <c r="G183" s="52" t="s">
        <v>282</v>
      </c>
      <c r="H183" s="46" t="s">
        <v>16</v>
      </c>
      <c r="I183" s="46"/>
      <c r="J183" s="43"/>
      <c r="K183" s="73">
        <v>1</v>
      </c>
      <c r="L183" s="49">
        <f t="shared" si="6"/>
        <v>1</v>
      </c>
      <c r="M183" s="48">
        <f t="shared" si="8"/>
        <v>900</v>
      </c>
      <c r="N183" s="48">
        <v>900</v>
      </c>
      <c r="O183" s="50">
        <v>9</v>
      </c>
      <c r="P183" s="50">
        <v>9</v>
      </c>
      <c r="Q183" s="51">
        <f t="shared" si="7"/>
        <v>1062</v>
      </c>
      <c r="R183" s="48"/>
      <c r="S183" s="64" t="s">
        <v>269</v>
      </c>
      <c r="T183" s="43">
        <v>45777</v>
      </c>
      <c r="U183" s="24" t="s">
        <v>270</v>
      </c>
      <c r="V183" s="46" t="s">
        <v>33</v>
      </c>
      <c r="W183" s="54" t="s">
        <v>34</v>
      </c>
    </row>
    <row r="184" spans="1:25" s="27" customFormat="1" ht="34.950000000000003" customHeight="1" x14ac:dyDescent="0.25">
      <c r="A184" s="12">
        <f>SUBTOTAL(3,$B$2:B184)</f>
        <v>183</v>
      </c>
      <c r="B184" s="42">
        <v>46</v>
      </c>
      <c r="C184" s="43">
        <v>45777</v>
      </c>
      <c r="D184" s="42">
        <v>82601300001</v>
      </c>
      <c r="E184" s="44">
        <v>46052</v>
      </c>
      <c r="F184" s="79" t="s">
        <v>267</v>
      </c>
      <c r="G184" s="52" t="s">
        <v>283</v>
      </c>
      <c r="H184" s="46" t="s">
        <v>16</v>
      </c>
      <c r="I184" s="46"/>
      <c r="J184" s="43"/>
      <c r="K184" s="73">
        <v>1</v>
      </c>
      <c r="L184" s="49">
        <f t="shared" si="6"/>
        <v>1</v>
      </c>
      <c r="M184" s="48">
        <f t="shared" si="8"/>
        <v>28500</v>
      </c>
      <c r="N184" s="48">
        <v>28500</v>
      </c>
      <c r="O184" s="50">
        <v>9</v>
      </c>
      <c r="P184" s="50">
        <v>9</v>
      </c>
      <c r="Q184" s="51">
        <f t="shared" si="7"/>
        <v>33630</v>
      </c>
      <c r="R184" s="48"/>
      <c r="S184" s="64" t="s">
        <v>269</v>
      </c>
      <c r="T184" s="43">
        <v>45777</v>
      </c>
      <c r="U184" s="24" t="s">
        <v>270</v>
      </c>
      <c r="V184" s="46" t="s">
        <v>33</v>
      </c>
      <c r="W184" s="54" t="s">
        <v>166</v>
      </c>
      <c r="Y184" s="27" t="s">
        <v>284</v>
      </c>
    </row>
    <row r="185" spans="1:25" s="27" customFormat="1" ht="34.950000000000003" customHeight="1" x14ac:dyDescent="0.25">
      <c r="A185" s="12">
        <f>SUBTOTAL(3,$B$2:B185)</f>
        <v>184</v>
      </c>
      <c r="B185" s="42">
        <v>46</v>
      </c>
      <c r="C185" s="43">
        <v>45777</v>
      </c>
      <c r="D185" s="42">
        <v>82601300001</v>
      </c>
      <c r="E185" s="44">
        <v>46052</v>
      </c>
      <c r="F185" s="79" t="s">
        <v>267</v>
      </c>
      <c r="G185" s="52" t="s">
        <v>285</v>
      </c>
      <c r="H185" s="46" t="s">
        <v>16</v>
      </c>
      <c r="I185" s="46"/>
      <c r="J185" s="43"/>
      <c r="K185" s="73">
        <v>1</v>
      </c>
      <c r="L185" s="49">
        <f t="shared" si="6"/>
        <v>1</v>
      </c>
      <c r="M185" s="48">
        <f t="shared" si="8"/>
        <v>12000</v>
      </c>
      <c r="N185" s="48">
        <v>12000</v>
      </c>
      <c r="O185" s="50">
        <v>9</v>
      </c>
      <c r="P185" s="50">
        <v>9</v>
      </c>
      <c r="Q185" s="51">
        <f t="shared" si="7"/>
        <v>14160</v>
      </c>
      <c r="R185" s="48"/>
      <c r="S185" s="64" t="s">
        <v>269</v>
      </c>
      <c r="T185" s="43">
        <v>45777</v>
      </c>
      <c r="U185" s="24" t="s">
        <v>270</v>
      </c>
      <c r="V185" s="46" t="s">
        <v>33</v>
      </c>
      <c r="W185" s="54" t="s">
        <v>166</v>
      </c>
      <c r="Y185" s="27" t="s">
        <v>286</v>
      </c>
    </row>
    <row r="186" spans="1:25" s="27" customFormat="1" ht="34.950000000000003" customHeight="1" x14ac:dyDescent="0.25">
      <c r="A186" s="12">
        <f>SUBTOTAL(3,$B$2:B186)</f>
        <v>185</v>
      </c>
      <c r="B186" s="42">
        <v>46</v>
      </c>
      <c r="C186" s="43">
        <v>45777</v>
      </c>
      <c r="D186" s="42">
        <v>82601300001</v>
      </c>
      <c r="E186" s="44">
        <v>46052</v>
      </c>
      <c r="F186" s="79" t="s">
        <v>267</v>
      </c>
      <c r="G186" s="52" t="s">
        <v>287</v>
      </c>
      <c r="H186" s="46" t="s">
        <v>16</v>
      </c>
      <c r="I186" s="46"/>
      <c r="J186" s="43"/>
      <c r="K186" s="73">
        <v>5</v>
      </c>
      <c r="L186" s="49">
        <f t="shared" si="6"/>
        <v>5</v>
      </c>
      <c r="M186" s="48">
        <f t="shared" si="8"/>
        <v>1250</v>
      </c>
      <c r="N186" s="48">
        <v>250</v>
      </c>
      <c r="O186" s="50">
        <v>9</v>
      </c>
      <c r="P186" s="50">
        <v>9</v>
      </c>
      <c r="Q186" s="51">
        <f t="shared" si="7"/>
        <v>1475</v>
      </c>
      <c r="R186" s="48"/>
      <c r="S186" s="64" t="s">
        <v>269</v>
      </c>
      <c r="T186" s="43">
        <v>45777</v>
      </c>
      <c r="U186" s="24" t="s">
        <v>270</v>
      </c>
      <c r="V186" s="46" t="s">
        <v>33</v>
      </c>
      <c r="W186" s="54" t="s">
        <v>34</v>
      </c>
    </row>
    <row r="187" spans="1:25" s="27" customFormat="1" ht="34.950000000000003" customHeight="1" x14ac:dyDescent="0.25">
      <c r="A187" s="12">
        <f>SUBTOTAL(3,$B$2:B187)</f>
        <v>186</v>
      </c>
      <c r="B187" s="42">
        <v>46</v>
      </c>
      <c r="C187" s="43">
        <v>45777</v>
      </c>
      <c r="D187" s="42">
        <v>82601300001</v>
      </c>
      <c r="E187" s="44">
        <v>46052</v>
      </c>
      <c r="F187" s="45" t="s">
        <v>267</v>
      </c>
      <c r="G187" s="52" t="s">
        <v>174</v>
      </c>
      <c r="H187" s="46" t="s">
        <v>23</v>
      </c>
      <c r="I187" s="46"/>
      <c r="J187" s="43"/>
      <c r="K187" s="73">
        <v>350</v>
      </c>
      <c r="L187" s="49">
        <f t="shared" si="6"/>
        <v>350</v>
      </c>
      <c r="M187" s="48">
        <f t="shared" si="8"/>
        <v>14000</v>
      </c>
      <c r="N187" s="48">
        <v>40</v>
      </c>
      <c r="O187" s="50">
        <v>9</v>
      </c>
      <c r="P187" s="50">
        <v>9</v>
      </c>
      <c r="Q187" s="51">
        <f t="shared" si="7"/>
        <v>16520</v>
      </c>
      <c r="R187" s="48"/>
      <c r="S187" s="64" t="s">
        <v>269</v>
      </c>
      <c r="T187" s="43">
        <v>45777</v>
      </c>
      <c r="U187" s="43" t="s">
        <v>270</v>
      </c>
      <c r="V187" s="46" t="s">
        <v>33</v>
      </c>
      <c r="W187" s="54" t="s">
        <v>34</v>
      </c>
    </row>
    <row r="188" spans="1:25" s="27" customFormat="1" ht="34.950000000000003" customHeight="1" x14ac:dyDescent="0.25">
      <c r="A188" s="12">
        <f>SUBTOTAL(3,$B$2:B188)</f>
        <v>187</v>
      </c>
      <c r="B188" s="42">
        <v>46</v>
      </c>
      <c r="C188" s="43">
        <v>45777</v>
      </c>
      <c r="D188" s="42">
        <v>82601300001</v>
      </c>
      <c r="E188" s="44">
        <v>46052</v>
      </c>
      <c r="F188" s="45" t="s">
        <v>267</v>
      </c>
      <c r="G188" s="52" t="s">
        <v>288</v>
      </c>
      <c r="H188" s="46" t="s">
        <v>23</v>
      </c>
      <c r="I188" s="46"/>
      <c r="J188" s="43"/>
      <c r="K188" s="73">
        <v>300</v>
      </c>
      <c r="L188" s="49">
        <f t="shared" si="6"/>
        <v>300</v>
      </c>
      <c r="M188" s="48">
        <f t="shared" si="8"/>
        <v>16800</v>
      </c>
      <c r="N188" s="48">
        <v>56</v>
      </c>
      <c r="O188" s="50">
        <v>9</v>
      </c>
      <c r="P188" s="50">
        <v>9</v>
      </c>
      <c r="Q188" s="51">
        <f t="shared" si="7"/>
        <v>19824</v>
      </c>
      <c r="R188" s="48"/>
      <c r="S188" s="64" t="s">
        <v>269</v>
      </c>
      <c r="T188" s="43">
        <v>45777</v>
      </c>
      <c r="U188" s="43" t="s">
        <v>270</v>
      </c>
      <c r="V188" s="46" t="s">
        <v>33</v>
      </c>
      <c r="W188" s="54" t="s">
        <v>34</v>
      </c>
    </row>
    <row r="189" spans="1:25" s="27" customFormat="1" ht="34.950000000000003" customHeight="1" x14ac:dyDescent="0.25">
      <c r="A189" s="12">
        <f>SUBTOTAL(3,$B$2:B189)</f>
        <v>188</v>
      </c>
      <c r="B189" s="42">
        <v>46</v>
      </c>
      <c r="C189" s="43">
        <v>45777</v>
      </c>
      <c r="D189" s="42">
        <v>82601300001</v>
      </c>
      <c r="E189" s="44">
        <v>46052</v>
      </c>
      <c r="F189" s="45" t="s">
        <v>267</v>
      </c>
      <c r="G189" s="52" t="s">
        <v>289</v>
      </c>
      <c r="H189" s="46" t="s">
        <v>16</v>
      </c>
      <c r="I189" s="46"/>
      <c r="J189" s="43"/>
      <c r="K189" s="80">
        <v>4</v>
      </c>
      <c r="L189" s="49">
        <f t="shared" si="6"/>
        <v>4</v>
      </c>
      <c r="M189" s="48">
        <f t="shared" si="8"/>
        <v>22000</v>
      </c>
      <c r="N189" s="48">
        <v>5500</v>
      </c>
      <c r="O189" s="50">
        <v>9</v>
      </c>
      <c r="P189" s="50">
        <v>9</v>
      </c>
      <c r="Q189" s="51">
        <f t="shared" si="7"/>
        <v>25960</v>
      </c>
      <c r="R189" s="48"/>
      <c r="S189" s="64" t="s">
        <v>269</v>
      </c>
      <c r="T189" s="43">
        <v>45777</v>
      </c>
      <c r="U189" s="43" t="s">
        <v>270</v>
      </c>
      <c r="V189" s="46" t="s">
        <v>33</v>
      </c>
      <c r="W189" s="52" t="s">
        <v>34</v>
      </c>
    </row>
    <row r="190" spans="1:25" s="27" customFormat="1" ht="34.950000000000003" customHeight="1" x14ac:dyDescent="0.25">
      <c r="A190" s="12">
        <f>SUBTOTAL(3,$B$2:B190)</f>
        <v>189</v>
      </c>
      <c r="B190" s="42">
        <v>46</v>
      </c>
      <c r="C190" s="43">
        <v>45777</v>
      </c>
      <c r="D190" s="42">
        <v>82601300001</v>
      </c>
      <c r="E190" s="44">
        <v>46052</v>
      </c>
      <c r="F190" s="45" t="s">
        <v>267</v>
      </c>
      <c r="G190" s="52" t="s">
        <v>290</v>
      </c>
      <c r="H190" s="46" t="s">
        <v>16</v>
      </c>
      <c r="I190" s="12"/>
      <c r="J190" s="43"/>
      <c r="K190" s="80">
        <v>5</v>
      </c>
      <c r="L190" s="49">
        <f t="shared" si="6"/>
        <v>5</v>
      </c>
      <c r="M190" s="48">
        <f t="shared" si="8"/>
        <v>1250</v>
      </c>
      <c r="N190" s="48">
        <v>250</v>
      </c>
      <c r="O190" s="50">
        <v>9</v>
      </c>
      <c r="P190" s="50">
        <v>9</v>
      </c>
      <c r="Q190" s="51">
        <f t="shared" si="7"/>
        <v>1475</v>
      </c>
      <c r="R190" s="48"/>
      <c r="S190" s="64" t="s">
        <v>269</v>
      </c>
      <c r="T190" s="43">
        <v>45777</v>
      </c>
      <c r="U190" s="24" t="s">
        <v>270</v>
      </c>
      <c r="V190" s="46" t="s">
        <v>33</v>
      </c>
      <c r="W190" s="54" t="s">
        <v>52</v>
      </c>
    </row>
    <row r="191" spans="1:25" s="27" customFormat="1" ht="34.950000000000003" customHeight="1" x14ac:dyDescent="0.25">
      <c r="A191" s="12">
        <f>SUBTOTAL(3,$B$2:B191)</f>
        <v>190</v>
      </c>
      <c r="B191" s="42">
        <v>46</v>
      </c>
      <c r="C191" s="43">
        <v>45777</v>
      </c>
      <c r="D191" s="42">
        <v>82601300001</v>
      </c>
      <c r="E191" s="44">
        <v>46052</v>
      </c>
      <c r="F191" s="45" t="s">
        <v>267</v>
      </c>
      <c r="G191" s="52" t="s">
        <v>291</v>
      </c>
      <c r="H191" s="46" t="s">
        <v>16</v>
      </c>
      <c r="I191" s="12"/>
      <c r="J191" s="43"/>
      <c r="K191" s="80">
        <v>8</v>
      </c>
      <c r="L191" s="49">
        <f t="shared" si="6"/>
        <v>8</v>
      </c>
      <c r="M191" s="48">
        <f t="shared" si="8"/>
        <v>2800</v>
      </c>
      <c r="N191" s="48">
        <v>350</v>
      </c>
      <c r="O191" s="50">
        <v>9</v>
      </c>
      <c r="P191" s="50">
        <v>9</v>
      </c>
      <c r="Q191" s="51">
        <f t="shared" si="7"/>
        <v>3304</v>
      </c>
      <c r="R191" s="48"/>
      <c r="S191" s="64" t="s">
        <v>269</v>
      </c>
      <c r="T191" s="43">
        <v>45777</v>
      </c>
      <c r="U191" s="24" t="s">
        <v>270</v>
      </c>
      <c r="V191" s="46" t="s">
        <v>33</v>
      </c>
      <c r="W191" s="54" t="s">
        <v>52</v>
      </c>
    </row>
    <row r="192" spans="1:25" s="27" customFormat="1" ht="34.950000000000003" customHeight="1" x14ac:dyDescent="0.25">
      <c r="A192" s="12">
        <f>SUBTOTAL(3,$B$2:B192)</f>
        <v>191</v>
      </c>
      <c r="B192" s="42">
        <v>46</v>
      </c>
      <c r="C192" s="43">
        <v>45777</v>
      </c>
      <c r="D192" s="42">
        <v>82601300001</v>
      </c>
      <c r="E192" s="44">
        <v>46052</v>
      </c>
      <c r="F192" s="45" t="s">
        <v>267</v>
      </c>
      <c r="G192" s="52" t="s">
        <v>292</v>
      </c>
      <c r="H192" s="46" t="s">
        <v>16</v>
      </c>
      <c r="I192" s="12"/>
      <c r="J192" s="43"/>
      <c r="K192" s="73">
        <v>20</v>
      </c>
      <c r="L192" s="49">
        <f t="shared" si="6"/>
        <v>20</v>
      </c>
      <c r="M192" s="48">
        <f t="shared" si="8"/>
        <v>5000</v>
      </c>
      <c r="N192" s="48">
        <v>250</v>
      </c>
      <c r="O192" s="50">
        <v>9</v>
      </c>
      <c r="P192" s="50">
        <v>9</v>
      </c>
      <c r="Q192" s="51">
        <f t="shared" si="7"/>
        <v>5900</v>
      </c>
      <c r="R192" s="48"/>
      <c r="S192" s="64" t="s">
        <v>269</v>
      </c>
      <c r="T192" s="43">
        <v>45777</v>
      </c>
      <c r="U192" s="24" t="s">
        <v>270</v>
      </c>
      <c r="V192" s="46" t="s">
        <v>33</v>
      </c>
      <c r="W192" s="54" t="s">
        <v>34</v>
      </c>
    </row>
    <row r="193" spans="1:23" s="27" customFormat="1" ht="34.950000000000003" customHeight="1" x14ac:dyDescent="0.25">
      <c r="A193" s="12">
        <f>SUBTOTAL(3,$B$2:B193)</f>
        <v>192</v>
      </c>
      <c r="B193" s="42">
        <v>46</v>
      </c>
      <c r="C193" s="43">
        <v>45777</v>
      </c>
      <c r="D193" s="42">
        <v>82601300001</v>
      </c>
      <c r="E193" s="44">
        <v>46052</v>
      </c>
      <c r="F193" s="45" t="s">
        <v>267</v>
      </c>
      <c r="G193" s="52" t="s">
        <v>293</v>
      </c>
      <c r="H193" s="46" t="s">
        <v>16</v>
      </c>
      <c r="I193" s="12"/>
      <c r="J193" s="43"/>
      <c r="K193" s="73">
        <v>1</v>
      </c>
      <c r="L193" s="49">
        <f t="shared" si="6"/>
        <v>1</v>
      </c>
      <c r="M193" s="48">
        <f t="shared" si="8"/>
        <v>25000</v>
      </c>
      <c r="N193" s="48">
        <v>25000</v>
      </c>
      <c r="O193" s="50">
        <v>9</v>
      </c>
      <c r="P193" s="50">
        <v>9</v>
      </c>
      <c r="Q193" s="51">
        <f t="shared" si="7"/>
        <v>29500</v>
      </c>
      <c r="R193" s="48"/>
      <c r="S193" s="64" t="s">
        <v>269</v>
      </c>
      <c r="T193" s="43">
        <v>45777</v>
      </c>
      <c r="U193" s="24" t="s">
        <v>270</v>
      </c>
      <c r="V193" s="46" t="s">
        <v>33</v>
      </c>
      <c r="W193" s="54" t="s">
        <v>34</v>
      </c>
    </row>
    <row r="194" spans="1:23" s="27" customFormat="1" ht="34.950000000000003" customHeight="1" x14ac:dyDescent="0.25">
      <c r="A194" s="12">
        <f>SUBTOTAL(3,$B$2:B194)</f>
        <v>193</v>
      </c>
      <c r="B194" s="42">
        <v>46</v>
      </c>
      <c r="C194" s="43">
        <v>45777</v>
      </c>
      <c r="D194" s="42">
        <v>82601300001</v>
      </c>
      <c r="E194" s="44">
        <v>46052</v>
      </c>
      <c r="F194" s="45" t="s">
        <v>267</v>
      </c>
      <c r="G194" s="53" t="s">
        <v>293</v>
      </c>
      <c r="H194" s="46" t="s">
        <v>16</v>
      </c>
      <c r="I194" s="46"/>
      <c r="J194" s="43"/>
      <c r="K194" s="73">
        <v>10</v>
      </c>
      <c r="L194" s="49">
        <f t="shared" ref="L194:L257" si="9">K194</f>
        <v>10</v>
      </c>
      <c r="M194" s="48">
        <f t="shared" si="8"/>
        <v>5000</v>
      </c>
      <c r="N194" s="48">
        <v>500</v>
      </c>
      <c r="O194" s="50">
        <v>9</v>
      </c>
      <c r="P194" s="50">
        <v>9</v>
      </c>
      <c r="Q194" s="51">
        <f t="shared" ref="Q194:Q257" si="10">IF(M194="","",M194*(1+(O194+P194)/100))</f>
        <v>5900</v>
      </c>
      <c r="R194" s="48"/>
      <c r="S194" s="64" t="s">
        <v>269</v>
      </c>
      <c r="T194" s="43">
        <v>45777</v>
      </c>
      <c r="U194" s="24" t="s">
        <v>270</v>
      </c>
      <c r="V194" s="46" t="s">
        <v>33</v>
      </c>
      <c r="W194" s="54" t="s">
        <v>34</v>
      </c>
    </row>
    <row r="195" spans="1:23" s="27" customFormat="1" ht="34.950000000000003" customHeight="1" x14ac:dyDescent="0.25">
      <c r="A195" s="12">
        <f>SUBTOTAL(3,$B$2:B195)</f>
        <v>194</v>
      </c>
      <c r="B195" s="42">
        <v>47</v>
      </c>
      <c r="C195" s="43">
        <v>45777</v>
      </c>
      <c r="D195" s="42">
        <v>0</v>
      </c>
      <c r="E195" s="43">
        <v>0</v>
      </c>
      <c r="F195" s="79" t="s">
        <v>294</v>
      </c>
      <c r="G195" s="81" t="s">
        <v>295</v>
      </c>
      <c r="H195" s="46" t="s">
        <v>16</v>
      </c>
      <c r="I195" s="46"/>
      <c r="J195" s="43"/>
      <c r="K195" s="73">
        <v>2</v>
      </c>
      <c r="L195" s="62">
        <f t="shared" si="9"/>
        <v>2</v>
      </c>
      <c r="M195" s="48">
        <f t="shared" si="8"/>
        <v>0</v>
      </c>
      <c r="N195" s="48">
        <v>0</v>
      </c>
      <c r="O195" s="50"/>
      <c r="P195" s="50"/>
      <c r="Q195" s="51">
        <f t="shared" si="10"/>
        <v>0</v>
      </c>
      <c r="R195" s="48"/>
      <c r="S195" s="24">
        <v>157633</v>
      </c>
      <c r="T195" s="43">
        <v>45777</v>
      </c>
      <c r="U195" s="24" t="s">
        <v>296</v>
      </c>
      <c r="V195" s="46" t="s">
        <v>25</v>
      </c>
      <c r="W195" s="54"/>
    </row>
    <row r="196" spans="1:23" s="27" customFormat="1" ht="34.950000000000003" customHeight="1" x14ac:dyDescent="0.25">
      <c r="A196" s="12">
        <f>SUBTOTAL(3,$B$2:B196)</f>
        <v>195</v>
      </c>
      <c r="B196" s="42">
        <v>48</v>
      </c>
      <c r="C196" s="43">
        <v>45780</v>
      </c>
      <c r="D196" s="42">
        <v>82507310005</v>
      </c>
      <c r="E196" s="44">
        <v>45869</v>
      </c>
      <c r="F196" s="45" t="s">
        <v>35</v>
      </c>
      <c r="G196" s="52" t="s">
        <v>36</v>
      </c>
      <c r="H196" s="46" t="s">
        <v>37</v>
      </c>
      <c r="I196" s="46" t="s">
        <v>38</v>
      </c>
      <c r="J196" s="43">
        <v>45733</v>
      </c>
      <c r="K196" s="55">
        <v>7</v>
      </c>
      <c r="L196" s="49">
        <f t="shared" si="9"/>
        <v>7</v>
      </c>
      <c r="M196" s="48">
        <f t="shared" ref="M196:M259" si="11">L196*N196</f>
        <v>22542.309999999998</v>
      </c>
      <c r="N196" s="48">
        <v>3220.33</v>
      </c>
      <c r="O196" s="50">
        <v>9</v>
      </c>
      <c r="P196" s="50">
        <v>9</v>
      </c>
      <c r="Q196" s="51">
        <f t="shared" si="10"/>
        <v>26599.925799999997</v>
      </c>
      <c r="R196" s="48"/>
      <c r="S196" s="64" t="s">
        <v>297</v>
      </c>
      <c r="T196" s="43">
        <v>45780</v>
      </c>
      <c r="U196" s="24" t="s">
        <v>99</v>
      </c>
      <c r="V196" s="46" t="s">
        <v>33</v>
      </c>
      <c r="W196" s="54" t="s">
        <v>34</v>
      </c>
    </row>
    <row r="197" spans="1:23" s="27" customFormat="1" ht="34.950000000000003" customHeight="1" x14ac:dyDescent="0.25">
      <c r="A197" s="12">
        <f>SUBTOTAL(3,$B$2:B197)</f>
        <v>196</v>
      </c>
      <c r="B197" s="42">
        <v>49</v>
      </c>
      <c r="C197" s="43">
        <v>45783</v>
      </c>
      <c r="D197" s="42">
        <v>82601240004</v>
      </c>
      <c r="E197" s="44">
        <v>46046</v>
      </c>
      <c r="F197" s="45" t="s">
        <v>47</v>
      </c>
      <c r="G197" s="58" t="s">
        <v>65</v>
      </c>
      <c r="H197" s="46" t="s">
        <v>16</v>
      </c>
      <c r="I197" s="56" t="s">
        <v>49</v>
      </c>
      <c r="J197" s="43">
        <v>45727</v>
      </c>
      <c r="K197" s="73">
        <v>30</v>
      </c>
      <c r="L197" s="49">
        <f t="shared" si="9"/>
        <v>30</v>
      </c>
      <c r="M197" s="48">
        <f t="shared" si="11"/>
        <v>1620</v>
      </c>
      <c r="N197" s="48">
        <v>54</v>
      </c>
      <c r="O197" s="50">
        <v>9</v>
      </c>
      <c r="P197" s="50">
        <v>9</v>
      </c>
      <c r="Q197" s="51">
        <f t="shared" si="10"/>
        <v>1911.6</v>
      </c>
      <c r="R197" s="48"/>
      <c r="S197" s="64" t="s">
        <v>298</v>
      </c>
      <c r="T197" s="43">
        <v>45783</v>
      </c>
      <c r="U197" s="24" t="s">
        <v>299</v>
      </c>
      <c r="V197" s="46" t="s">
        <v>33</v>
      </c>
      <c r="W197" s="54" t="s">
        <v>52</v>
      </c>
    </row>
    <row r="198" spans="1:23" s="27" customFormat="1" ht="34.950000000000003" customHeight="1" x14ac:dyDescent="0.25">
      <c r="A198" s="12">
        <f>SUBTOTAL(3,$B$2:B198)</f>
        <v>197</v>
      </c>
      <c r="B198" s="42">
        <v>49</v>
      </c>
      <c r="C198" s="43">
        <v>45783</v>
      </c>
      <c r="D198" s="42">
        <v>82601240004</v>
      </c>
      <c r="E198" s="44">
        <v>46046</v>
      </c>
      <c r="F198" s="45" t="s">
        <v>47</v>
      </c>
      <c r="G198" s="69" t="s">
        <v>300</v>
      </c>
      <c r="H198" s="46" t="s">
        <v>16</v>
      </c>
      <c r="I198" s="46" t="s">
        <v>301</v>
      </c>
      <c r="J198" s="43">
        <v>45727</v>
      </c>
      <c r="K198" s="73">
        <v>20</v>
      </c>
      <c r="L198" s="49">
        <f t="shared" si="9"/>
        <v>20</v>
      </c>
      <c r="M198" s="48">
        <f t="shared" si="11"/>
        <v>400</v>
      </c>
      <c r="N198" s="48">
        <v>20</v>
      </c>
      <c r="O198" s="50">
        <v>9</v>
      </c>
      <c r="P198" s="50">
        <v>9</v>
      </c>
      <c r="Q198" s="51">
        <f t="shared" si="10"/>
        <v>472</v>
      </c>
      <c r="R198" s="48"/>
      <c r="S198" s="64" t="s">
        <v>298</v>
      </c>
      <c r="T198" s="43">
        <v>45783</v>
      </c>
      <c r="U198" s="24" t="s">
        <v>299</v>
      </c>
      <c r="V198" s="46" t="s">
        <v>33</v>
      </c>
      <c r="W198" s="54" t="s">
        <v>52</v>
      </c>
    </row>
    <row r="199" spans="1:23" s="27" customFormat="1" ht="34.950000000000003" customHeight="1" x14ac:dyDescent="0.25">
      <c r="A199" s="12">
        <f>SUBTOTAL(3,$B$2:B199)</f>
        <v>198</v>
      </c>
      <c r="B199" s="42">
        <v>49</v>
      </c>
      <c r="C199" s="43">
        <v>45783</v>
      </c>
      <c r="D199" s="42">
        <v>82601240004</v>
      </c>
      <c r="E199" s="44">
        <v>46046</v>
      </c>
      <c r="F199" s="45" t="s">
        <v>47</v>
      </c>
      <c r="G199" s="52" t="s">
        <v>66</v>
      </c>
      <c r="H199" s="46" t="s">
        <v>16</v>
      </c>
      <c r="I199" s="46" t="s">
        <v>301</v>
      </c>
      <c r="J199" s="43">
        <v>45727</v>
      </c>
      <c r="K199" s="73">
        <v>20</v>
      </c>
      <c r="L199" s="49">
        <f t="shared" si="9"/>
        <v>20</v>
      </c>
      <c r="M199" s="48">
        <f t="shared" si="11"/>
        <v>140</v>
      </c>
      <c r="N199" s="48">
        <v>7</v>
      </c>
      <c r="O199" s="50">
        <v>9</v>
      </c>
      <c r="P199" s="50">
        <v>9</v>
      </c>
      <c r="Q199" s="51">
        <f t="shared" si="10"/>
        <v>165.2</v>
      </c>
      <c r="R199" s="48"/>
      <c r="S199" s="64" t="s">
        <v>298</v>
      </c>
      <c r="T199" s="43">
        <v>45783</v>
      </c>
      <c r="U199" s="24" t="s">
        <v>299</v>
      </c>
      <c r="V199" s="46" t="s">
        <v>33</v>
      </c>
      <c r="W199" s="54" t="s">
        <v>19</v>
      </c>
    </row>
    <row r="200" spans="1:23" s="27" customFormat="1" ht="34.950000000000003" customHeight="1" x14ac:dyDescent="0.25">
      <c r="A200" s="12">
        <f>SUBTOTAL(3,$B$2:B200)</f>
        <v>199</v>
      </c>
      <c r="B200" s="42">
        <v>49</v>
      </c>
      <c r="C200" s="43">
        <v>45783</v>
      </c>
      <c r="D200" s="42">
        <v>82601240004</v>
      </c>
      <c r="E200" s="44">
        <v>46046</v>
      </c>
      <c r="F200" s="45" t="s">
        <v>47</v>
      </c>
      <c r="G200" s="52" t="s">
        <v>68</v>
      </c>
      <c r="H200" s="46" t="s">
        <v>69</v>
      </c>
      <c r="I200" s="46" t="s">
        <v>301</v>
      </c>
      <c r="J200" s="43">
        <v>45727</v>
      </c>
      <c r="K200" s="73">
        <v>3</v>
      </c>
      <c r="L200" s="49">
        <f t="shared" si="9"/>
        <v>3</v>
      </c>
      <c r="M200" s="48">
        <f t="shared" si="11"/>
        <v>210</v>
      </c>
      <c r="N200" s="48">
        <v>70</v>
      </c>
      <c r="O200" s="50">
        <v>9</v>
      </c>
      <c r="P200" s="50">
        <v>9</v>
      </c>
      <c r="Q200" s="51">
        <f t="shared" si="10"/>
        <v>247.79999999999998</v>
      </c>
      <c r="R200" s="48"/>
      <c r="S200" s="64" t="s">
        <v>298</v>
      </c>
      <c r="T200" s="43">
        <v>45783</v>
      </c>
      <c r="U200" s="24" t="s">
        <v>299</v>
      </c>
      <c r="V200" s="46" t="s">
        <v>33</v>
      </c>
      <c r="W200" s="54" t="s">
        <v>52</v>
      </c>
    </row>
    <row r="201" spans="1:23" s="27" customFormat="1" ht="34.950000000000003" customHeight="1" x14ac:dyDescent="0.25">
      <c r="A201" s="12">
        <f>SUBTOTAL(3,$B$2:B201)</f>
        <v>200</v>
      </c>
      <c r="B201" s="42">
        <v>49</v>
      </c>
      <c r="C201" s="43">
        <v>45783</v>
      </c>
      <c r="D201" s="42">
        <v>82601240004</v>
      </c>
      <c r="E201" s="44">
        <v>46046</v>
      </c>
      <c r="F201" s="45" t="s">
        <v>47</v>
      </c>
      <c r="G201" s="52" t="s">
        <v>302</v>
      </c>
      <c r="H201" s="46" t="s">
        <v>23</v>
      </c>
      <c r="I201" s="67" t="s">
        <v>301</v>
      </c>
      <c r="J201" s="43">
        <v>45727</v>
      </c>
      <c r="K201" s="47">
        <v>20</v>
      </c>
      <c r="L201" s="49">
        <f t="shared" si="9"/>
        <v>20</v>
      </c>
      <c r="M201" s="48">
        <f t="shared" si="11"/>
        <v>120</v>
      </c>
      <c r="N201" s="48">
        <v>6</v>
      </c>
      <c r="O201" s="50">
        <v>9</v>
      </c>
      <c r="P201" s="50">
        <v>9</v>
      </c>
      <c r="Q201" s="51">
        <f t="shared" si="10"/>
        <v>141.6</v>
      </c>
      <c r="R201" s="48"/>
      <c r="S201" s="64" t="s">
        <v>298</v>
      </c>
      <c r="T201" s="43">
        <v>45783</v>
      </c>
      <c r="U201" s="43" t="s">
        <v>299</v>
      </c>
      <c r="V201" s="46" t="s">
        <v>33</v>
      </c>
      <c r="W201" s="54" t="s">
        <v>52</v>
      </c>
    </row>
    <row r="202" spans="1:23" s="27" customFormat="1" ht="34.950000000000003" customHeight="1" x14ac:dyDescent="0.25">
      <c r="A202" s="12">
        <f>SUBTOTAL(3,$B$2:B202)</f>
        <v>201</v>
      </c>
      <c r="B202" s="42">
        <v>49</v>
      </c>
      <c r="C202" s="43">
        <v>45783</v>
      </c>
      <c r="D202" s="42">
        <v>82601240004</v>
      </c>
      <c r="E202" s="44">
        <v>46046</v>
      </c>
      <c r="F202" s="45" t="s">
        <v>47</v>
      </c>
      <c r="G202" s="69" t="s">
        <v>70</v>
      </c>
      <c r="H202" s="46" t="s">
        <v>71</v>
      </c>
      <c r="I202" s="67" t="s">
        <v>301</v>
      </c>
      <c r="J202" s="43">
        <v>45727</v>
      </c>
      <c r="K202" s="80">
        <v>2</v>
      </c>
      <c r="L202" s="49">
        <f t="shared" si="9"/>
        <v>2</v>
      </c>
      <c r="M202" s="48">
        <f t="shared" si="11"/>
        <v>3300</v>
      </c>
      <c r="N202" s="48">
        <v>1650</v>
      </c>
      <c r="O202" s="50">
        <v>9</v>
      </c>
      <c r="P202" s="50">
        <v>9</v>
      </c>
      <c r="Q202" s="51">
        <f t="shared" si="10"/>
        <v>3894</v>
      </c>
      <c r="R202" s="48"/>
      <c r="S202" s="64" t="s">
        <v>298</v>
      </c>
      <c r="T202" s="43">
        <v>45783</v>
      </c>
      <c r="U202" s="43" t="s">
        <v>299</v>
      </c>
      <c r="V202" s="46" t="s">
        <v>33</v>
      </c>
      <c r="W202" s="54" t="s">
        <v>52</v>
      </c>
    </row>
    <row r="203" spans="1:23" s="27" customFormat="1" ht="34.950000000000003" customHeight="1" x14ac:dyDescent="0.25">
      <c r="A203" s="12">
        <f>SUBTOTAL(3,$B$2:B203)</f>
        <v>202</v>
      </c>
      <c r="B203" s="42">
        <v>49</v>
      </c>
      <c r="C203" s="43">
        <v>45783</v>
      </c>
      <c r="D203" s="42">
        <v>82601240004</v>
      </c>
      <c r="E203" s="44">
        <v>46046</v>
      </c>
      <c r="F203" s="45" t="s">
        <v>47</v>
      </c>
      <c r="G203" s="52" t="s">
        <v>303</v>
      </c>
      <c r="H203" s="46" t="s">
        <v>23</v>
      </c>
      <c r="I203" s="67" t="s">
        <v>301</v>
      </c>
      <c r="J203" s="43">
        <v>45727</v>
      </c>
      <c r="K203" s="73">
        <v>100</v>
      </c>
      <c r="L203" s="49">
        <f t="shared" si="9"/>
        <v>100</v>
      </c>
      <c r="M203" s="48">
        <f t="shared" si="11"/>
        <v>3100</v>
      </c>
      <c r="N203" s="48">
        <v>31</v>
      </c>
      <c r="O203" s="50">
        <v>9</v>
      </c>
      <c r="P203" s="50">
        <v>9</v>
      </c>
      <c r="Q203" s="51">
        <f t="shared" si="10"/>
        <v>3658</v>
      </c>
      <c r="R203" s="48"/>
      <c r="S203" s="64" t="s">
        <v>298</v>
      </c>
      <c r="T203" s="43">
        <v>45783</v>
      </c>
      <c r="U203" s="43" t="s">
        <v>299</v>
      </c>
      <c r="V203" s="46" t="s">
        <v>33</v>
      </c>
      <c r="W203" s="54" t="s">
        <v>52</v>
      </c>
    </row>
    <row r="204" spans="1:23" s="27" customFormat="1" ht="34.950000000000003" customHeight="1" x14ac:dyDescent="0.25">
      <c r="A204" s="12">
        <f>SUBTOTAL(3,$B$2:B204)</f>
        <v>203</v>
      </c>
      <c r="B204" s="42">
        <v>49</v>
      </c>
      <c r="C204" s="43">
        <v>45783</v>
      </c>
      <c r="D204" s="42">
        <v>82601240004</v>
      </c>
      <c r="E204" s="44">
        <v>46046</v>
      </c>
      <c r="F204" s="45" t="s">
        <v>47</v>
      </c>
      <c r="G204" s="52" t="s">
        <v>64</v>
      </c>
      <c r="H204" s="46" t="s">
        <v>16</v>
      </c>
      <c r="I204" s="67" t="s">
        <v>301</v>
      </c>
      <c r="J204" s="43">
        <v>45727</v>
      </c>
      <c r="K204" s="80">
        <v>5</v>
      </c>
      <c r="L204" s="49">
        <f t="shared" si="9"/>
        <v>5</v>
      </c>
      <c r="M204" s="48">
        <f t="shared" si="11"/>
        <v>1375</v>
      </c>
      <c r="N204" s="48">
        <v>275</v>
      </c>
      <c r="O204" s="50">
        <v>9</v>
      </c>
      <c r="P204" s="50">
        <v>9</v>
      </c>
      <c r="Q204" s="51">
        <f t="shared" si="10"/>
        <v>1622.5</v>
      </c>
      <c r="R204" s="48"/>
      <c r="S204" s="64" t="s">
        <v>298</v>
      </c>
      <c r="T204" s="43">
        <v>45783</v>
      </c>
      <c r="U204" s="43" t="s">
        <v>299</v>
      </c>
      <c r="V204" s="46" t="s">
        <v>33</v>
      </c>
      <c r="W204" s="54" t="s">
        <v>52</v>
      </c>
    </row>
    <row r="205" spans="1:23" s="27" customFormat="1" ht="34.950000000000003" customHeight="1" x14ac:dyDescent="0.25">
      <c r="A205" s="12">
        <f>SUBTOTAL(3,$B$2:B205)</f>
        <v>204</v>
      </c>
      <c r="B205" s="42">
        <v>49</v>
      </c>
      <c r="C205" s="43">
        <v>45783</v>
      </c>
      <c r="D205" s="42">
        <v>82601240004</v>
      </c>
      <c r="E205" s="44">
        <v>46046</v>
      </c>
      <c r="F205" s="45" t="s">
        <v>47</v>
      </c>
      <c r="G205" s="52" t="s">
        <v>56</v>
      </c>
      <c r="H205" s="46" t="s">
        <v>16</v>
      </c>
      <c r="I205" s="67" t="s">
        <v>301</v>
      </c>
      <c r="J205" s="43">
        <v>45727</v>
      </c>
      <c r="K205" s="73">
        <v>3</v>
      </c>
      <c r="L205" s="49">
        <f t="shared" si="9"/>
        <v>3</v>
      </c>
      <c r="M205" s="48">
        <f t="shared" si="11"/>
        <v>660</v>
      </c>
      <c r="N205" s="48">
        <v>220</v>
      </c>
      <c r="O205" s="50">
        <v>9</v>
      </c>
      <c r="P205" s="50">
        <v>9</v>
      </c>
      <c r="Q205" s="51">
        <f t="shared" si="10"/>
        <v>778.8</v>
      </c>
      <c r="R205" s="48"/>
      <c r="S205" s="64" t="s">
        <v>298</v>
      </c>
      <c r="T205" s="43">
        <v>45783</v>
      </c>
      <c r="U205" s="43" t="s">
        <v>299</v>
      </c>
      <c r="V205" s="46" t="s">
        <v>33</v>
      </c>
      <c r="W205" s="54" t="s">
        <v>52</v>
      </c>
    </row>
    <row r="206" spans="1:23" s="27" customFormat="1" ht="34.950000000000003" customHeight="1" x14ac:dyDescent="0.25">
      <c r="A206" s="12">
        <f>SUBTOTAL(3,$B$2:B206)</f>
        <v>205</v>
      </c>
      <c r="B206" s="42">
        <v>49</v>
      </c>
      <c r="C206" s="43">
        <v>45783</v>
      </c>
      <c r="D206" s="42">
        <v>82601240004</v>
      </c>
      <c r="E206" s="44">
        <v>46046</v>
      </c>
      <c r="F206" s="79" t="s">
        <v>47</v>
      </c>
      <c r="G206" s="52" t="s">
        <v>61</v>
      </c>
      <c r="H206" s="46" t="s">
        <v>16</v>
      </c>
      <c r="I206" s="46" t="s">
        <v>301</v>
      </c>
      <c r="J206" s="43">
        <v>45727</v>
      </c>
      <c r="K206" s="73">
        <v>10</v>
      </c>
      <c r="L206" s="49">
        <f t="shared" si="9"/>
        <v>10</v>
      </c>
      <c r="M206" s="48">
        <f t="shared" si="11"/>
        <v>320</v>
      </c>
      <c r="N206" s="48">
        <v>32</v>
      </c>
      <c r="O206" s="50">
        <v>9</v>
      </c>
      <c r="P206" s="50">
        <v>9</v>
      </c>
      <c r="Q206" s="51">
        <f t="shared" si="10"/>
        <v>377.59999999999997</v>
      </c>
      <c r="R206" s="48"/>
      <c r="S206" s="64" t="s">
        <v>298</v>
      </c>
      <c r="T206" s="43">
        <v>45783</v>
      </c>
      <c r="U206" s="24" t="s">
        <v>299</v>
      </c>
      <c r="V206" s="46" t="s">
        <v>33</v>
      </c>
      <c r="W206" s="54" t="s">
        <v>52</v>
      </c>
    </row>
    <row r="207" spans="1:23" s="27" customFormat="1" ht="34.950000000000003" customHeight="1" x14ac:dyDescent="0.25">
      <c r="A207" s="12">
        <f>SUBTOTAL(3,$B$2:B207)</f>
        <v>206</v>
      </c>
      <c r="B207" s="42">
        <v>49</v>
      </c>
      <c r="C207" s="43">
        <v>45783</v>
      </c>
      <c r="D207" s="42">
        <v>82601240004</v>
      </c>
      <c r="E207" s="44">
        <v>46046</v>
      </c>
      <c r="F207" s="45" t="s">
        <v>47</v>
      </c>
      <c r="G207" s="52" t="s">
        <v>62</v>
      </c>
      <c r="H207" s="46" t="s">
        <v>16</v>
      </c>
      <c r="I207" s="12" t="s">
        <v>301</v>
      </c>
      <c r="J207" s="43">
        <v>45727</v>
      </c>
      <c r="K207" s="59">
        <v>7</v>
      </c>
      <c r="L207" s="49">
        <f t="shared" si="9"/>
        <v>7</v>
      </c>
      <c r="M207" s="48">
        <f t="shared" si="11"/>
        <v>469</v>
      </c>
      <c r="N207" s="48">
        <v>67</v>
      </c>
      <c r="O207" s="50">
        <v>9</v>
      </c>
      <c r="P207" s="50">
        <v>9</v>
      </c>
      <c r="Q207" s="51">
        <f t="shared" si="10"/>
        <v>553.41999999999996</v>
      </c>
      <c r="R207" s="48"/>
      <c r="S207" s="24" t="s">
        <v>298</v>
      </c>
      <c r="T207" s="43">
        <v>45783</v>
      </c>
      <c r="U207" s="43" t="s">
        <v>299</v>
      </c>
      <c r="V207" s="46" t="s">
        <v>33</v>
      </c>
      <c r="W207" s="54" t="s">
        <v>52</v>
      </c>
    </row>
    <row r="208" spans="1:23" s="27" customFormat="1" ht="34.950000000000003" customHeight="1" x14ac:dyDescent="0.25">
      <c r="A208" s="12">
        <f>SUBTOTAL(3,$B$2:B208)</f>
        <v>207</v>
      </c>
      <c r="B208" s="42">
        <v>49</v>
      </c>
      <c r="C208" s="43">
        <v>45783</v>
      </c>
      <c r="D208" s="42">
        <v>82601240004</v>
      </c>
      <c r="E208" s="44">
        <v>46046</v>
      </c>
      <c r="F208" s="45" t="s">
        <v>47</v>
      </c>
      <c r="G208" s="52" t="s">
        <v>304</v>
      </c>
      <c r="H208" s="57" t="s">
        <v>16</v>
      </c>
      <c r="I208" s="46" t="s">
        <v>301</v>
      </c>
      <c r="J208" s="43">
        <v>45727</v>
      </c>
      <c r="K208" s="47">
        <v>1</v>
      </c>
      <c r="L208" s="49">
        <f t="shared" si="9"/>
        <v>1</v>
      </c>
      <c r="M208" s="48">
        <f t="shared" si="11"/>
        <v>250</v>
      </c>
      <c r="N208" s="48">
        <v>250</v>
      </c>
      <c r="O208" s="50">
        <v>9</v>
      </c>
      <c r="P208" s="50">
        <v>9</v>
      </c>
      <c r="Q208" s="51">
        <f t="shared" si="10"/>
        <v>295</v>
      </c>
      <c r="R208" s="48"/>
      <c r="S208" s="24" t="s">
        <v>298</v>
      </c>
      <c r="T208" s="43">
        <v>45783</v>
      </c>
      <c r="U208" s="43" t="s">
        <v>299</v>
      </c>
      <c r="V208" s="46" t="s">
        <v>33</v>
      </c>
      <c r="W208" s="54" t="s">
        <v>52</v>
      </c>
    </row>
    <row r="209" spans="1:23" s="27" customFormat="1" ht="34.950000000000003" customHeight="1" x14ac:dyDescent="0.25">
      <c r="A209" s="12">
        <f>SUBTOTAL(3,$B$2:B209)</f>
        <v>208</v>
      </c>
      <c r="B209" s="42">
        <v>49</v>
      </c>
      <c r="C209" s="43">
        <v>45783</v>
      </c>
      <c r="D209" s="42">
        <v>82601240004</v>
      </c>
      <c r="E209" s="44">
        <v>46046</v>
      </c>
      <c r="F209" s="45" t="s">
        <v>47</v>
      </c>
      <c r="G209" s="52" t="s">
        <v>76</v>
      </c>
      <c r="H209" s="46" t="s">
        <v>16</v>
      </c>
      <c r="I209" s="12" t="s">
        <v>301</v>
      </c>
      <c r="J209" s="43">
        <v>45727</v>
      </c>
      <c r="K209" s="59">
        <v>1</v>
      </c>
      <c r="L209" s="49">
        <f t="shared" si="9"/>
        <v>1</v>
      </c>
      <c r="M209" s="48">
        <f t="shared" si="11"/>
        <v>120</v>
      </c>
      <c r="N209" s="48">
        <v>120</v>
      </c>
      <c r="O209" s="50">
        <v>9</v>
      </c>
      <c r="P209" s="50">
        <v>9</v>
      </c>
      <c r="Q209" s="51">
        <f t="shared" si="10"/>
        <v>141.6</v>
      </c>
      <c r="R209" s="48"/>
      <c r="S209" s="24" t="s">
        <v>298</v>
      </c>
      <c r="T209" s="43">
        <v>45783</v>
      </c>
      <c r="U209" s="43" t="s">
        <v>299</v>
      </c>
      <c r="V209" s="46" t="s">
        <v>33</v>
      </c>
      <c r="W209" s="54" t="s">
        <v>52</v>
      </c>
    </row>
    <row r="210" spans="1:23" s="27" customFormat="1" ht="34.950000000000003" customHeight="1" x14ac:dyDescent="0.25">
      <c r="A210" s="12">
        <f>SUBTOTAL(3,$B$2:B210)</f>
        <v>209</v>
      </c>
      <c r="B210" s="42">
        <v>49</v>
      </c>
      <c r="C210" s="43">
        <v>45783</v>
      </c>
      <c r="D210" s="42">
        <v>82601240004</v>
      </c>
      <c r="E210" s="44">
        <v>46046</v>
      </c>
      <c r="F210" s="45" t="s">
        <v>47</v>
      </c>
      <c r="G210" s="52" t="s">
        <v>59</v>
      </c>
      <c r="H210" s="46" t="s">
        <v>16</v>
      </c>
      <c r="I210" s="12" t="s">
        <v>301</v>
      </c>
      <c r="J210" s="43">
        <v>45727</v>
      </c>
      <c r="K210" s="59">
        <v>1</v>
      </c>
      <c r="L210" s="49">
        <f t="shared" si="9"/>
        <v>1</v>
      </c>
      <c r="M210" s="48">
        <f t="shared" si="11"/>
        <v>77</v>
      </c>
      <c r="N210" s="48">
        <v>77</v>
      </c>
      <c r="O210" s="50">
        <v>9</v>
      </c>
      <c r="P210" s="50">
        <v>9</v>
      </c>
      <c r="Q210" s="51">
        <f t="shared" si="10"/>
        <v>90.86</v>
      </c>
      <c r="R210" s="48"/>
      <c r="S210" s="24" t="s">
        <v>298</v>
      </c>
      <c r="T210" s="43">
        <v>45783</v>
      </c>
      <c r="U210" s="43" t="s">
        <v>299</v>
      </c>
      <c r="V210" s="46" t="s">
        <v>33</v>
      </c>
      <c r="W210" s="54" t="s">
        <v>52</v>
      </c>
    </row>
    <row r="211" spans="1:23" s="27" customFormat="1" ht="34.950000000000003" customHeight="1" x14ac:dyDescent="0.25">
      <c r="A211" s="12">
        <f>SUBTOTAL(3,$B$2:B211)</f>
        <v>210</v>
      </c>
      <c r="B211" s="42">
        <v>49</v>
      </c>
      <c r="C211" s="43">
        <v>45783</v>
      </c>
      <c r="D211" s="42">
        <v>82601240004</v>
      </c>
      <c r="E211" s="44">
        <v>46046</v>
      </c>
      <c r="F211" s="45" t="s">
        <v>47</v>
      </c>
      <c r="G211" s="52" t="s">
        <v>60</v>
      </c>
      <c r="H211" s="46" t="s">
        <v>16</v>
      </c>
      <c r="I211" s="12" t="s">
        <v>301</v>
      </c>
      <c r="J211" s="43">
        <v>45727</v>
      </c>
      <c r="K211" s="59">
        <v>1</v>
      </c>
      <c r="L211" s="49">
        <f t="shared" si="9"/>
        <v>1</v>
      </c>
      <c r="M211" s="48">
        <f t="shared" si="11"/>
        <v>118</v>
      </c>
      <c r="N211" s="48">
        <v>118</v>
      </c>
      <c r="O211" s="50">
        <v>9</v>
      </c>
      <c r="P211" s="50">
        <v>9</v>
      </c>
      <c r="Q211" s="51">
        <f t="shared" si="10"/>
        <v>139.23999999999998</v>
      </c>
      <c r="R211" s="48"/>
      <c r="S211" s="24" t="s">
        <v>298</v>
      </c>
      <c r="T211" s="43">
        <v>45783</v>
      </c>
      <c r="U211" s="43" t="s">
        <v>299</v>
      </c>
      <c r="V211" s="46" t="s">
        <v>33</v>
      </c>
      <c r="W211" s="54" t="s">
        <v>52</v>
      </c>
    </row>
    <row r="212" spans="1:23" s="27" customFormat="1" ht="34.950000000000003" customHeight="1" x14ac:dyDescent="0.25">
      <c r="A212" s="12">
        <f>SUBTOTAL(3,$B$2:B212)</f>
        <v>211</v>
      </c>
      <c r="B212" s="42">
        <v>49</v>
      </c>
      <c r="C212" s="43">
        <v>45783</v>
      </c>
      <c r="D212" s="42">
        <v>82601240004</v>
      </c>
      <c r="E212" s="44">
        <v>46046</v>
      </c>
      <c r="F212" s="45" t="s">
        <v>47</v>
      </c>
      <c r="G212" s="70" t="s">
        <v>82</v>
      </c>
      <c r="H212" s="46" t="s">
        <v>16</v>
      </c>
      <c r="I212" s="46" t="s">
        <v>301</v>
      </c>
      <c r="J212" s="43">
        <v>45727</v>
      </c>
      <c r="K212" s="73">
        <v>1</v>
      </c>
      <c r="L212" s="49">
        <f t="shared" si="9"/>
        <v>1</v>
      </c>
      <c r="M212" s="48">
        <f t="shared" si="11"/>
        <v>1650</v>
      </c>
      <c r="N212" s="48">
        <v>1650</v>
      </c>
      <c r="O212" s="50">
        <v>9</v>
      </c>
      <c r="P212" s="50">
        <v>9</v>
      </c>
      <c r="Q212" s="51">
        <f t="shared" si="10"/>
        <v>1947</v>
      </c>
      <c r="R212" s="48"/>
      <c r="S212" s="64" t="s">
        <v>298</v>
      </c>
      <c r="T212" s="43">
        <v>45783</v>
      </c>
      <c r="U212" s="24" t="s">
        <v>299</v>
      </c>
      <c r="V212" s="46" t="s">
        <v>33</v>
      </c>
      <c r="W212" s="54" t="s">
        <v>52</v>
      </c>
    </row>
    <row r="213" spans="1:23" s="27" customFormat="1" ht="34.950000000000003" customHeight="1" x14ac:dyDescent="0.25">
      <c r="A213" s="12">
        <f>SUBTOTAL(3,$B$2:B213)</f>
        <v>212</v>
      </c>
      <c r="B213" s="42">
        <v>49</v>
      </c>
      <c r="C213" s="43">
        <v>45783</v>
      </c>
      <c r="D213" s="42">
        <v>82601240004</v>
      </c>
      <c r="E213" s="44">
        <v>46046</v>
      </c>
      <c r="F213" s="45" t="s">
        <v>47</v>
      </c>
      <c r="G213" s="70" t="s">
        <v>305</v>
      </c>
      <c r="H213" s="46" t="s">
        <v>16</v>
      </c>
      <c r="I213" s="46" t="s">
        <v>301</v>
      </c>
      <c r="J213" s="43">
        <v>45727</v>
      </c>
      <c r="K213" s="73">
        <v>1</v>
      </c>
      <c r="L213" s="49">
        <f t="shared" si="9"/>
        <v>1</v>
      </c>
      <c r="M213" s="48">
        <f t="shared" si="11"/>
        <v>850</v>
      </c>
      <c r="N213" s="48">
        <v>850</v>
      </c>
      <c r="O213" s="50">
        <v>9</v>
      </c>
      <c r="P213" s="50">
        <v>9</v>
      </c>
      <c r="Q213" s="51">
        <f t="shared" si="10"/>
        <v>1003</v>
      </c>
      <c r="R213" s="48"/>
      <c r="S213" s="64" t="s">
        <v>298</v>
      </c>
      <c r="T213" s="43">
        <v>45783</v>
      </c>
      <c r="U213" s="24" t="s">
        <v>299</v>
      </c>
      <c r="V213" s="46" t="s">
        <v>33</v>
      </c>
      <c r="W213" s="54" t="s">
        <v>52</v>
      </c>
    </row>
    <row r="214" spans="1:23" s="27" customFormat="1" ht="34.950000000000003" customHeight="1" x14ac:dyDescent="0.25">
      <c r="A214" s="12">
        <f>SUBTOTAL(3,$B$2:B214)</f>
        <v>213</v>
      </c>
      <c r="B214" s="42">
        <v>50</v>
      </c>
      <c r="C214" s="43">
        <v>45784</v>
      </c>
      <c r="D214" s="42">
        <v>82601290001</v>
      </c>
      <c r="E214" s="44">
        <v>46051</v>
      </c>
      <c r="F214" s="45" t="s">
        <v>306</v>
      </c>
      <c r="G214" s="52" t="s">
        <v>307</v>
      </c>
      <c r="H214" s="46" t="s">
        <v>16</v>
      </c>
      <c r="I214" s="46"/>
      <c r="J214" s="43"/>
      <c r="K214" s="73">
        <v>25</v>
      </c>
      <c r="L214" s="49">
        <f t="shared" si="9"/>
        <v>25</v>
      </c>
      <c r="M214" s="48">
        <f t="shared" si="11"/>
        <v>10170</v>
      </c>
      <c r="N214" s="48">
        <v>406.8</v>
      </c>
      <c r="O214" s="50">
        <v>9</v>
      </c>
      <c r="P214" s="50">
        <v>9</v>
      </c>
      <c r="Q214" s="51">
        <f t="shared" si="10"/>
        <v>12000.599999999999</v>
      </c>
      <c r="R214" s="48"/>
      <c r="S214" s="64" t="s">
        <v>308</v>
      </c>
      <c r="T214" s="43">
        <v>45783</v>
      </c>
      <c r="U214" s="24" t="s">
        <v>309</v>
      </c>
      <c r="V214" s="46" t="s">
        <v>33</v>
      </c>
      <c r="W214" s="54" t="s">
        <v>34</v>
      </c>
    </row>
    <row r="215" spans="1:23" s="27" customFormat="1" ht="34.950000000000003" customHeight="1" x14ac:dyDescent="0.35">
      <c r="A215" s="12">
        <f>SUBTOTAL(3,$B$2:B215)</f>
        <v>214</v>
      </c>
      <c r="B215" s="42">
        <v>50</v>
      </c>
      <c r="C215" s="43">
        <v>45784</v>
      </c>
      <c r="D215" s="42">
        <v>82601290001</v>
      </c>
      <c r="E215" s="44">
        <v>46051</v>
      </c>
      <c r="F215" s="45" t="s">
        <v>306</v>
      </c>
      <c r="G215" s="71" t="s">
        <v>310</v>
      </c>
      <c r="H215" s="72" t="s">
        <v>16</v>
      </c>
      <c r="I215" s="46"/>
      <c r="J215" s="43"/>
      <c r="K215" s="73">
        <v>25</v>
      </c>
      <c r="L215" s="49">
        <f t="shared" si="9"/>
        <v>25</v>
      </c>
      <c r="M215" s="48">
        <f t="shared" si="11"/>
        <v>525</v>
      </c>
      <c r="N215" s="48">
        <v>21</v>
      </c>
      <c r="O215" s="50">
        <v>9</v>
      </c>
      <c r="P215" s="50">
        <v>9</v>
      </c>
      <c r="Q215" s="51">
        <f t="shared" si="10"/>
        <v>619.5</v>
      </c>
      <c r="R215" s="48"/>
      <c r="S215" s="64" t="s">
        <v>308</v>
      </c>
      <c r="T215" s="43">
        <v>45783</v>
      </c>
      <c r="U215" s="24" t="s">
        <v>309</v>
      </c>
      <c r="V215" s="46" t="s">
        <v>33</v>
      </c>
      <c r="W215" s="54" t="s">
        <v>34</v>
      </c>
    </row>
    <row r="216" spans="1:23" s="27" customFormat="1" ht="34.950000000000003" customHeight="1" x14ac:dyDescent="0.35">
      <c r="A216" s="12">
        <f>SUBTOTAL(3,$B$2:B216)</f>
        <v>215</v>
      </c>
      <c r="B216" s="42">
        <v>50</v>
      </c>
      <c r="C216" s="43">
        <v>45784</v>
      </c>
      <c r="D216" s="42">
        <v>82601290001</v>
      </c>
      <c r="E216" s="44">
        <v>46051</v>
      </c>
      <c r="F216" s="45" t="s">
        <v>306</v>
      </c>
      <c r="G216" s="53" t="s">
        <v>311</v>
      </c>
      <c r="H216" s="72" t="s">
        <v>16</v>
      </c>
      <c r="I216" s="46"/>
      <c r="J216" s="43"/>
      <c r="K216" s="73">
        <v>40</v>
      </c>
      <c r="L216" s="49">
        <f t="shared" si="9"/>
        <v>40</v>
      </c>
      <c r="M216" s="48">
        <f t="shared" si="11"/>
        <v>1176</v>
      </c>
      <c r="N216" s="48">
        <v>29.4</v>
      </c>
      <c r="O216" s="50">
        <v>9</v>
      </c>
      <c r="P216" s="50">
        <v>9</v>
      </c>
      <c r="Q216" s="51">
        <f t="shared" si="10"/>
        <v>1387.6799999999998</v>
      </c>
      <c r="R216" s="48"/>
      <c r="S216" s="64" t="s">
        <v>308</v>
      </c>
      <c r="T216" s="43">
        <v>45783</v>
      </c>
      <c r="U216" s="24" t="s">
        <v>309</v>
      </c>
      <c r="V216" s="46" t="s">
        <v>33</v>
      </c>
      <c r="W216" s="54" t="s">
        <v>34</v>
      </c>
    </row>
    <row r="217" spans="1:23" s="27" customFormat="1" ht="34.950000000000003" customHeight="1" x14ac:dyDescent="0.35">
      <c r="A217" s="12">
        <f>SUBTOTAL(3,$B$2:B217)</f>
        <v>216</v>
      </c>
      <c r="B217" s="42">
        <v>50</v>
      </c>
      <c r="C217" s="43">
        <v>45784</v>
      </c>
      <c r="D217" s="42">
        <v>82601290001</v>
      </c>
      <c r="E217" s="44">
        <v>46051</v>
      </c>
      <c r="F217" s="45" t="s">
        <v>306</v>
      </c>
      <c r="G217" s="53" t="s">
        <v>312</v>
      </c>
      <c r="H217" s="72" t="s">
        <v>16</v>
      </c>
      <c r="I217" s="46"/>
      <c r="J217" s="43"/>
      <c r="K217" s="73">
        <v>15</v>
      </c>
      <c r="L217" s="49">
        <f t="shared" si="9"/>
        <v>15</v>
      </c>
      <c r="M217" s="48">
        <f>L217*N217</f>
        <v>558</v>
      </c>
      <c r="N217" s="48">
        <f>558/15</f>
        <v>37.200000000000003</v>
      </c>
      <c r="O217" s="50">
        <v>9</v>
      </c>
      <c r="P217" s="50">
        <v>9</v>
      </c>
      <c r="Q217" s="51">
        <f t="shared" si="10"/>
        <v>658.43999999999994</v>
      </c>
      <c r="R217" s="48"/>
      <c r="S217" s="64" t="s">
        <v>308</v>
      </c>
      <c r="T217" s="43">
        <v>45783</v>
      </c>
      <c r="U217" s="24" t="s">
        <v>309</v>
      </c>
      <c r="V217" s="46" t="s">
        <v>33</v>
      </c>
      <c r="W217" s="54" t="s">
        <v>34</v>
      </c>
    </row>
    <row r="218" spans="1:23" s="27" customFormat="1" ht="34.950000000000003" customHeight="1" x14ac:dyDescent="0.35">
      <c r="A218" s="12">
        <f>SUBTOTAL(3,$B$2:B218)</f>
        <v>217</v>
      </c>
      <c r="B218" s="42">
        <v>50</v>
      </c>
      <c r="C218" s="43">
        <v>45784</v>
      </c>
      <c r="D218" s="42">
        <v>82601290001</v>
      </c>
      <c r="E218" s="44">
        <v>46051</v>
      </c>
      <c r="F218" s="45" t="s">
        <v>306</v>
      </c>
      <c r="G218" s="71" t="s">
        <v>313</v>
      </c>
      <c r="H218" s="72" t="s">
        <v>16</v>
      </c>
      <c r="I218" s="46"/>
      <c r="J218" s="43"/>
      <c r="K218" s="73">
        <v>10</v>
      </c>
      <c r="L218" s="49">
        <f t="shared" si="9"/>
        <v>10</v>
      </c>
      <c r="M218" s="48">
        <f t="shared" si="11"/>
        <v>384</v>
      </c>
      <c r="N218" s="48">
        <v>38.4</v>
      </c>
      <c r="O218" s="50">
        <v>9</v>
      </c>
      <c r="P218" s="50">
        <v>9</v>
      </c>
      <c r="Q218" s="51">
        <f t="shared" si="10"/>
        <v>453.12</v>
      </c>
      <c r="R218" s="48"/>
      <c r="S218" s="64" t="s">
        <v>308</v>
      </c>
      <c r="T218" s="43">
        <v>45783</v>
      </c>
      <c r="U218" s="24" t="s">
        <v>309</v>
      </c>
      <c r="V218" s="46" t="s">
        <v>33</v>
      </c>
      <c r="W218" s="54" t="s">
        <v>34</v>
      </c>
    </row>
    <row r="219" spans="1:23" s="27" customFormat="1" ht="34.950000000000003" customHeight="1" x14ac:dyDescent="0.35">
      <c r="A219" s="12">
        <f>SUBTOTAL(3,$B$2:B219)</f>
        <v>218</v>
      </c>
      <c r="B219" s="42">
        <v>50</v>
      </c>
      <c r="C219" s="43">
        <v>45784</v>
      </c>
      <c r="D219" s="42">
        <v>82601290001</v>
      </c>
      <c r="E219" s="44">
        <v>46051</v>
      </c>
      <c r="F219" s="45" t="s">
        <v>306</v>
      </c>
      <c r="G219" s="53" t="s">
        <v>314</v>
      </c>
      <c r="H219" s="72" t="s">
        <v>16</v>
      </c>
      <c r="I219" s="46"/>
      <c r="J219" s="43"/>
      <c r="K219" s="73">
        <v>15</v>
      </c>
      <c r="L219" s="49">
        <f t="shared" si="9"/>
        <v>15</v>
      </c>
      <c r="M219" s="48">
        <f t="shared" si="11"/>
        <v>1179</v>
      </c>
      <c r="N219" s="48">
        <v>78.599999999999994</v>
      </c>
      <c r="O219" s="50">
        <v>9</v>
      </c>
      <c r="P219" s="50">
        <v>9</v>
      </c>
      <c r="Q219" s="51">
        <f t="shared" si="10"/>
        <v>1391.22</v>
      </c>
      <c r="R219" s="48"/>
      <c r="S219" s="64" t="s">
        <v>308</v>
      </c>
      <c r="T219" s="43">
        <v>45783</v>
      </c>
      <c r="U219" s="24" t="s">
        <v>309</v>
      </c>
      <c r="V219" s="46" t="s">
        <v>33</v>
      </c>
      <c r="W219" s="54" t="s">
        <v>34</v>
      </c>
    </row>
    <row r="220" spans="1:23" s="27" customFormat="1" ht="34.950000000000003" customHeight="1" x14ac:dyDescent="0.35">
      <c r="A220" s="12">
        <f>SUBTOTAL(3,$B$2:B220)</f>
        <v>219</v>
      </c>
      <c r="B220" s="42">
        <v>50</v>
      </c>
      <c r="C220" s="43">
        <v>45784</v>
      </c>
      <c r="D220" s="42">
        <v>82601290001</v>
      </c>
      <c r="E220" s="44">
        <v>46051</v>
      </c>
      <c r="F220" s="45" t="s">
        <v>306</v>
      </c>
      <c r="G220" s="53" t="s">
        <v>315</v>
      </c>
      <c r="H220" s="72" t="s">
        <v>16</v>
      </c>
      <c r="I220" s="46"/>
      <c r="J220" s="43"/>
      <c r="K220" s="73">
        <v>18</v>
      </c>
      <c r="L220" s="49">
        <f t="shared" si="9"/>
        <v>18</v>
      </c>
      <c r="M220" s="48">
        <f t="shared" si="11"/>
        <v>4903.2</v>
      </c>
      <c r="N220" s="48">
        <v>272.39999999999998</v>
      </c>
      <c r="O220" s="50">
        <v>9</v>
      </c>
      <c r="P220" s="50">
        <v>9</v>
      </c>
      <c r="Q220" s="51">
        <f t="shared" si="10"/>
        <v>5785.7759999999998</v>
      </c>
      <c r="R220" s="48"/>
      <c r="S220" s="64" t="s">
        <v>308</v>
      </c>
      <c r="T220" s="43">
        <v>45783</v>
      </c>
      <c r="U220" s="24" t="s">
        <v>309</v>
      </c>
      <c r="V220" s="46" t="s">
        <v>33</v>
      </c>
      <c r="W220" s="54" t="s">
        <v>34</v>
      </c>
    </row>
    <row r="221" spans="1:23" s="27" customFormat="1" ht="34.950000000000003" customHeight="1" x14ac:dyDescent="0.35">
      <c r="A221" s="12">
        <f>SUBTOTAL(3,$B$2:B221)</f>
        <v>220</v>
      </c>
      <c r="B221" s="42">
        <v>50</v>
      </c>
      <c r="C221" s="43">
        <v>45784</v>
      </c>
      <c r="D221" s="42">
        <v>82601290001</v>
      </c>
      <c r="E221" s="44">
        <v>46051</v>
      </c>
      <c r="F221" s="45" t="s">
        <v>306</v>
      </c>
      <c r="G221" s="53" t="s">
        <v>316</v>
      </c>
      <c r="H221" s="72" t="s">
        <v>16</v>
      </c>
      <c r="I221" s="46"/>
      <c r="J221" s="43"/>
      <c r="K221" s="73">
        <v>10</v>
      </c>
      <c r="L221" s="49">
        <f t="shared" si="9"/>
        <v>10</v>
      </c>
      <c r="M221" s="48">
        <f t="shared" si="11"/>
        <v>882</v>
      </c>
      <c r="N221" s="48">
        <v>88.2</v>
      </c>
      <c r="O221" s="50">
        <v>9</v>
      </c>
      <c r="P221" s="50">
        <v>9</v>
      </c>
      <c r="Q221" s="51">
        <f t="shared" si="10"/>
        <v>1040.76</v>
      </c>
      <c r="R221" s="48"/>
      <c r="S221" s="64" t="s">
        <v>308</v>
      </c>
      <c r="T221" s="43">
        <v>45783</v>
      </c>
      <c r="U221" s="24" t="s">
        <v>309</v>
      </c>
      <c r="V221" s="46" t="s">
        <v>33</v>
      </c>
      <c r="W221" s="54" t="s">
        <v>34</v>
      </c>
    </row>
    <row r="222" spans="1:23" s="27" customFormat="1" ht="34.950000000000003" customHeight="1" x14ac:dyDescent="0.25">
      <c r="A222" s="12">
        <f>SUBTOTAL(3,$B$2:B222)</f>
        <v>221</v>
      </c>
      <c r="B222" s="42">
        <v>50</v>
      </c>
      <c r="C222" s="43">
        <v>45784</v>
      </c>
      <c r="D222" s="42">
        <v>82601290001</v>
      </c>
      <c r="E222" s="44">
        <v>46051</v>
      </c>
      <c r="F222" s="45" t="s">
        <v>306</v>
      </c>
      <c r="G222" s="71" t="s">
        <v>317</v>
      </c>
      <c r="H222" s="76" t="s">
        <v>16</v>
      </c>
      <c r="I222" s="46"/>
      <c r="J222" s="43"/>
      <c r="K222" s="73">
        <v>12</v>
      </c>
      <c r="L222" s="49">
        <f t="shared" si="9"/>
        <v>12</v>
      </c>
      <c r="M222" s="48">
        <f t="shared" si="11"/>
        <v>2930</v>
      </c>
      <c r="N222" s="48">
        <v>244.16666666666666</v>
      </c>
      <c r="O222" s="50">
        <v>9</v>
      </c>
      <c r="P222" s="50">
        <v>9</v>
      </c>
      <c r="Q222" s="51">
        <f t="shared" si="10"/>
        <v>3457.3999999999996</v>
      </c>
      <c r="R222" s="48"/>
      <c r="S222" s="64" t="s">
        <v>308</v>
      </c>
      <c r="T222" s="43">
        <v>45783</v>
      </c>
      <c r="U222" s="24" t="s">
        <v>309</v>
      </c>
      <c r="V222" s="46" t="s">
        <v>33</v>
      </c>
      <c r="W222" s="54" t="s">
        <v>34</v>
      </c>
    </row>
    <row r="223" spans="1:23" s="27" customFormat="1" ht="34.950000000000003" customHeight="1" x14ac:dyDescent="0.25">
      <c r="A223" s="12">
        <f>SUBTOTAL(3,$B$2:B223)</f>
        <v>222</v>
      </c>
      <c r="B223" s="42">
        <v>50</v>
      </c>
      <c r="C223" s="43">
        <v>45784</v>
      </c>
      <c r="D223" s="42">
        <v>82601290001</v>
      </c>
      <c r="E223" s="44">
        <v>46051</v>
      </c>
      <c r="F223" s="45" t="s">
        <v>306</v>
      </c>
      <c r="G223" s="71" t="s">
        <v>318</v>
      </c>
      <c r="H223" s="76" t="s">
        <v>16</v>
      </c>
      <c r="I223" s="46"/>
      <c r="J223" s="43"/>
      <c r="K223" s="73">
        <v>6</v>
      </c>
      <c r="L223" s="49">
        <f t="shared" si="9"/>
        <v>6</v>
      </c>
      <c r="M223" s="48">
        <f t="shared" si="11"/>
        <v>1576.8000000000002</v>
      </c>
      <c r="N223" s="48">
        <v>262.8</v>
      </c>
      <c r="O223" s="50">
        <v>9</v>
      </c>
      <c r="P223" s="50">
        <v>9</v>
      </c>
      <c r="Q223" s="51">
        <f t="shared" si="10"/>
        <v>1860.624</v>
      </c>
      <c r="R223" s="48"/>
      <c r="S223" s="64" t="s">
        <v>308</v>
      </c>
      <c r="T223" s="43">
        <v>45783</v>
      </c>
      <c r="U223" s="24" t="s">
        <v>309</v>
      </c>
      <c r="V223" s="46" t="s">
        <v>33</v>
      </c>
      <c r="W223" s="54" t="s">
        <v>34</v>
      </c>
    </row>
    <row r="224" spans="1:23" s="27" customFormat="1" ht="34.950000000000003" customHeight="1" x14ac:dyDescent="0.25">
      <c r="A224" s="12">
        <f>SUBTOTAL(3,$B$2:B224)</f>
        <v>223</v>
      </c>
      <c r="B224" s="42">
        <v>50</v>
      </c>
      <c r="C224" s="43">
        <v>45784</v>
      </c>
      <c r="D224" s="42">
        <v>82601290001</v>
      </c>
      <c r="E224" s="44">
        <v>46051</v>
      </c>
      <c r="F224" s="45" t="s">
        <v>306</v>
      </c>
      <c r="G224" s="71" t="s">
        <v>319</v>
      </c>
      <c r="H224" s="76" t="s">
        <v>16</v>
      </c>
      <c r="I224" s="46"/>
      <c r="J224" s="43"/>
      <c r="K224" s="73">
        <v>15</v>
      </c>
      <c r="L224" s="49">
        <f t="shared" si="9"/>
        <v>15</v>
      </c>
      <c r="M224" s="48">
        <f t="shared" si="11"/>
        <v>189</v>
      </c>
      <c r="N224" s="48">
        <v>12.6</v>
      </c>
      <c r="O224" s="50">
        <v>9</v>
      </c>
      <c r="P224" s="50">
        <v>9</v>
      </c>
      <c r="Q224" s="51">
        <f t="shared" si="10"/>
        <v>223.01999999999998</v>
      </c>
      <c r="R224" s="48"/>
      <c r="S224" s="64" t="s">
        <v>308</v>
      </c>
      <c r="T224" s="43">
        <v>45783</v>
      </c>
      <c r="U224" s="24" t="s">
        <v>309</v>
      </c>
      <c r="V224" s="46" t="s">
        <v>33</v>
      </c>
      <c r="W224" s="54" t="s">
        <v>34</v>
      </c>
    </row>
    <row r="225" spans="1:23" s="27" customFormat="1" ht="34.950000000000003" customHeight="1" x14ac:dyDescent="0.25">
      <c r="A225" s="12">
        <f>SUBTOTAL(3,$B$2:B225)</f>
        <v>224</v>
      </c>
      <c r="B225" s="42">
        <v>50</v>
      </c>
      <c r="C225" s="43">
        <v>45784</v>
      </c>
      <c r="D225" s="42">
        <v>82601290001</v>
      </c>
      <c r="E225" s="44">
        <v>46051</v>
      </c>
      <c r="F225" s="45" t="s">
        <v>306</v>
      </c>
      <c r="G225" s="71" t="s">
        <v>320</v>
      </c>
      <c r="H225" s="76" t="s">
        <v>16</v>
      </c>
      <c r="I225" s="46"/>
      <c r="J225" s="43"/>
      <c r="K225" s="73">
        <v>8</v>
      </c>
      <c r="L225" s="49">
        <f t="shared" si="9"/>
        <v>8</v>
      </c>
      <c r="M225" s="48">
        <f t="shared" si="11"/>
        <v>120</v>
      </c>
      <c r="N225" s="48">
        <v>15</v>
      </c>
      <c r="O225" s="50">
        <v>9</v>
      </c>
      <c r="P225" s="50">
        <v>9</v>
      </c>
      <c r="Q225" s="51">
        <f t="shared" si="10"/>
        <v>141.6</v>
      </c>
      <c r="R225" s="48"/>
      <c r="S225" s="64" t="s">
        <v>308</v>
      </c>
      <c r="T225" s="43">
        <v>45783</v>
      </c>
      <c r="U225" s="24" t="s">
        <v>309</v>
      </c>
      <c r="V225" s="46" t="s">
        <v>33</v>
      </c>
      <c r="W225" s="54" t="s">
        <v>34</v>
      </c>
    </row>
    <row r="226" spans="1:23" s="27" customFormat="1" ht="34.950000000000003" customHeight="1" x14ac:dyDescent="0.25">
      <c r="A226" s="12">
        <f>SUBTOTAL(3,$B$2:B226)</f>
        <v>225</v>
      </c>
      <c r="B226" s="42">
        <v>50</v>
      </c>
      <c r="C226" s="43">
        <v>45784</v>
      </c>
      <c r="D226" s="42">
        <v>82601290001</v>
      </c>
      <c r="E226" s="44">
        <v>46051</v>
      </c>
      <c r="F226" s="45" t="s">
        <v>306</v>
      </c>
      <c r="G226" s="71" t="s">
        <v>321</v>
      </c>
      <c r="H226" s="76" t="s">
        <v>16</v>
      </c>
      <c r="I226" s="46"/>
      <c r="J226" s="43"/>
      <c r="K226" s="73">
        <v>6</v>
      </c>
      <c r="L226" s="49">
        <f t="shared" si="9"/>
        <v>6</v>
      </c>
      <c r="M226" s="48">
        <f t="shared" si="11"/>
        <v>147</v>
      </c>
      <c r="N226" s="48">
        <v>24.5</v>
      </c>
      <c r="O226" s="50">
        <v>9</v>
      </c>
      <c r="P226" s="50">
        <v>9</v>
      </c>
      <c r="Q226" s="51">
        <f t="shared" si="10"/>
        <v>173.45999999999998</v>
      </c>
      <c r="R226" s="48"/>
      <c r="S226" s="64" t="s">
        <v>308</v>
      </c>
      <c r="T226" s="43">
        <v>45783</v>
      </c>
      <c r="U226" s="24" t="s">
        <v>309</v>
      </c>
      <c r="V226" s="46" t="s">
        <v>33</v>
      </c>
      <c r="W226" s="54" t="s">
        <v>34</v>
      </c>
    </row>
    <row r="227" spans="1:23" s="27" customFormat="1" ht="34.950000000000003" customHeight="1" x14ac:dyDescent="0.25">
      <c r="A227" s="12">
        <f>SUBTOTAL(3,$B$2:B227)</f>
        <v>226</v>
      </c>
      <c r="B227" s="42">
        <v>50</v>
      </c>
      <c r="C227" s="43">
        <v>45784</v>
      </c>
      <c r="D227" s="42">
        <v>82601290001</v>
      </c>
      <c r="E227" s="44">
        <v>46051</v>
      </c>
      <c r="F227" s="45" t="s">
        <v>306</v>
      </c>
      <c r="G227" s="71" t="s">
        <v>322</v>
      </c>
      <c r="H227" s="76" t="s">
        <v>16</v>
      </c>
      <c r="I227" s="46"/>
      <c r="J227" s="43"/>
      <c r="K227" s="73">
        <v>5</v>
      </c>
      <c r="L227" s="49">
        <f t="shared" si="9"/>
        <v>5</v>
      </c>
      <c r="M227" s="48">
        <f t="shared" si="11"/>
        <v>1175</v>
      </c>
      <c r="N227" s="48">
        <v>235</v>
      </c>
      <c r="O227" s="50">
        <v>9</v>
      </c>
      <c r="P227" s="50">
        <v>9</v>
      </c>
      <c r="Q227" s="51">
        <f t="shared" si="10"/>
        <v>1386.5</v>
      </c>
      <c r="R227" s="48"/>
      <c r="S227" s="64" t="s">
        <v>308</v>
      </c>
      <c r="T227" s="43">
        <v>45783</v>
      </c>
      <c r="U227" s="24" t="s">
        <v>309</v>
      </c>
      <c r="V227" s="46" t="s">
        <v>33</v>
      </c>
      <c r="W227" s="54" t="s">
        <v>34</v>
      </c>
    </row>
    <row r="228" spans="1:23" s="27" customFormat="1" ht="34.950000000000003" customHeight="1" x14ac:dyDescent="0.25">
      <c r="A228" s="12">
        <f>SUBTOTAL(3,$B$2:B228)</f>
        <v>227</v>
      </c>
      <c r="B228" s="42">
        <v>50</v>
      </c>
      <c r="C228" s="43">
        <v>45784</v>
      </c>
      <c r="D228" s="42">
        <v>82601290001</v>
      </c>
      <c r="E228" s="44">
        <v>46051</v>
      </c>
      <c r="F228" s="45" t="s">
        <v>306</v>
      </c>
      <c r="G228" s="71" t="s">
        <v>323</v>
      </c>
      <c r="H228" s="76" t="s">
        <v>16</v>
      </c>
      <c r="I228" s="46"/>
      <c r="J228" s="43"/>
      <c r="K228" s="73">
        <v>10</v>
      </c>
      <c r="L228" s="49">
        <f t="shared" si="9"/>
        <v>10</v>
      </c>
      <c r="M228" s="48">
        <f t="shared" si="11"/>
        <v>250</v>
      </c>
      <c r="N228" s="48">
        <v>25</v>
      </c>
      <c r="O228" s="50">
        <v>9</v>
      </c>
      <c r="P228" s="50">
        <v>9</v>
      </c>
      <c r="Q228" s="51">
        <f t="shared" si="10"/>
        <v>295</v>
      </c>
      <c r="R228" s="48"/>
      <c r="S228" s="64" t="s">
        <v>308</v>
      </c>
      <c r="T228" s="43">
        <v>45783</v>
      </c>
      <c r="U228" s="24" t="s">
        <v>309</v>
      </c>
      <c r="V228" s="46" t="s">
        <v>33</v>
      </c>
      <c r="W228" s="54" t="s">
        <v>34</v>
      </c>
    </row>
    <row r="229" spans="1:23" s="27" customFormat="1" ht="34.950000000000003" customHeight="1" x14ac:dyDescent="0.25">
      <c r="A229" s="12">
        <f>SUBTOTAL(3,$B$2:B229)</f>
        <v>228</v>
      </c>
      <c r="B229" s="42">
        <v>50</v>
      </c>
      <c r="C229" s="43">
        <v>45784</v>
      </c>
      <c r="D229" s="42">
        <v>82601290001</v>
      </c>
      <c r="E229" s="44">
        <v>46051</v>
      </c>
      <c r="F229" s="45" t="s">
        <v>306</v>
      </c>
      <c r="G229" s="71" t="s">
        <v>196</v>
      </c>
      <c r="H229" s="76" t="s">
        <v>16</v>
      </c>
      <c r="I229" s="46"/>
      <c r="J229" s="43"/>
      <c r="K229" s="73">
        <v>4</v>
      </c>
      <c r="L229" s="49">
        <f t="shared" si="9"/>
        <v>4</v>
      </c>
      <c r="M229" s="48">
        <f t="shared" si="11"/>
        <v>180</v>
      </c>
      <c r="N229" s="48">
        <v>45</v>
      </c>
      <c r="O229" s="50">
        <v>9</v>
      </c>
      <c r="P229" s="50">
        <v>9</v>
      </c>
      <c r="Q229" s="51">
        <f t="shared" si="10"/>
        <v>212.39999999999998</v>
      </c>
      <c r="R229" s="48"/>
      <c r="S229" s="64" t="s">
        <v>308</v>
      </c>
      <c r="T229" s="43">
        <v>45783</v>
      </c>
      <c r="U229" s="24" t="s">
        <v>309</v>
      </c>
      <c r="V229" s="46" t="s">
        <v>33</v>
      </c>
      <c r="W229" s="54" t="s">
        <v>34</v>
      </c>
    </row>
    <row r="230" spans="1:23" s="27" customFormat="1" ht="34.950000000000003" customHeight="1" x14ac:dyDescent="0.25">
      <c r="A230" s="12">
        <f>SUBTOTAL(3,$B$2:B230)</f>
        <v>229</v>
      </c>
      <c r="B230" s="42">
        <v>50</v>
      </c>
      <c r="C230" s="43">
        <v>45784</v>
      </c>
      <c r="D230" s="42">
        <v>82601290001</v>
      </c>
      <c r="E230" s="44">
        <v>46051</v>
      </c>
      <c r="F230" s="45" t="s">
        <v>306</v>
      </c>
      <c r="G230" s="71" t="s">
        <v>324</v>
      </c>
      <c r="H230" s="76" t="s">
        <v>16</v>
      </c>
      <c r="I230" s="46"/>
      <c r="J230" s="43"/>
      <c r="K230" s="73">
        <v>6</v>
      </c>
      <c r="L230" s="49">
        <f t="shared" si="9"/>
        <v>6</v>
      </c>
      <c r="M230" s="48">
        <f t="shared" si="11"/>
        <v>5637.6</v>
      </c>
      <c r="N230" s="48">
        <v>939.6</v>
      </c>
      <c r="O230" s="50">
        <v>9</v>
      </c>
      <c r="P230" s="50">
        <v>9</v>
      </c>
      <c r="Q230" s="51">
        <f t="shared" si="10"/>
        <v>6652.3680000000004</v>
      </c>
      <c r="R230" s="48"/>
      <c r="S230" s="64" t="s">
        <v>308</v>
      </c>
      <c r="T230" s="43">
        <v>45783</v>
      </c>
      <c r="U230" s="24" t="s">
        <v>309</v>
      </c>
      <c r="V230" s="46" t="s">
        <v>33</v>
      </c>
      <c r="W230" s="54" t="s">
        <v>34</v>
      </c>
    </row>
    <row r="231" spans="1:23" s="27" customFormat="1" ht="34.950000000000003" customHeight="1" x14ac:dyDescent="0.25">
      <c r="A231" s="12">
        <f>SUBTOTAL(3,$B$2:B231)</f>
        <v>230</v>
      </c>
      <c r="B231" s="42">
        <v>50</v>
      </c>
      <c r="C231" s="43">
        <v>45784</v>
      </c>
      <c r="D231" s="42">
        <v>82601290001</v>
      </c>
      <c r="E231" s="44">
        <v>46051</v>
      </c>
      <c r="F231" s="45" t="s">
        <v>306</v>
      </c>
      <c r="G231" s="71" t="s">
        <v>325</v>
      </c>
      <c r="H231" s="76" t="s">
        <v>16</v>
      </c>
      <c r="I231" s="46"/>
      <c r="J231" s="43"/>
      <c r="K231" s="73">
        <v>10</v>
      </c>
      <c r="L231" s="49">
        <f t="shared" si="9"/>
        <v>10</v>
      </c>
      <c r="M231" s="48">
        <f t="shared" si="11"/>
        <v>9000</v>
      </c>
      <c r="N231" s="48">
        <v>900</v>
      </c>
      <c r="O231" s="50">
        <v>9</v>
      </c>
      <c r="P231" s="50">
        <v>9</v>
      </c>
      <c r="Q231" s="51">
        <f t="shared" si="10"/>
        <v>10620</v>
      </c>
      <c r="R231" s="48"/>
      <c r="S231" s="64" t="s">
        <v>308</v>
      </c>
      <c r="T231" s="43">
        <v>45783</v>
      </c>
      <c r="U231" s="24" t="s">
        <v>309</v>
      </c>
      <c r="V231" s="46" t="s">
        <v>33</v>
      </c>
      <c r="W231" s="54" t="s">
        <v>34</v>
      </c>
    </row>
    <row r="232" spans="1:23" s="27" customFormat="1" ht="34.950000000000003" customHeight="1" x14ac:dyDescent="0.25">
      <c r="A232" s="12">
        <f>SUBTOTAL(3,$B$2:B232)</f>
        <v>231</v>
      </c>
      <c r="B232" s="42">
        <v>50</v>
      </c>
      <c r="C232" s="43">
        <v>45784</v>
      </c>
      <c r="D232" s="42">
        <v>82601290001</v>
      </c>
      <c r="E232" s="44">
        <v>46051</v>
      </c>
      <c r="F232" s="45" t="s">
        <v>306</v>
      </c>
      <c r="G232" s="71" t="s">
        <v>326</v>
      </c>
      <c r="H232" s="76" t="s">
        <v>16</v>
      </c>
      <c r="I232" s="46"/>
      <c r="J232" s="43"/>
      <c r="K232" s="73">
        <v>10</v>
      </c>
      <c r="L232" s="49">
        <f t="shared" si="9"/>
        <v>10</v>
      </c>
      <c r="M232" s="48">
        <f t="shared" si="11"/>
        <v>822</v>
      </c>
      <c r="N232" s="48">
        <v>82.2</v>
      </c>
      <c r="O232" s="50">
        <v>9</v>
      </c>
      <c r="P232" s="50">
        <v>9</v>
      </c>
      <c r="Q232" s="51">
        <f t="shared" si="10"/>
        <v>969.95999999999992</v>
      </c>
      <c r="R232" s="48"/>
      <c r="S232" s="64" t="s">
        <v>308</v>
      </c>
      <c r="T232" s="43">
        <v>45783</v>
      </c>
      <c r="U232" s="24" t="s">
        <v>309</v>
      </c>
      <c r="V232" s="46" t="s">
        <v>33</v>
      </c>
      <c r="W232" s="54" t="s">
        <v>34</v>
      </c>
    </row>
    <row r="233" spans="1:23" s="27" customFormat="1" ht="34.950000000000003" customHeight="1" x14ac:dyDescent="0.25">
      <c r="A233" s="12">
        <f>SUBTOTAL(3,$B$2:B233)</f>
        <v>232</v>
      </c>
      <c r="B233" s="42">
        <v>50</v>
      </c>
      <c r="C233" s="43">
        <v>45784</v>
      </c>
      <c r="D233" s="42">
        <v>82601290001</v>
      </c>
      <c r="E233" s="44">
        <v>46051</v>
      </c>
      <c r="F233" s="45" t="s">
        <v>306</v>
      </c>
      <c r="G233" s="71" t="s">
        <v>327</v>
      </c>
      <c r="H233" s="76" t="s">
        <v>16</v>
      </c>
      <c r="I233" s="46"/>
      <c r="J233" s="43"/>
      <c r="K233" s="73">
        <v>15</v>
      </c>
      <c r="L233" s="49">
        <f t="shared" si="9"/>
        <v>15</v>
      </c>
      <c r="M233" s="48">
        <f t="shared" si="11"/>
        <v>1692</v>
      </c>
      <c r="N233" s="48">
        <v>112.8</v>
      </c>
      <c r="O233" s="50">
        <v>9</v>
      </c>
      <c r="P233" s="50">
        <v>9</v>
      </c>
      <c r="Q233" s="51">
        <f t="shared" si="10"/>
        <v>1996.56</v>
      </c>
      <c r="R233" s="48"/>
      <c r="S233" s="64" t="s">
        <v>308</v>
      </c>
      <c r="T233" s="43">
        <v>45783</v>
      </c>
      <c r="U233" s="24" t="s">
        <v>309</v>
      </c>
      <c r="V233" s="46" t="s">
        <v>33</v>
      </c>
      <c r="W233" s="54" t="s">
        <v>34</v>
      </c>
    </row>
    <row r="234" spans="1:23" s="27" customFormat="1" ht="34.950000000000003" customHeight="1" x14ac:dyDescent="0.25">
      <c r="A234" s="12">
        <f>SUBTOTAL(3,$B$2:B234)</f>
        <v>233</v>
      </c>
      <c r="B234" s="42">
        <v>50</v>
      </c>
      <c r="C234" s="43">
        <v>45784</v>
      </c>
      <c r="D234" s="42">
        <v>82601290001</v>
      </c>
      <c r="E234" s="44">
        <v>46051</v>
      </c>
      <c r="F234" s="45" t="s">
        <v>306</v>
      </c>
      <c r="G234" s="71" t="s">
        <v>328</v>
      </c>
      <c r="H234" s="76" t="s">
        <v>16</v>
      </c>
      <c r="I234" s="46"/>
      <c r="J234" s="43"/>
      <c r="K234" s="73">
        <v>10</v>
      </c>
      <c r="L234" s="49">
        <f t="shared" si="9"/>
        <v>10</v>
      </c>
      <c r="M234" s="48">
        <f t="shared" si="11"/>
        <v>1518</v>
      </c>
      <c r="N234" s="48">
        <v>151.80000000000001</v>
      </c>
      <c r="O234" s="50">
        <v>9</v>
      </c>
      <c r="P234" s="50">
        <v>9</v>
      </c>
      <c r="Q234" s="51">
        <f t="shared" si="10"/>
        <v>1791.24</v>
      </c>
      <c r="R234" s="48"/>
      <c r="S234" s="64" t="s">
        <v>308</v>
      </c>
      <c r="T234" s="43">
        <v>45783</v>
      </c>
      <c r="U234" s="24" t="s">
        <v>309</v>
      </c>
      <c r="V234" s="46" t="s">
        <v>33</v>
      </c>
      <c r="W234" s="54" t="s">
        <v>34</v>
      </c>
    </row>
    <row r="235" spans="1:23" s="27" customFormat="1" ht="34.950000000000003" customHeight="1" x14ac:dyDescent="0.25">
      <c r="A235" s="12">
        <f>SUBTOTAL(3,$B$2:B235)</f>
        <v>234</v>
      </c>
      <c r="B235" s="42">
        <v>50</v>
      </c>
      <c r="C235" s="43">
        <v>45784</v>
      </c>
      <c r="D235" s="42">
        <v>82601290001</v>
      </c>
      <c r="E235" s="44">
        <v>46051</v>
      </c>
      <c r="F235" s="45" t="s">
        <v>306</v>
      </c>
      <c r="G235" s="71" t="s">
        <v>329</v>
      </c>
      <c r="H235" s="76" t="s">
        <v>16</v>
      </c>
      <c r="I235" s="46"/>
      <c r="J235" s="43"/>
      <c r="K235" s="73">
        <v>6</v>
      </c>
      <c r="L235" s="49">
        <f t="shared" si="9"/>
        <v>6</v>
      </c>
      <c r="M235" s="48">
        <f t="shared" si="11"/>
        <v>536.4</v>
      </c>
      <c r="N235" s="48">
        <v>89.399999999999991</v>
      </c>
      <c r="O235" s="50">
        <v>9</v>
      </c>
      <c r="P235" s="50">
        <v>9</v>
      </c>
      <c r="Q235" s="51">
        <f t="shared" si="10"/>
        <v>632.95199999999988</v>
      </c>
      <c r="R235" s="48"/>
      <c r="S235" s="64" t="s">
        <v>308</v>
      </c>
      <c r="T235" s="43">
        <v>45783</v>
      </c>
      <c r="U235" s="24" t="s">
        <v>309</v>
      </c>
      <c r="V235" s="46" t="s">
        <v>33</v>
      </c>
      <c r="W235" s="54" t="s">
        <v>34</v>
      </c>
    </row>
    <row r="236" spans="1:23" s="27" customFormat="1" ht="34.950000000000003" customHeight="1" x14ac:dyDescent="0.25">
      <c r="A236" s="12">
        <f>SUBTOTAL(3,$B$2:B236)</f>
        <v>235</v>
      </c>
      <c r="B236" s="42">
        <v>50</v>
      </c>
      <c r="C236" s="43">
        <v>45784</v>
      </c>
      <c r="D236" s="42">
        <v>82601290001</v>
      </c>
      <c r="E236" s="44">
        <v>46051</v>
      </c>
      <c r="F236" s="45" t="s">
        <v>306</v>
      </c>
      <c r="G236" s="71" t="s">
        <v>330</v>
      </c>
      <c r="H236" s="76" t="s">
        <v>16</v>
      </c>
      <c r="I236" s="46"/>
      <c r="J236" s="43"/>
      <c r="K236" s="73">
        <v>12</v>
      </c>
      <c r="L236" s="49">
        <f t="shared" si="9"/>
        <v>12</v>
      </c>
      <c r="M236" s="48">
        <f t="shared" si="11"/>
        <v>7300</v>
      </c>
      <c r="N236" s="48">
        <v>608.33333333333337</v>
      </c>
      <c r="O236" s="50">
        <v>9</v>
      </c>
      <c r="P236" s="50">
        <v>9</v>
      </c>
      <c r="Q236" s="51">
        <f t="shared" si="10"/>
        <v>8614</v>
      </c>
      <c r="R236" s="48"/>
      <c r="S236" s="64" t="s">
        <v>308</v>
      </c>
      <c r="T236" s="43">
        <v>45783</v>
      </c>
      <c r="U236" s="24" t="s">
        <v>309</v>
      </c>
      <c r="V236" s="46" t="s">
        <v>33</v>
      </c>
      <c r="W236" s="54" t="s">
        <v>34</v>
      </c>
    </row>
    <row r="237" spans="1:23" s="27" customFormat="1" ht="34.950000000000003" customHeight="1" x14ac:dyDescent="0.25">
      <c r="A237" s="12">
        <f>SUBTOTAL(3,$B$2:B237)</f>
        <v>236</v>
      </c>
      <c r="B237" s="42">
        <v>50</v>
      </c>
      <c r="C237" s="43">
        <v>45784</v>
      </c>
      <c r="D237" s="42">
        <v>82601290001</v>
      </c>
      <c r="E237" s="44">
        <v>46051</v>
      </c>
      <c r="F237" s="45" t="s">
        <v>306</v>
      </c>
      <c r="G237" s="71" t="s">
        <v>331</v>
      </c>
      <c r="H237" s="76" t="s">
        <v>16</v>
      </c>
      <c r="I237" s="46"/>
      <c r="J237" s="43"/>
      <c r="K237" s="73">
        <v>5</v>
      </c>
      <c r="L237" s="49">
        <f t="shared" si="9"/>
        <v>5</v>
      </c>
      <c r="M237" s="48">
        <f t="shared" si="11"/>
        <v>237</v>
      </c>
      <c r="N237" s="48">
        <v>47.4</v>
      </c>
      <c r="O237" s="50">
        <v>9</v>
      </c>
      <c r="P237" s="50">
        <v>9</v>
      </c>
      <c r="Q237" s="51">
        <f t="shared" si="10"/>
        <v>279.65999999999997</v>
      </c>
      <c r="R237" s="48"/>
      <c r="S237" s="64" t="s">
        <v>308</v>
      </c>
      <c r="T237" s="43">
        <v>45783</v>
      </c>
      <c r="U237" s="24" t="s">
        <v>309</v>
      </c>
      <c r="V237" s="46" t="s">
        <v>33</v>
      </c>
      <c r="W237" s="54" t="s">
        <v>34</v>
      </c>
    </row>
    <row r="238" spans="1:23" s="27" customFormat="1" ht="34.950000000000003" customHeight="1" x14ac:dyDescent="0.25">
      <c r="A238" s="12">
        <f>SUBTOTAL(3,$B$2:B238)</f>
        <v>237</v>
      </c>
      <c r="B238" s="42">
        <v>50</v>
      </c>
      <c r="C238" s="43">
        <v>45784</v>
      </c>
      <c r="D238" s="42">
        <v>82601290001</v>
      </c>
      <c r="E238" s="44">
        <v>46051</v>
      </c>
      <c r="F238" s="45" t="s">
        <v>306</v>
      </c>
      <c r="G238" s="71" t="s">
        <v>332</v>
      </c>
      <c r="H238" s="76" t="s">
        <v>16</v>
      </c>
      <c r="I238" s="46"/>
      <c r="J238" s="43"/>
      <c r="K238" s="73">
        <v>15</v>
      </c>
      <c r="L238" s="49">
        <f t="shared" si="9"/>
        <v>15</v>
      </c>
      <c r="M238" s="48">
        <f t="shared" si="11"/>
        <v>873</v>
      </c>
      <c r="N238" s="48">
        <v>58.2</v>
      </c>
      <c r="O238" s="50">
        <v>9</v>
      </c>
      <c r="P238" s="50">
        <v>9</v>
      </c>
      <c r="Q238" s="51">
        <f t="shared" si="10"/>
        <v>1030.1399999999999</v>
      </c>
      <c r="R238" s="48"/>
      <c r="S238" s="64" t="s">
        <v>308</v>
      </c>
      <c r="T238" s="43">
        <v>45783</v>
      </c>
      <c r="U238" s="24" t="s">
        <v>309</v>
      </c>
      <c r="V238" s="46" t="s">
        <v>33</v>
      </c>
      <c r="W238" s="54" t="s">
        <v>34</v>
      </c>
    </row>
    <row r="239" spans="1:23" s="27" customFormat="1" ht="34.950000000000003" customHeight="1" x14ac:dyDescent="0.25">
      <c r="A239" s="12">
        <f>SUBTOTAL(3,$B$2:B239)</f>
        <v>238</v>
      </c>
      <c r="B239" s="42">
        <v>50</v>
      </c>
      <c r="C239" s="43">
        <v>45784</v>
      </c>
      <c r="D239" s="42">
        <v>82601290001</v>
      </c>
      <c r="E239" s="44">
        <v>46051</v>
      </c>
      <c r="F239" s="45" t="s">
        <v>306</v>
      </c>
      <c r="G239" s="71" t="s">
        <v>333</v>
      </c>
      <c r="H239" s="76" t="s">
        <v>16</v>
      </c>
      <c r="I239" s="46"/>
      <c r="J239" s="43"/>
      <c r="K239" s="73">
        <v>10</v>
      </c>
      <c r="L239" s="49">
        <f t="shared" si="9"/>
        <v>10</v>
      </c>
      <c r="M239" s="48">
        <f t="shared" si="11"/>
        <v>816</v>
      </c>
      <c r="N239" s="48">
        <v>81.599999999999994</v>
      </c>
      <c r="O239" s="50">
        <v>9</v>
      </c>
      <c r="P239" s="50">
        <v>9</v>
      </c>
      <c r="Q239" s="51">
        <f t="shared" si="10"/>
        <v>962.88</v>
      </c>
      <c r="R239" s="48"/>
      <c r="S239" s="64" t="s">
        <v>308</v>
      </c>
      <c r="T239" s="43">
        <v>45783</v>
      </c>
      <c r="U239" s="24" t="s">
        <v>309</v>
      </c>
      <c r="V239" s="46" t="s">
        <v>33</v>
      </c>
      <c r="W239" s="54" t="s">
        <v>34</v>
      </c>
    </row>
    <row r="240" spans="1:23" s="27" customFormat="1" ht="34.950000000000003" customHeight="1" x14ac:dyDescent="0.25">
      <c r="A240" s="12">
        <f>SUBTOTAL(3,$B$2:B240)</f>
        <v>239</v>
      </c>
      <c r="B240" s="42">
        <v>50</v>
      </c>
      <c r="C240" s="43">
        <v>45784</v>
      </c>
      <c r="D240" s="42">
        <v>82601290001</v>
      </c>
      <c r="E240" s="44">
        <v>46051</v>
      </c>
      <c r="F240" s="45" t="s">
        <v>306</v>
      </c>
      <c r="G240" s="71" t="s">
        <v>334</v>
      </c>
      <c r="H240" s="76" t="s">
        <v>16</v>
      </c>
      <c r="I240" s="46"/>
      <c r="J240" s="43"/>
      <c r="K240" s="73">
        <v>6</v>
      </c>
      <c r="L240" s="49">
        <f t="shared" si="9"/>
        <v>6</v>
      </c>
      <c r="M240" s="48">
        <f t="shared" si="11"/>
        <v>291</v>
      </c>
      <c r="N240" s="48">
        <v>48.5</v>
      </c>
      <c r="O240" s="50">
        <v>9</v>
      </c>
      <c r="P240" s="50">
        <v>9</v>
      </c>
      <c r="Q240" s="51">
        <f t="shared" si="10"/>
        <v>343.38</v>
      </c>
      <c r="R240" s="48"/>
      <c r="S240" s="64" t="s">
        <v>308</v>
      </c>
      <c r="T240" s="43">
        <v>45783</v>
      </c>
      <c r="U240" s="24" t="s">
        <v>309</v>
      </c>
      <c r="V240" s="46" t="s">
        <v>33</v>
      </c>
      <c r="W240" s="54" t="s">
        <v>34</v>
      </c>
    </row>
    <row r="241" spans="1:23" s="27" customFormat="1" ht="34.950000000000003" customHeight="1" x14ac:dyDescent="0.25">
      <c r="A241" s="12">
        <f>SUBTOTAL(3,$B$2:B241)</f>
        <v>240</v>
      </c>
      <c r="B241" s="42">
        <v>50</v>
      </c>
      <c r="C241" s="43">
        <v>45784</v>
      </c>
      <c r="D241" s="42">
        <v>82601290001</v>
      </c>
      <c r="E241" s="44">
        <v>46051</v>
      </c>
      <c r="F241" s="45" t="s">
        <v>306</v>
      </c>
      <c r="G241" s="52" t="s">
        <v>335</v>
      </c>
      <c r="H241" s="46" t="s">
        <v>16</v>
      </c>
      <c r="I241" s="12"/>
      <c r="J241" s="43"/>
      <c r="K241" s="59">
        <v>1</v>
      </c>
      <c r="L241" s="49">
        <f t="shared" si="9"/>
        <v>1</v>
      </c>
      <c r="M241" s="48">
        <f t="shared" si="11"/>
        <v>165</v>
      </c>
      <c r="N241" s="48">
        <v>165</v>
      </c>
      <c r="O241" s="50">
        <v>9</v>
      </c>
      <c r="P241" s="50">
        <v>9</v>
      </c>
      <c r="Q241" s="51">
        <f t="shared" si="10"/>
        <v>194.7</v>
      </c>
      <c r="R241" s="48"/>
      <c r="S241" s="24" t="s">
        <v>308</v>
      </c>
      <c r="T241" s="43">
        <v>45783</v>
      </c>
      <c r="U241" s="43" t="s">
        <v>309</v>
      </c>
      <c r="V241" s="46" t="s">
        <v>33</v>
      </c>
      <c r="W241" s="54" t="s">
        <v>34</v>
      </c>
    </row>
    <row r="242" spans="1:23" s="27" customFormat="1" ht="34.950000000000003" customHeight="1" x14ac:dyDescent="0.25">
      <c r="A242" s="12">
        <f>SUBTOTAL(3,$B$2:B242)</f>
        <v>241</v>
      </c>
      <c r="B242" s="42">
        <v>50</v>
      </c>
      <c r="C242" s="43">
        <v>45784</v>
      </c>
      <c r="D242" s="42">
        <v>82601290001</v>
      </c>
      <c r="E242" s="44">
        <v>46051</v>
      </c>
      <c r="F242" s="45" t="s">
        <v>306</v>
      </c>
      <c r="G242" s="52" t="s">
        <v>336</v>
      </c>
      <c r="H242" s="46" t="s">
        <v>16</v>
      </c>
      <c r="I242" s="12"/>
      <c r="J242" s="43"/>
      <c r="K242" s="59">
        <v>5</v>
      </c>
      <c r="L242" s="49">
        <f t="shared" si="9"/>
        <v>5</v>
      </c>
      <c r="M242" s="48">
        <f t="shared" si="11"/>
        <v>1311</v>
      </c>
      <c r="N242" s="48">
        <v>262.2</v>
      </c>
      <c r="O242" s="50">
        <v>9</v>
      </c>
      <c r="P242" s="50">
        <v>9</v>
      </c>
      <c r="Q242" s="51">
        <f t="shared" si="10"/>
        <v>1546.98</v>
      </c>
      <c r="R242" s="48"/>
      <c r="S242" s="24" t="s">
        <v>308</v>
      </c>
      <c r="T242" s="43">
        <v>45783</v>
      </c>
      <c r="U242" s="43" t="s">
        <v>309</v>
      </c>
      <c r="V242" s="46" t="s">
        <v>33</v>
      </c>
      <c r="W242" s="54" t="s">
        <v>34</v>
      </c>
    </row>
    <row r="243" spans="1:23" s="27" customFormat="1" ht="34.950000000000003" customHeight="1" x14ac:dyDescent="0.25">
      <c r="A243" s="12">
        <f>SUBTOTAL(3,$B$2:B243)</f>
        <v>242</v>
      </c>
      <c r="B243" s="42">
        <v>50</v>
      </c>
      <c r="C243" s="43">
        <v>45784</v>
      </c>
      <c r="D243" s="42">
        <v>82601290001</v>
      </c>
      <c r="E243" s="44">
        <v>46051</v>
      </c>
      <c r="F243" s="45" t="s">
        <v>306</v>
      </c>
      <c r="G243" s="52" t="s">
        <v>337</v>
      </c>
      <c r="H243" s="46" t="s">
        <v>16</v>
      </c>
      <c r="I243" s="12"/>
      <c r="J243" s="43"/>
      <c r="K243" s="59">
        <v>2</v>
      </c>
      <c r="L243" s="49">
        <f t="shared" si="9"/>
        <v>2</v>
      </c>
      <c r="M243" s="48">
        <f t="shared" si="11"/>
        <v>190</v>
      </c>
      <c r="N243" s="48">
        <v>95</v>
      </c>
      <c r="O243" s="50">
        <v>9</v>
      </c>
      <c r="P243" s="50">
        <v>9</v>
      </c>
      <c r="Q243" s="51">
        <f t="shared" si="10"/>
        <v>224.2</v>
      </c>
      <c r="R243" s="48"/>
      <c r="S243" s="24" t="s">
        <v>308</v>
      </c>
      <c r="T243" s="43">
        <v>45783</v>
      </c>
      <c r="U243" s="43" t="s">
        <v>309</v>
      </c>
      <c r="V243" s="46" t="s">
        <v>33</v>
      </c>
      <c r="W243" s="54" t="s">
        <v>34</v>
      </c>
    </row>
    <row r="244" spans="1:23" s="27" customFormat="1" ht="34.950000000000003" customHeight="1" x14ac:dyDescent="0.25">
      <c r="A244" s="12">
        <f>SUBTOTAL(3,$B$2:B244)</f>
        <v>243</v>
      </c>
      <c r="B244" s="13">
        <v>51</v>
      </c>
      <c r="C244" s="14">
        <v>45786</v>
      </c>
      <c r="D244" s="13">
        <v>0</v>
      </c>
      <c r="E244" s="14">
        <v>0</v>
      </c>
      <c r="F244" s="15" t="s">
        <v>238</v>
      </c>
      <c r="G244" s="25" t="s">
        <v>239</v>
      </c>
      <c r="H244" s="16" t="s">
        <v>29</v>
      </c>
      <c r="I244" s="17"/>
      <c r="J244" s="14"/>
      <c r="K244" s="60">
        <v>4.24</v>
      </c>
      <c r="L244" s="21">
        <f t="shared" si="9"/>
        <v>4.24</v>
      </c>
      <c r="M244" s="20">
        <f t="shared" si="11"/>
        <v>3196.96</v>
      </c>
      <c r="N244" s="20">
        <v>754</v>
      </c>
      <c r="O244" s="22">
        <v>0</v>
      </c>
      <c r="P244" s="22">
        <v>0</v>
      </c>
      <c r="Q244" s="23">
        <f t="shared" si="10"/>
        <v>3196.96</v>
      </c>
      <c r="R244" s="20">
        <v>80</v>
      </c>
      <c r="S244" s="18">
        <v>39</v>
      </c>
      <c r="T244" s="14">
        <v>45786</v>
      </c>
      <c r="U244" s="14" t="s">
        <v>261</v>
      </c>
      <c r="V244" s="16" t="s">
        <v>18</v>
      </c>
      <c r="W244" s="61" t="s">
        <v>34</v>
      </c>
    </row>
    <row r="245" spans="1:23" s="27" customFormat="1" ht="34.950000000000003" customHeight="1" x14ac:dyDescent="0.25">
      <c r="A245" s="12">
        <f>SUBTOTAL(3,$B$2:B245)</f>
        <v>244</v>
      </c>
      <c r="B245" s="13">
        <v>52</v>
      </c>
      <c r="C245" s="14">
        <v>45787</v>
      </c>
      <c r="D245" s="13">
        <v>0</v>
      </c>
      <c r="E245" s="14">
        <v>0</v>
      </c>
      <c r="F245" s="15" t="s">
        <v>89</v>
      </c>
      <c r="G245" s="25" t="s">
        <v>338</v>
      </c>
      <c r="H245" s="16" t="s">
        <v>16</v>
      </c>
      <c r="I245" s="17"/>
      <c r="J245" s="14"/>
      <c r="K245" s="60">
        <v>1</v>
      </c>
      <c r="L245" s="21">
        <f t="shared" si="9"/>
        <v>1</v>
      </c>
      <c r="M245" s="20">
        <f t="shared" si="11"/>
        <v>68</v>
      </c>
      <c r="N245" s="20">
        <v>68</v>
      </c>
      <c r="O245" s="22"/>
      <c r="P245" s="22"/>
      <c r="Q245" s="23">
        <f t="shared" si="10"/>
        <v>68</v>
      </c>
      <c r="R245" s="20"/>
      <c r="S245" s="18" t="s">
        <v>339</v>
      </c>
      <c r="T245" s="14">
        <v>45787</v>
      </c>
      <c r="U245" s="14" t="s">
        <v>91</v>
      </c>
      <c r="V245" s="16" t="s">
        <v>18</v>
      </c>
      <c r="W245" s="61" t="s">
        <v>34</v>
      </c>
    </row>
    <row r="246" spans="1:23" ht="34.950000000000003" customHeight="1" x14ac:dyDescent="0.25">
      <c r="A246" s="12">
        <f>SUBTOTAL(3,$B$2:B246)</f>
        <v>245</v>
      </c>
      <c r="B246" s="13">
        <v>52</v>
      </c>
      <c r="C246" s="14">
        <v>45787</v>
      </c>
      <c r="D246" s="13">
        <v>0</v>
      </c>
      <c r="E246" s="14">
        <v>0</v>
      </c>
      <c r="F246" s="15" t="s">
        <v>89</v>
      </c>
      <c r="G246" s="25" t="s">
        <v>340</v>
      </c>
      <c r="H246" s="16" t="s">
        <v>16</v>
      </c>
      <c r="I246" s="17"/>
      <c r="J246" s="14"/>
      <c r="K246" s="60">
        <v>1</v>
      </c>
      <c r="L246" s="21">
        <f t="shared" si="9"/>
        <v>1</v>
      </c>
      <c r="M246" s="20">
        <f t="shared" si="11"/>
        <v>60</v>
      </c>
      <c r="N246" s="20">
        <v>60</v>
      </c>
      <c r="O246" s="22"/>
      <c r="P246" s="22"/>
      <c r="Q246" s="23">
        <f t="shared" si="10"/>
        <v>60</v>
      </c>
      <c r="R246" s="20"/>
      <c r="S246" s="18" t="s">
        <v>339</v>
      </c>
      <c r="T246" s="14">
        <v>45787</v>
      </c>
      <c r="U246" s="14" t="s">
        <v>91</v>
      </c>
      <c r="V246" s="16" t="s">
        <v>18</v>
      </c>
      <c r="W246" s="61" t="s">
        <v>34</v>
      </c>
    </row>
    <row r="247" spans="1:23" s="27" customFormat="1" ht="34.950000000000003" customHeight="1" x14ac:dyDescent="0.25">
      <c r="A247" s="12">
        <f>SUBTOTAL(3,$B$2:B247)</f>
        <v>246</v>
      </c>
      <c r="B247" s="13">
        <v>52</v>
      </c>
      <c r="C247" s="14">
        <v>45787</v>
      </c>
      <c r="D247" s="13">
        <v>0</v>
      </c>
      <c r="E247" s="14">
        <v>0</v>
      </c>
      <c r="F247" s="15" t="s">
        <v>89</v>
      </c>
      <c r="G247" s="25" t="s">
        <v>341</v>
      </c>
      <c r="H247" s="16" t="s">
        <v>16</v>
      </c>
      <c r="I247" s="17"/>
      <c r="J247" s="14"/>
      <c r="K247" s="60">
        <v>1</v>
      </c>
      <c r="L247" s="21">
        <f t="shared" si="9"/>
        <v>1</v>
      </c>
      <c r="M247" s="20">
        <f t="shared" si="11"/>
        <v>30</v>
      </c>
      <c r="N247" s="20">
        <v>30</v>
      </c>
      <c r="O247" s="22"/>
      <c r="P247" s="22"/>
      <c r="Q247" s="23">
        <f t="shared" si="10"/>
        <v>30</v>
      </c>
      <c r="R247" s="20"/>
      <c r="S247" s="18" t="s">
        <v>339</v>
      </c>
      <c r="T247" s="14">
        <v>45787</v>
      </c>
      <c r="U247" s="14" t="s">
        <v>91</v>
      </c>
      <c r="V247" s="16" t="s">
        <v>18</v>
      </c>
      <c r="W247" s="61" t="s">
        <v>34</v>
      </c>
    </row>
    <row r="248" spans="1:23" s="27" customFormat="1" ht="34.950000000000003" customHeight="1" x14ac:dyDescent="0.25">
      <c r="A248" s="12">
        <f>SUBTOTAL(3,$B$2:B248)</f>
        <v>247</v>
      </c>
      <c r="B248" s="13">
        <v>53</v>
      </c>
      <c r="C248" s="14">
        <v>45787</v>
      </c>
      <c r="D248" s="13">
        <v>0</v>
      </c>
      <c r="E248" s="14">
        <v>0</v>
      </c>
      <c r="F248" s="15" t="s">
        <v>110</v>
      </c>
      <c r="G248" s="25" t="s">
        <v>342</v>
      </c>
      <c r="H248" s="16" t="s">
        <v>16</v>
      </c>
      <c r="I248" s="17"/>
      <c r="J248" s="14"/>
      <c r="K248" s="60">
        <v>7</v>
      </c>
      <c r="L248" s="21">
        <f t="shared" si="9"/>
        <v>7</v>
      </c>
      <c r="M248" s="20">
        <f t="shared" si="11"/>
        <v>175</v>
      </c>
      <c r="N248" s="20">
        <v>25</v>
      </c>
      <c r="O248" s="22"/>
      <c r="P248" s="22"/>
      <c r="Q248" s="23">
        <f t="shared" si="10"/>
        <v>175</v>
      </c>
      <c r="R248" s="20"/>
      <c r="S248" s="18" t="s">
        <v>343</v>
      </c>
      <c r="T248" s="14">
        <v>45787</v>
      </c>
      <c r="U248" s="14" t="s">
        <v>91</v>
      </c>
      <c r="V248" s="16" t="s">
        <v>18</v>
      </c>
      <c r="W248" s="61" t="s">
        <v>34</v>
      </c>
    </row>
    <row r="249" spans="1:23" s="27" customFormat="1" ht="34.950000000000003" customHeight="1" x14ac:dyDescent="0.25">
      <c r="A249" s="12">
        <f>SUBTOTAL(3,$B$2:B249)</f>
        <v>248</v>
      </c>
      <c r="B249" s="13">
        <v>54</v>
      </c>
      <c r="C249" s="14">
        <v>45793</v>
      </c>
      <c r="D249" s="13">
        <v>0</v>
      </c>
      <c r="E249" s="14">
        <v>0</v>
      </c>
      <c r="F249" s="15" t="s">
        <v>171</v>
      </c>
      <c r="G249" s="25" t="s">
        <v>172</v>
      </c>
      <c r="H249" s="16" t="s">
        <v>155</v>
      </c>
      <c r="I249" s="16"/>
      <c r="J249" s="14"/>
      <c r="K249" s="75">
        <v>5</v>
      </c>
      <c r="L249" s="21">
        <f t="shared" si="9"/>
        <v>5</v>
      </c>
      <c r="M249" s="20">
        <f t="shared" si="11"/>
        <v>1500</v>
      </c>
      <c r="N249" s="20">
        <v>300</v>
      </c>
      <c r="O249" s="22"/>
      <c r="P249" s="22"/>
      <c r="Q249" s="23">
        <f t="shared" si="10"/>
        <v>1500</v>
      </c>
      <c r="R249" s="20"/>
      <c r="S249" s="18">
        <v>2127</v>
      </c>
      <c r="T249" s="14">
        <v>45793</v>
      </c>
      <c r="U249" s="14" t="s">
        <v>309</v>
      </c>
      <c r="V249" s="16" t="s">
        <v>18</v>
      </c>
      <c r="W249" s="61" t="s">
        <v>34</v>
      </c>
    </row>
    <row r="250" spans="1:23" s="27" customFormat="1" ht="34.950000000000003" customHeight="1" x14ac:dyDescent="0.25">
      <c r="A250" s="12">
        <f>SUBTOTAL(3,$B$2:B250)</f>
        <v>249</v>
      </c>
      <c r="B250" s="42">
        <v>55</v>
      </c>
      <c r="C250" s="43">
        <v>45793</v>
      </c>
      <c r="D250" s="42">
        <v>82512180002</v>
      </c>
      <c r="E250" s="44">
        <v>46009</v>
      </c>
      <c r="F250" s="45" t="s">
        <v>306</v>
      </c>
      <c r="G250" s="53" t="s">
        <v>174</v>
      </c>
      <c r="H250" s="76" t="s">
        <v>23</v>
      </c>
      <c r="I250" s="46"/>
      <c r="J250" s="43"/>
      <c r="K250" s="73">
        <v>130</v>
      </c>
      <c r="L250" s="49">
        <f t="shared" si="9"/>
        <v>130</v>
      </c>
      <c r="M250" s="48">
        <f t="shared" si="11"/>
        <v>9750</v>
      </c>
      <c r="N250" s="48">
        <v>75</v>
      </c>
      <c r="O250" s="50">
        <v>9</v>
      </c>
      <c r="P250" s="50">
        <v>9</v>
      </c>
      <c r="Q250" s="51">
        <f t="shared" si="10"/>
        <v>11505</v>
      </c>
      <c r="R250" s="48"/>
      <c r="S250" s="24" t="s">
        <v>344</v>
      </c>
      <c r="T250" s="43">
        <v>45792</v>
      </c>
      <c r="U250" s="43" t="s">
        <v>309</v>
      </c>
      <c r="V250" s="46" t="s">
        <v>33</v>
      </c>
      <c r="W250" s="54" t="s">
        <v>34</v>
      </c>
    </row>
    <row r="251" spans="1:23" s="27" customFormat="1" ht="34.950000000000003" customHeight="1" x14ac:dyDescent="0.25">
      <c r="A251" s="12">
        <f>SUBTOTAL(3,$B$2:B251)</f>
        <v>250</v>
      </c>
      <c r="B251" s="42">
        <v>55</v>
      </c>
      <c r="C251" s="43">
        <v>45793</v>
      </c>
      <c r="D251" s="42">
        <v>82512180002</v>
      </c>
      <c r="E251" s="44">
        <v>46009</v>
      </c>
      <c r="F251" s="45" t="s">
        <v>306</v>
      </c>
      <c r="G251" s="53" t="s">
        <v>345</v>
      </c>
      <c r="H251" s="76" t="s">
        <v>16</v>
      </c>
      <c r="I251" s="46"/>
      <c r="J251" s="43"/>
      <c r="K251" s="73">
        <v>6</v>
      </c>
      <c r="L251" s="49">
        <f t="shared" si="9"/>
        <v>6</v>
      </c>
      <c r="M251" s="48">
        <f t="shared" si="11"/>
        <v>1050</v>
      </c>
      <c r="N251" s="48">
        <v>175</v>
      </c>
      <c r="O251" s="50">
        <v>9</v>
      </c>
      <c r="P251" s="50">
        <v>9</v>
      </c>
      <c r="Q251" s="51">
        <f t="shared" si="10"/>
        <v>1239</v>
      </c>
      <c r="R251" s="48"/>
      <c r="S251" s="24" t="s">
        <v>344</v>
      </c>
      <c r="T251" s="43">
        <v>45792</v>
      </c>
      <c r="U251" s="43" t="s">
        <v>309</v>
      </c>
      <c r="V251" s="46" t="s">
        <v>33</v>
      </c>
      <c r="W251" s="54" t="s">
        <v>34</v>
      </c>
    </row>
    <row r="252" spans="1:23" s="27" customFormat="1" ht="34.950000000000003" customHeight="1" x14ac:dyDescent="0.25">
      <c r="A252" s="12">
        <f>SUBTOTAL(3,$B$2:B252)</f>
        <v>251</v>
      </c>
      <c r="B252" s="42">
        <v>55</v>
      </c>
      <c r="C252" s="43">
        <v>45793</v>
      </c>
      <c r="D252" s="42">
        <v>82512180002</v>
      </c>
      <c r="E252" s="44">
        <v>46009</v>
      </c>
      <c r="F252" s="45" t="s">
        <v>306</v>
      </c>
      <c r="G252" s="82" t="s">
        <v>346</v>
      </c>
      <c r="H252" s="76" t="s">
        <v>16</v>
      </c>
      <c r="I252" s="46"/>
      <c r="J252" s="43"/>
      <c r="K252" s="73">
        <v>12</v>
      </c>
      <c r="L252" s="49">
        <f t="shared" si="9"/>
        <v>12</v>
      </c>
      <c r="M252" s="48">
        <f t="shared" si="11"/>
        <v>300</v>
      </c>
      <c r="N252" s="48">
        <v>25</v>
      </c>
      <c r="O252" s="50">
        <v>9</v>
      </c>
      <c r="P252" s="50">
        <v>9</v>
      </c>
      <c r="Q252" s="51">
        <f t="shared" si="10"/>
        <v>354</v>
      </c>
      <c r="R252" s="48"/>
      <c r="S252" s="24" t="s">
        <v>344</v>
      </c>
      <c r="T252" s="43">
        <v>45792</v>
      </c>
      <c r="U252" s="43" t="s">
        <v>309</v>
      </c>
      <c r="V252" s="46" t="s">
        <v>33</v>
      </c>
      <c r="W252" s="54" t="s">
        <v>34</v>
      </c>
    </row>
    <row r="253" spans="1:23" s="27" customFormat="1" ht="34.950000000000003" customHeight="1" x14ac:dyDescent="0.25">
      <c r="A253" s="12">
        <f>SUBTOTAL(3,$B$2:B253)</f>
        <v>252</v>
      </c>
      <c r="B253" s="42">
        <v>55</v>
      </c>
      <c r="C253" s="43">
        <v>45793</v>
      </c>
      <c r="D253" s="42">
        <v>82512180002</v>
      </c>
      <c r="E253" s="44">
        <v>46009</v>
      </c>
      <c r="F253" s="45" t="s">
        <v>306</v>
      </c>
      <c r="G253" s="82" t="s">
        <v>347</v>
      </c>
      <c r="H253" s="76" t="s">
        <v>16</v>
      </c>
      <c r="I253" s="46"/>
      <c r="J253" s="43"/>
      <c r="K253" s="73">
        <v>12</v>
      </c>
      <c r="L253" s="49">
        <f t="shared" si="9"/>
        <v>12</v>
      </c>
      <c r="M253" s="48">
        <f t="shared" si="11"/>
        <v>420</v>
      </c>
      <c r="N253" s="48">
        <v>35</v>
      </c>
      <c r="O253" s="50">
        <v>9</v>
      </c>
      <c r="P253" s="50">
        <v>9</v>
      </c>
      <c r="Q253" s="51">
        <f t="shared" si="10"/>
        <v>495.59999999999997</v>
      </c>
      <c r="R253" s="48"/>
      <c r="S253" s="24" t="s">
        <v>344</v>
      </c>
      <c r="T253" s="43">
        <v>45792</v>
      </c>
      <c r="U253" s="43" t="s">
        <v>309</v>
      </c>
      <c r="V253" s="46" t="s">
        <v>33</v>
      </c>
      <c r="W253" s="54" t="s">
        <v>34</v>
      </c>
    </row>
    <row r="254" spans="1:23" s="27" customFormat="1" ht="34.950000000000003" customHeight="1" x14ac:dyDescent="0.25">
      <c r="A254" s="12">
        <f>SUBTOTAL(3,$B$2:B254)</f>
        <v>253</v>
      </c>
      <c r="B254" s="42">
        <v>55</v>
      </c>
      <c r="C254" s="43">
        <v>45793</v>
      </c>
      <c r="D254" s="42">
        <v>82512180002</v>
      </c>
      <c r="E254" s="44">
        <v>46009</v>
      </c>
      <c r="F254" s="45" t="s">
        <v>306</v>
      </c>
      <c r="G254" s="82" t="s">
        <v>348</v>
      </c>
      <c r="H254" s="76" t="s">
        <v>16</v>
      </c>
      <c r="I254" s="46"/>
      <c r="J254" s="43"/>
      <c r="K254" s="73">
        <v>10</v>
      </c>
      <c r="L254" s="49">
        <f t="shared" si="9"/>
        <v>10</v>
      </c>
      <c r="M254" s="48">
        <f t="shared" si="11"/>
        <v>1020</v>
      </c>
      <c r="N254" s="48">
        <v>102</v>
      </c>
      <c r="O254" s="50">
        <v>9</v>
      </c>
      <c r="P254" s="50">
        <v>9</v>
      </c>
      <c r="Q254" s="51">
        <f t="shared" si="10"/>
        <v>1203.5999999999999</v>
      </c>
      <c r="R254" s="48"/>
      <c r="S254" s="24" t="s">
        <v>344</v>
      </c>
      <c r="T254" s="43">
        <v>45792</v>
      </c>
      <c r="U254" s="43" t="s">
        <v>309</v>
      </c>
      <c r="V254" s="46" t="s">
        <v>33</v>
      </c>
      <c r="W254" s="54" t="s">
        <v>34</v>
      </c>
    </row>
    <row r="255" spans="1:23" s="27" customFormat="1" ht="34.950000000000003" customHeight="1" x14ac:dyDescent="0.25">
      <c r="A255" s="12">
        <f>SUBTOTAL(3,$B$2:B255)</f>
        <v>254</v>
      </c>
      <c r="B255" s="42">
        <v>55</v>
      </c>
      <c r="C255" s="43">
        <v>45793</v>
      </c>
      <c r="D255" s="42">
        <v>82512180002</v>
      </c>
      <c r="E255" s="44">
        <v>46009</v>
      </c>
      <c r="F255" s="45" t="s">
        <v>306</v>
      </c>
      <c r="G255" s="82" t="s">
        <v>349</v>
      </c>
      <c r="H255" s="76" t="s">
        <v>16</v>
      </c>
      <c r="I255" s="46"/>
      <c r="J255" s="43"/>
      <c r="K255" s="73">
        <v>5</v>
      </c>
      <c r="L255" s="49">
        <f t="shared" si="9"/>
        <v>5</v>
      </c>
      <c r="M255" s="48">
        <f t="shared" si="11"/>
        <v>3750</v>
      </c>
      <c r="N255" s="48">
        <v>750</v>
      </c>
      <c r="O255" s="50">
        <v>9</v>
      </c>
      <c r="P255" s="50">
        <v>9</v>
      </c>
      <c r="Q255" s="51">
        <f t="shared" si="10"/>
        <v>4425</v>
      </c>
      <c r="R255" s="48"/>
      <c r="S255" s="24" t="s">
        <v>344</v>
      </c>
      <c r="T255" s="43">
        <v>45792</v>
      </c>
      <c r="U255" s="43" t="s">
        <v>309</v>
      </c>
      <c r="V255" s="46" t="s">
        <v>33</v>
      </c>
      <c r="W255" s="54" t="s">
        <v>34</v>
      </c>
    </row>
    <row r="256" spans="1:23" s="27" customFormat="1" ht="34.950000000000003" customHeight="1" x14ac:dyDescent="0.25">
      <c r="A256" s="12">
        <f>SUBTOTAL(3,$B$2:B256)</f>
        <v>255</v>
      </c>
      <c r="B256" s="42">
        <v>55</v>
      </c>
      <c r="C256" s="43">
        <v>45793</v>
      </c>
      <c r="D256" s="42">
        <v>82512180002</v>
      </c>
      <c r="E256" s="44">
        <v>46009</v>
      </c>
      <c r="F256" s="45" t="s">
        <v>306</v>
      </c>
      <c r="G256" s="82" t="s">
        <v>315</v>
      </c>
      <c r="H256" s="76" t="s">
        <v>16</v>
      </c>
      <c r="I256" s="46"/>
      <c r="J256" s="43"/>
      <c r="K256" s="73">
        <v>6</v>
      </c>
      <c r="L256" s="49">
        <f t="shared" si="9"/>
        <v>6</v>
      </c>
      <c r="M256" s="48">
        <f t="shared" si="11"/>
        <v>208.79999999999998</v>
      </c>
      <c r="N256" s="48">
        <v>34.799999999999997</v>
      </c>
      <c r="O256" s="50">
        <v>9</v>
      </c>
      <c r="P256" s="50">
        <v>9</v>
      </c>
      <c r="Q256" s="51">
        <f t="shared" si="10"/>
        <v>246.38399999999996</v>
      </c>
      <c r="R256" s="48"/>
      <c r="S256" s="24" t="s">
        <v>344</v>
      </c>
      <c r="T256" s="43">
        <v>45792</v>
      </c>
      <c r="U256" s="43" t="s">
        <v>309</v>
      </c>
      <c r="V256" s="46" t="s">
        <v>33</v>
      </c>
      <c r="W256" s="54" t="s">
        <v>34</v>
      </c>
    </row>
    <row r="257" spans="1:23" s="27" customFormat="1" ht="34.950000000000003" customHeight="1" x14ac:dyDescent="0.25">
      <c r="A257" s="12">
        <f>SUBTOTAL(3,$B$2:B257)</f>
        <v>256</v>
      </c>
      <c r="B257" s="42">
        <v>55</v>
      </c>
      <c r="C257" s="43">
        <v>45793</v>
      </c>
      <c r="D257" s="42">
        <v>82512180002</v>
      </c>
      <c r="E257" s="44">
        <v>46009</v>
      </c>
      <c r="F257" s="45" t="s">
        <v>306</v>
      </c>
      <c r="G257" s="82" t="s">
        <v>317</v>
      </c>
      <c r="H257" s="76" t="s">
        <v>16</v>
      </c>
      <c r="I257" s="46"/>
      <c r="J257" s="43"/>
      <c r="K257" s="73">
        <v>2</v>
      </c>
      <c r="L257" s="49">
        <f t="shared" si="9"/>
        <v>2</v>
      </c>
      <c r="M257" s="48">
        <f t="shared" si="11"/>
        <v>512.4</v>
      </c>
      <c r="N257" s="48">
        <v>256.2</v>
      </c>
      <c r="O257" s="50">
        <v>9</v>
      </c>
      <c r="P257" s="50">
        <v>9</v>
      </c>
      <c r="Q257" s="51">
        <f t="shared" si="10"/>
        <v>604.63199999999995</v>
      </c>
      <c r="R257" s="48"/>
      <c r="S257" s="24" t="s">
        <v>344</v>
      </c>
      <c r="T257" s="43">
        <v>45792</v>
      </c>
      <c r="U257" s="43" t="s">
        <v>309</v>
      </c>
      <c r="V257" s="46" t="s">
        <v>33</v>
      </c>
      <c r="W257" s="54" t="s">
        <v>34</v>
      </c>
    </row>
    <row r="258" spans="1:23" s="27" customFormat="1" ht="34.950000000000003" customHeight="1" x14ac:dyDescent="0.25">
      <c r="A258" s="12">
        <f>SUBTOTAL(3,$B$2:B258)</f>
        <v>257</v>
      </c>
      <c r="B258" s="42">
        <v>55</v>
      </c>
      <c r="C258" s="43">
        <v>45793</v>
      </c>
      <c r="D258" s="42">
        <v>82512180002</v>
      </c>
      <c r="E258" s="44">
        <v>46009</v>
      </c>
      <c r="F258" s="45" t="s">
        <v>306</v>
      </c>
      <c r="G258" s="82" t="s">
        <v>350</v>
      </c>
      <c r="H258" s="76" t="s">
        <v>16</v>
      </c>
      <c r="I258" s="46"/>
      <c r="J258" s="43"/>
      <c r="K258" s="73">
        <v>10</v>
      </c>
      <c r="L258" s="49">
        <f t="shared" ref="L258:L321" si="12">K258</f>
        <v>10</v>
      </c>
      <c r="M258" s="48">
        <f t="shared" si="11"/>
        <v>1380</v>
      </c>
      <c r="N258" s="48">
        <v>138</v>
      </c>
      <c r="O258" s="50">
        <v>9</v>
      </c>
      <c r="P258" s="50">
        <v>9</v>
      </c>
      <c r="Q258" s="51">
        <f t="shared" ref="Q258:Q321" si="13">IF(M258="","",M258*(1+(O258+P258)/100))</f>
        <v>1628.3999999999999</v>
      </c>
      <c r="R258" s="48"/>
      <c r="S258" s="24" t="s">
        <v>344</v>
      </c>
      <c r="T258" s="43">
        <v>45792</v>
      </c>
      <c r="U258" s="43" t="s">
        <v>309</v>
      </c>
      <c r="V258" s="46" t="s">
        <v>33</v>
      </c>
      <c r="W258" s="54" t="s">
        <v>34</v>
      </c>
    </row>
    <row r="259" spans="1:23" s="27" customFormat="1" ht="34.950000000000003" customHeight="1" x14ac:dyDescent="0.25">
      <c r="A259" s="12">
        <f>SUBTOTAL(3,$B$2:B259)</f>
        <v>258</v>
      </c>
      <c r="B259" s="42">
        <v>55</v>
      </c>
      <c r="C259" s="43">
        <v>45793</v>
      </c>
      <c r="D259" s="42">
        <v>82512180002</v>
      </c>
      <c r="E259" s="44">
        <v>46009</v>
      </c>
      <c r="F259" s="45" t="s">
        <v>306</v>
      </c>
      <c r="G259" s="82" t="s">
        <v>330</v>
      </c>
      <c r="H259" s="76" t="s">
        <v>16</v>
      </c>
      <c r="I259" s="46"/>
      <c r="J259" s="43"/>
      <c r="K259" s="73">
        <v>7</v>
      </c>
      <c r="L259" s="49">
        <f t="shared" si="12"/>
        <v>7</v>
      </c>
      <c r="M259" s="48">
        <f t="shared" si="11"/>
        <v>1969.7999999999997</v>
      </c>
      <c r="N259" s="48">
        <v>281.39999999999998</v>
      </c>
      <c r="O259" s="50">
        <v>9</v>
      </c>
      <c r="P259" s="50">
        <v>9</v>
      </c>
      <c r="Q259" s="51">
        <f t="shared" si="13"/>
        <v>2324.3639999999996</v>
      </c>
      <c r="R259" s="48"/>
      <c r="S259" s="24" t="s">
        <v>344</v>
      </c>
      <c r="T259" s="43">
        <v>45792</v>
      </c>
      <c r="U259" s="43" t="s">
        <v>309</v>
      </c>
      <c r="V259" s="46" t="s">
        <v>33</v>
      </c>
      <c r="W259" s="54" t="s">
        <v>34</v>
      </c>
    </row>
    <row r="260" spans="1:23" s="27" customFormat="1" ht="34.950000000000003" customHeight="1" x14ac:dyDescent="0.25">
      <c r="A260" s="12">
        <f>SUBTOTAL(3,$B$2:B260)</f>
        <v>259</v>
      </c>
      <c r="B260" s="42">
        <v>55</v>
      </c>
      <c r="C260" s="43">
        <v>45793</v>
      </c>
      <c r="D260" s="42">
        <v>82512180002</v>
      </c>
      <c r="E260" s="44">
        <v>46009</v>
      </c>
      <c r="F260" s="45" t="s">
        <v>306</v>
      </c>
      <c r="G260" s="82" t="s">
        <v>351</v>
      </c>
      <c r="H260" s="76" t="s">
        <v>16</v>
      </c>
      <c r="I260" s="46"/>
      <c r="J260" s="43"/>
      <c r="K260" s="73">
        <v>20</v>
      </c>
      <c r="L260" s="49">
        <f t="shared" si="12"/>
        <v>20</v>
      </c>
      <c r="M260" s="48">
        <f t="shared" ref="M260:M323" si="14">L260*N260</f>
        <v>5052</v>
      </c>
      <c r="N260" s="48">
        <v>252.6</v>
      </c>
      <c r="O260" s="50">
        <v>9</v>
      </c>
      <c r="P260" s="50">
        <v>9</v>
      </c>
      <c r="Q260" s="51">
        <f t="shared" si="13"/>
        <v>5961.36</v>
      </c>
      <c r="R260" s="48"/>
      <c r="S260" s="24" t="s">
        <v>344</v>
      </c>
      <c r="T260" s="43">
        <v>45792</v>
      </c>
      <c r="U260" s="43" t="s">
        <v>309</v>
      </c>
      <c r="V260" s="46" t="s">
        <v>33</v>
      </c>
      <c r="W260" s="54" t="s">
        <v>34</v>
      </c>
    </row>
    <row r="261" spans="1:23" s="27" customFormat="1" ht="34.950000000000003" customHeight="1" x14ac:dyDescent="0.25">
      <c r="A261" s="12">
        <f>SUBTOTAL(3,$B$2:B261)</f>
        <v>260</v>
      </c>
      <c r="B261" s="42">
        <v>55</v>
      </c>
      <c r="C261" s="43">
        <v>45793</v>
      </c>
      <c r="D261" s="42">
        <v>82512180002</v>
      </c>
      <c r="E261" s="44">
        <v>46009</v>
      </c>
      <c r="F261" s="45" t="s">
        <v>306</v>
      </c>
      <c r="G261" s="82" t="s">
        <v>352</v>
      </c>
      <c r="H261" s="76" t="s">
        <v>16</v>
      </c>
      <c r="I261" s="46"/>
      <c r="J261" s="43"/>
      <c r="K261" s="73">
        <v>10</v>
      </c>
      <c r="L261" s="49">
        <f t="shared" si="12"/>
        <v>10</v>
      </c>
      <c r="M261" s="48">
        <f t="shared" si="14"/>
        <v>240</v>
      </c>
      <c r="N261" s="48">
        <v>24</v>
      </c>
      <c r="O261" s="50">
        <v>9</v>
      </c>
      <c r="P261" s="50">
        <v>9</v>
      </c>
      <c r="Q261" s="51">
        <f t="shared" si="13"/>
        <v>283.2</v>
      </c>
      <c r="R261" s="48"/>
      <c r="S261" s="24" t="s">
        <v>344</v>
      </c>
      <c r="T261" s="43">
        <v>45792</v>
      </c>
      <c r="U261" s="43" t="s">
        <v>309</v>
      </c>
      <c r="V261" s="46" t="s">
        <v>33</v>
      </c>
      <c r="W261" s="54" t="s">
        <v>34</v>
      </c>
    </row>
    <row r="262" spans="1:23" s="27" customFormat="1" ht="34.950000000000003" customHeight="1" x14ac:dyDescent="0.25">
      <c r="A262" s="12">
        <f>SUBTOTAL(3,$B$2:B262)</f>
        <v>261</v>
      </c>
      <c r="B262" s="42">
        <v>55</v>
      </c>
      <c r="C262" s="43">
        <v>45793</v>
      </c>
      <c r="D262" s="42">
        <v>82512180002</v>
      </c>
      <c r="E262" s="44">
        <v>46009</v>
      </c>
      <c r="F262" s="45" t="s">
        <v>306</v>
      </c>
      <c r="G262" s="82" t="s">
        <v>353</v>
      </c>
      <c r="H262" s="76" t="s">
        <v>16</v>
      </c>
      <c r="I262" s="46"/>
      <c r="J262" s="43"/>
      <c r="K262" s="73">
        <v>10</v>
      </c>
      <c r="L262" s="49">
        <f t="shared" si="12"/>
        <v>10</v>
      </c>
      <c r="M262" s="48">
        <f t="shared" si="14"/>
        <v>156</v>
      </c>
      <c r="N262" s="48">
        <v>15.6</v>
      </c>
      <c r="O262" s="50">
        <v>9</v>
      </c>
      <c r="P262" s="50">
        <v>9</v>
      </c>
      <c r="Q262" s="51">
        <f t="shared" si="13"/>
        <v>184.07999999999998</v>
      </c>
      <c r="R262" s="48"/>
      <c r="S262" s="24" t="s">
        <v>344</v>
      </c>
      <c r="T262" s="43">
        <v>45792</v>
      </c>
      <c r="U262" s="43" t="s">
        <v>309</v>
      </c>
      <c r="V262" s="46" t="s">
        <v>33</v>
      </c>
      <c r="W262" s="54" t="s">
        <v>34</v>
      </c>
    </row>
    <row r="263" spans="1:23" s="27" customFormat="1" ht="34.950000000000003" customHeight="1" x14ac:dyDescent="0.25">
      <c r="A263" s="12">
        <f>SUBTOTAL(3,$B$2:B263)</f>
        <v>262</v>
      </c>
      <c r="B263" s="42">
        <v>55</v>
      </c>
      <c r="C263" s="43">
        <v>45793</v>
      </c>
      <c r="D263" s="42">
        <v>82512180002</v>
      </c>
      <c r="E263" s="44">
        <v>46009</v>
      </c>
      <c r="F263" s="45" t="s">
        <v>306</v>
      </c>
      <c r="G263" s="82" t="s">
        <v>354</v>
      </c>
      <c r="H263" s="76" t="s">
        <v>16</v>
      </c>
      <c r="I263" s="46"/>
      <c r="J263" s="43"/>
      <c r="K263" s="73">
        <v>6</v>
      </c>
      <c r="L263" s="49">
        <f t="shared" si="12"/>
        <v>6</v>
      </c>
      <c r="M263" s="48">
        <f t="shared" si="14"/>
        <v>300</v>
      </c>
      <c r="N263" s="48">
        <v>50</v>
      </c>
      <c r="O263" s="50">
        <v>9</v>
      </c>
      <c r="P263" s="50">
        <v>9</v>
      </c>
      <c r="Q263" s="51">
        <f t="shared" si="13"/>
        <v>354</v>
      </c>
      <c r="R263" s="48"/>
      <c r="S263" s="24" t="s">
        <v>344</v>
      </c>
      <c r="T263" s="43">
        <v>45792</v>
      </c>
      <c r="U263" s="43" t="s">
        <v>309</v>
      </c>
      <c r="V263" s="46" t="s">
        <v>33</v>
      </c>
      <c r="W263" s="54" t="s">
        <v>34</v>
      </c>
    </row>
    <row r="264" spans="1:23" s="27" customFormat="1" ht="34.950000000000003" customHeight="1" x14ac:dyDescent="0.25">
      <c r="A264" s="12">
        <f>SUBTOTAL(3,$B$2:B264)</f>
        <v>263</v>
      </c>
      <c r="B264" s="42">
        <v>55</v>
      </c>
      <c r="C264" s="43">
        <v>45793</v>
      </c>
      <c r="D264" s="42">
        <v>82512180002</v>
      </c>
      <c r="E264" s="44">
        <v>46009</v>
      </c>
      <c r="F264" s="45" t="s">
        <v>306</v>
      </c>
      <c r="G264" s="71" t="s">
        <v>355</v>
      </c>
      <c r="H264" s="76" t="s">
        <v>16</v>
      </c>
      <c r="I264" s="46"/>
      <c r="J264" s="43"/>
      <c r="K264" s="73">
        <v>12</v>
      </c>
      <c r="L264" s="49">
        <f t="shared" si="12"/>
        <v>12</v>
      </c>
      <c r="M264" s="48">
        <f t="shared" si="14"/>
        <v>480</v>
      </c>
      <c r="N264" s="48">
        <v>40</v>
      </c>
      <c r="O264" s="50">
        <v>9</v>
      </c>
      <c r="P264" s="50">
        <v>9</v>
      </c>
      <c r="Q264" s="51">
        <f t="shared" si="13"/>
        <v>566.4</v>
      </c>
      <c r="R264" s="48"/>
      <c r="S264" s="24" t="s">
        <v>344</v>
      </c>
      <c r="T264" s="43">
        <v>45792</v>
      </c>
      <c r="U264" s="43" t="s">
        <v>309</v>
      </c>
      <c r="V264" s="46" t="s">
        <v>33</v>
      </c>
      <c r="W264" s="54" t="s">
        <v>34</v>
      </c>
    </row>
    <row r="265" spans="1:23" s="27" customFormat="1" ht="34.950000000000003" customHeight="1" x14ac:dyDescent="0.25">
      <c r="A265" s="12">
        <f>SUBTOTAL(3,$B$2:B265)</f>
        <v>264</v>
      </c>
      <c r="B265" s="42">
        <v>55</v>
      </c>
      <c r="C265" s="43">
        <v>45793</v>
      </c>
      <c r="D265" s="42">
        <v>82512180002</v>
      </c>
      <c r="E265" s="44">
        <v>46009</v>
      </c>
      <c r="F265" s="45" t="s">
        <v>306</v>
      </c>
      <c r="G265" s="71" t="s">
        <v>356</v>
      </c>
      <c r="H265" s="76" t="s">
        <v>16</v>
      </c>
      <c r="I265" s="46"/>
      <c r="J265" s="43"/>
      <c r="K265" s="73">
        <v>2</v>
      </c>
      <c r="L265" s="49">
        <f t="shared" si="12"/>
        <v>2</v>
      </c>
      <c r="M265" s="48">
        <f t="shared" si="14"/>
        <v>120</v>
      </c>
      <c r="N265" s="48">
        <v>60</v>
      </c>
      <c r="O265" s="50">
        <v>9</v>
      </c>
      <c r="P265" s="50">
        <v>9</v>
      </c>
      <c r="Q265" s="51">
        <f t="shared" si="13"/>
        <v>141.6</v>
      </c>
      <c r="R265" s="48"/>
      <c r="S265" s="24" t="s">
        <v>344</v>
      </c>
      <c r="T265" s="43">
        <v>45792</v>
      </c>
      <c r="U265" s="43" t="s">
        <v>309</v>
      </c>
      <c r="V265" s="46" t="s">
        <v>33</v>
      </c>
      <c r="W265" s="54" t="s">
        <v>34</v>
      </c>
    </row>
    <row r="266" spans="1:23" s="27" customFormat="1" ht="34.950000000000003" customHeight="1" x14ac:dyDescent="0.25">
      <c r="A266" s="12">
        <f>SUBTOTAL(3,$B$2:B266)</f>
        <v>265</v>
      </c>
      <c r="B266" s="42">
        <v>55</v>
      </c>
      <c r="C266" s="43">
        <v>45793</v>
      </c>
      <c r="D266" s="42">
        <v>82512180002</v>
      </c>
      <c r="E266" s="44">
        <v>46009</v>
      </c>
      <c r="F266" s="45" t="s">
        <v>306</v>
      </c>
      <c r="G266" s="71" t="s">
        <v>357</v>
      </c>
      <c r="H266" s="76" t="s">
        <v>16</v>
      </c>
      <c r="I266" s="46"/>
      <c r="J266" s="43"/>
      <c r="K266" s="73">
        <v>1</v>
      </c>
      <c r="L266" s="49">
        <f t="shared" si="12"/>
        <v>1</v>
      </c>
      <c r="M266" s="48">
        <f t="shared" si="14"/>
        <v>120</v>
      </c>
      <c r="N266" s="48">
        <v>120</v>
      </c>
      <c r="O266" s="50">
        <v>9</v>
      </c>
      <c r="P266" s="50">
        <v>9</v>
      </c>
      <c r="Q266" s="51">
        <f t="shared" si="13"/>
        <v>141.6</v>
      </c>
      <c r="R266" s="48"/>
      <c r="S266" s="24" t="s">
        <v>344</v>
      </c>
      <c r="T266" s="43">
        <v>45792</v>
      </c>
      <c r="U266" s="43" t="s">
        <v>309</v>
      </c>
      <c r="V266" s="46" t="s">
        <v>33</v>
      </c>
      <c r="W266" s="54" t="s">
        <v>34</v>
      </c>
    </row>
    <row r="267" spans="1:23" s="27" customFormat="1" ht="34.950000000000003" customHeight="1" x14ac:dyDescent="0.25">
      <c r="A267" s="12">
        <f>SUBTOTAL(3,$B$2:B267)</f>
        <v>266</v>
      </c>
      <c r="B267" s="42">
        <v>56</v>
      </c>
      <c r="C267" s="43">
        <v>45796</v>
      </c>
      <c r="D267" s="42">
        <v>82512050002</v>
      </c>
      <c r="E267" s="43">
        <v>45996</v>
      </c>
      <c r="F267" s="45" t="s">
        <v>110</v>
      </c>
      <c r="G267" s="71" t="s">
        <v>323</v>
      </c>
      <c r="H267" s="76" t="s">
        <v>220</v>
      </c>
      <c r="I267" s="46"/>
      <c r="J267" s="43"/>
      <c r="K267" s="73">
        <v>5</v>
      </c>
      <c r="L267" s="49">
        <f t="shared" si="12"/>
        <v>5</v>
      </c>
      <c r="M267" s="48">
        <f t="shared" si="14"/>
        <v>100</v>
      </c>
      <c r="N267" s="48">
        <v>20</v>
      </c>
      <c r="O267" s="50"/>
      <c r="P267" s="50"/>
      <c r="Q267" s="51">
        <f t="shared" si="13"/>
        <v>100</v>
      </c>
      <c r="R267" s="48"/>
      <c r="S267" s="24">
        <v>176</v>
      </c>
      <c r="T267" s="43">
        <v>45796</v>
      </c>
      <c r="U267" s="43" t="s">
        <v>91</v>
      </c>
      <c r="V267" s="46" t="s">
        <v>247</v>
      </c>
      <c r="W267" s="54" t="s">
        <v>34</v>
      </c>
    </row>
    <row r="268" spans="1:23" s="27" customFormat="1" ht="34.950000000000003" customHeight="1" x14ac:dyDescent="0.25">
      <c r="A268" s="12">
        <f>SUBTOTAL(3,$B$2:B268)</f>
        <v>267</v>
      </c>
      <c r="B268" s="13">
        <v>57</v>
      </c>
      <c r="C268" s="14">
        <v>45796</v>
      </c>
      <c r="D268" s="13">
        <v>0</v>
      </c>
      <c r="E268" s="14">
        <v>0</v>
      </c>
      <c r="F268" s="15" t="s">
        <v>358</v>
      </c>
      <c r="G268" s="77" t="s">
        <v>359</v>
      </c>
      <c r="H268" s="78" t="s">
        <v>16</v>
      </c>
      <c r="I268" s="16"/>
      <c r="J268" s="14"/>
      <c r="K268" s="75">
        <v>4</v>
      </c>
      <c r="L268" s="21">
        <f t="shared" si="12"/>
        <v>4</v>
      </c>
      <c r="M268" s="20">
        <f t="shared" si="14"/>
        <v>320</v>
      </c>
      <c r="N268" s="20">
        <v>80</v>
      </c>
      <c r="O268" s="22"/>
      <c r="P268" s="22"/>
      <c r="Q268" s="23">
        <f t="shared" si="13"/>
        <v>320</v>
      </c>
      <c r="R268" s="20"/>
      <c r="S268" s="18">
        <v>514</v>
      </c>
      <c r="T268" s="14">
        <v>45796</v>
      </c>
      <c r="U268" s="14" t="s">
        <v>91</v>
      </c>
      <c r="V268" s="16" t="s">
        <v>18</v>
      </c>
      <c r="W268" s="61" t="s">
        <v>34</v>
      </c>
    </row>
    <row r="269" spans="1:23" s="27" customFormat="1" ht="34.950000000000003" customHeight="1" x14ac:dyDescent="0.25">
      <c r="A269" s="12">
        <f>SUBTOTAL(3,$B$2:B269)</f>
        <v>268</v>
      </c>
      <c r="B269" s="13">
        <v>57</v>
      </c>
      <c r="C269" s="14">
        <v>45796</v>
      </c>
      <c r="D269" s="13">
        <v>0</v>
      </c>
      <c r="E269" s="14">
        <v>0</v>
      </c>
      <c r="F269" s="15" t="s">
        <v>358</v>
      </c>
      <c r="G269" s="26" t="s">
        <v>360</v>
      </c>
      <c r="H269" s="78" t="s">
        <v>16</v>
      </c>
      <c r="I269" s="16"/>
      <c r="J269" s="14"/>
      <c r="K269" s="75">
        <v>2</v>
      </c>
      <c r="L269" s="21">
        <f t="shared" si="12"/>
        <v>2</v>
      </c>
      <c r="M269" s="20">
        <f t="shared" si="14"/>
        <v>80</v>
      </c>
      <c r="N269" s="20">
        <v>40</v>
      </c>
      <c r="O269" s="22"/>
      <c r="P269" s="22"/>
      <c r="Q269" s="23">
        <f t="shared" si="13"/>
        <v>80</v>
      </c>
      <c r="R269" s="20"/>
      <c r="S269" s="18">
        <v>514</v>
      </c>
      <c r="T269" s="14">
        <v>45796</v>
      </c>
      <c r="U269" s="14" t="s">
        <v>91</v>
      </c>
      <c r="V269" s="16" t="s">
        <v>18</v>
      </c>
      <c r="W269" s="61" t="s">
        <v>34</v>
      </c>
    </row>
    <row r="270" spans="1:23" s="27" customFormat="1" ht="34.950000000000003" customHeight="1" x14ac:dyDescent="0.25">
      <c r="A270" s="12">
        <f>SUBTOTAL(3,$B$2:B270)</f>
        <v>269</v>
      </c>
      <c r="B270" s="13">
        <v>57</v>
      </c>
      <c r="C270" s="14">
        <v>45796</v>
      </c>
      <c r="D270" s="13">
        <v>0</v>
      </c>
      <c r="E270" s="14">
        <v>0</v>
      </c>
      <c r="F270" s="15" t="s">
        <v>358</v>
      </c>
      <c r="G270" s="25" t="s">
        <v>361</v>
      </c>
      <c r="H270" s="83" t="s">
        <v>16</v>
      </c>
      <c r="I270" s="16"/>
      <c r="J270" s="14"/>
      <c r="K270" s="19">
        <v>4</v>
      </c>
      <c r="L270" s="21">
        <f t="shared" si="12"/>
        <v>4</v>
      </c>
      <c r="M270" s="20">
        <f t="shared" si="14"/>
        <v>20</v>
      </c>
      <c r="N270" s="20">
        <v>5</v>
      </c>
      <c r="O270" s="22"/>
      <c r="P270" s="22"/>
      <c r="Q270" s="23">
        <f t="shared" si="13"/>
        <v>20</v>
      </c>
      <c r="R270" s="20"/>
      <c r="S270" s="18">
        <v>514</v>
      </c>
      <c r="T270" s="14">
        <v>45796</v>
      </c>
      <c r="U270" s="14" t="s">
        <v>91</v>
      </c>
      <c r="V270" s="16" t="s">
        <v>18</v>
      </c>
      <c r="W270" s="61" t="s">
        <v>34</v>
      </c>
    </row>
    <row r="271" spans="1:23" s="27" customFormat="1" ht="34.950000000000003" customHeight="1" x14ac:dyDescent="0.25">
      <c r="A271" s="12">
        <f>SUBTOTAL(3,$B$2:B271)</f>
        <v>270</v>
      </c>
      <c r="B271" s="13">
        <v>58</v>
      </c>
      <c r="C271" s="14">
        <v>45796</v>
      </c>
      <c r="D271" s="13">
        <v>0</v>
      </c>
      <c r="E271" s="14">
        <v>0</v>
      </c>
      <c r="F271" s="15" t="s">
        <v>110</v>
      </c>
      <c r="G271" s="25" t="s">
        <v>362</v>
      </c>
      <c r="H271" s="16" t="s">
        <v>16</v>
      </c>
      <c r="I271" s="17"/>
      <c r="J271" s="14"/>
      <c r="K271" s="60">
        <v>1</v>
      </c>
      <c r="L271" s="21">
        <f t="shared" si="12"/>
        <v>1</v>
      </c>
      <c r="M271" s="20">
        <f t="shared" si="14"/>
        <v>150</v>
      </c>
      <c r="N271" s="20">
        <v>150</v>
      </c>
      <c r="O271" s="22"/>
      <c r="P271" s="22"/>
      <c r="Q271" s="23">
        <f t="shared" si="13"/>
        <v>150</v>
      </c>
      <c r="R271" s="20"/>
      <c r="S271" s="18">
        <v>168</v>
      </c>
      <c r="T271" s="14">
        <v>45794</v>
      </c>
      <c r="U271" s="14" t="s">
        <v>91</v>
      </c>
      <c r="V271" s="16" t="s">
        <v>18</v>
      </c>
      <c r="W271" s="61" t="s">
        <v>34</v>
      </c>
    </row>
    <row r="272" spans="1:23" s="27" customFormat="1" ht="34.950000000000003" customHeight="1" x14ac:dyDescent="0.25">
      <c r="A272" s="12">
        <f>SUBTOTAL(3,$B$2:B272)</f>
        <v>271</v>
      </c>
      <c r="B272" s="13">
        <v>58</v>
      </c>
      <c r="C272" s="14">
        <v>45796</v>
      </c>
      <c r="D272" s="13">
        <v>0</v>
      </c>
      <c r="E272" s="14">
        <v>0</v>
      </c>
      <c r="F272" s="15" t="s">
        <v>110</v>
      </c>
      <c r="G272" s="25" t="s">
        <v>363</v>
      </c>
      <c r="H272" s="16" t="s">
        <v>16</v>
      </c>
      <c r="I272" s="17"/>
      <c r="J272" s="14"/>
      <c r="K272" s="60">
        <v>1</v>
      </c>
      <c r="L272" s="21">
        <f t="shared" si="12"/>
        <v>1</v>
      </c>
      <c r="M272" s="20">
        <f t="shared" si="14"/>
        <v>60</v>
      </c>
      <c r="N272" s="20">
        <v>60</v>
      </c>
      <c r="O272" s="22"/>
      <c r="P272" s="22"/>
      <c r="Q272" s="23">
        <f t="shared" si="13"/>
        <v>60</v>
      </c>
      <c r="R272" s="20"/>
      <c r="S272" s="18">
        <v>168</v>
      </c>
      <c r="T272" s="14">
        <v>45794</v>
      </c>
      <c r="U272" s="14" t="s">
        <v>91</v>
      </c>
      <c r="V272" s="16" t="s">
        <v>18</v>
      </c>
      <c r="W272" s="61" t="s">
        <v>34</v>
      </c>
    </row>
    <row r="273" spans="1:23" s="27" customFormat="1" ht="34.950000000000003" customHeight="1" x14ac:dyDescent="0.25">
      <c r="A273" s="12">
        <f>SUBTOTAL(3,$B$2:B273)</f>
        <v>272</v>
      </c>
      <c r="B273" s="13">
        <v>58</v>
      </c>
      <c r="C273" s="14">
        <v>45796</v>
      </c>
      <c r="D273" s="13">
        <v>0</v>
      </c>
      <c r="E273" s="14">
        <v>0</v>
      </c>
      <c r="F273" s="84" t="s">
        <v>110</v>
      </c>
      <c r="G273" s="25" t="s">
        <v>314</v>
      </c>
      <c r="H273" s="16" t="s">
        <v>220</v>
      </c>
      <c r="I273" s="16"/>
      <c r="J273" s="14"/>
      <c r="K273" s="75">
        <v>3</v>
      </c>
      <c r="L273" s="21">
        <f t="shared" si="12"/>
        <v>3</v>
      </c>
      <c r="M273" s="20">
        <f t="shared" si="14"/>
        <v>300</v>
      </c>
      <c r="N273" s="20">
        <v>100</v>
      </c>
      <c r="O273" s="22"/>
      <c r="P273" s="22"/>
      <c r="Q273" s="23">
        <f t="shared" si="13"/>
        <v>300</v>
      </c>
      <c r="R273" s="20"/>
      <c r="S273" s="18">
        <v>168</v>
      </c>
      <c r="T273" s="14">
        <v>45794</v>
      </c>
      <c r="U273" s="14" t="s">
        <v>91</v>
      </c>
      <c r="V273" s="16" t="s">
        <v>18</v>
      </c>
      <c r="W273" s="61" t="s">
        <v>34</v>
      </c>
    </row>
    <row r="274" spans="1:23" s="27" customFormat="1" ht="34.950000000000003" customHeight="1" x14ac:dyDescent="0.25">
      <c r="A274" s="12">
        <f>SUBTOTAL(3,$B$2:B274)</f>
        <v>273</v>
      </c>
      <c r="B274" s="13">
        <v>58</v>
      </c>
      <c r="C274" s="14">
        <v>45796</v>
      </c>
      <c r="D274" s="13">
        <v>0</v>
      </c>
      <c r="E274" s="14">
        <v>0</v>
      </c>
      <c r="F274" s="84" t="s">
        <v>110</v>
      </c>
      <c r="G274" s="77" t="s">
        <v>321</v>
      </c>
      <c r="H274" s="78" t="s">
        <v>220</v>
      </c>
      <c r="I274" s="16"/>
      <c r="J274" s="14"/>
      <c r="K274" s="75">
        <v>4</v>
      </c>
      <c r="L274" s="21">
        <f t="shared" si="12"/>
        <v>4</v>
      </c>
      <c r="M274" s="20">
        <f t="shared" si="14"/>
        <v>140</v>
      </c>
      <c r="N274" s="20">
        <v>35</v>
      </c>
      <c r="O274" s="22"/>
      <c r="P274" s="22"/>
      <c r="Q274" s="23">
        <f t="shared" si="13"/>
        <v>140</v>
      </c>
      <c r="R274" s="20"/>
      <c r="S274" s="18">
        <v>168</v>
      </c>
      <c r="T274" s="14">
        <v>45794</v>
      </c>
      <c r="U274" s="14" t="s">
        <v>91</v>
      </c>
      <c r="V274" s="16" t="s">
        <v>18</v>
      </c>
      <c r="W274" s="61" t="s">
        <v>34</v>
      </c>
    </row>
    <row r="275" spans="1:23" s="27" customFormat="1" ht="34.950000000000003" customHeight="1" x14ac:dyDescent="0.25">
      <c r="A275" s="12">
        <f>SUBTOTAL(3,$B$2:B275)</f>
        <v>274</v>
      </c>
      <c r="B275" s="13">
        <v>59</v>
      </c>
      <c r="C275" s="14">
        <v>45799</v>
      </c>
      <c r="D275" s="13">
        <v>0</v>
      </c>
      <c r="E275" s="14">
        <v>0</v>
      </c>
      <c r="F275" s="84" t="s">
        <v>364</v>
      </c>
      <c r="G275" s="77" t="s">
        <v>365</v>
      </c>
      <c r="H275" s="78" t="s">
        <v>16</v>
      </c>
      <c r="I275" s="16"/>
      <c r="J275" s="14"/>
      <c r="K275" s="75">
        <v>1</v>
      </c>
      <c r="L275" s="21">
        <f t="shared" si="12"/>
        <v>1</v>
      </c>
      <c r="M275" s="20">
        <f t="shared" si="14"/>
        <v>2000</v>
      </c>
      <c r="N275" s="20">
        <v>2000</v>
      </c>
      <c r="O275" s="22"/>
      <c r="P275" s="22"/>
      <c r="Q275" s="23">
        <f t="shared" si="13"/>
        <v>2000</v>
      </c>
      <c r="R275" s="20"/>
      <c r="S275" s="18">
        <v>70</v>
      </c>
      <c r="T275" s="14">
        <v>45799</v>
      </c>
      <c r="U275" s="14" t="s">
        <v>366</v>
      </c>
      <c r="V275" s="16" t="s">
        <v>18</v>
      </c>
      <c r="W275" s="61" t="s">
        <v>367</v>
      </c>
    </row>
    <row r="276" spans="1:23" s="27" customFormat="1" ht="34.950000000000003" customHeight="1" x14ac:dyDescent="0.35">
      <c r="A276" s="12">
        <f>SUBTOTAL(3,$B$2:B276)</f>
        <v>275</v>
      </c>
      <c r="B276" s="42">
        <v>60</v>
      </c>
      <c r="C276" s="43">
        <v>45801</v>
      </c>
      <c r="D276" s="42">
        <v>0</v>
      </c>
      <c r="E276" s="43">
        <v>0</v>
      </c>
      <c r="F276" s="79" t="s">
        <v>257</v>
      </c>
      <c r="G276" s="53" t="s">
        <v>368</v>
      </c>
      <c r="H276" s="72" t="s">
        <v>16</v>
      </c>
      <c r="I276" s="46"/>
      <c r="J276" s="43"/>
      <c r="K276" s="73">
        <v>1</v>
      </c>
      <c r="L276" s="49">
        <f t="shared" si="12"/>
        <v>1</v>
      </c>
      <c r="M276" s="48">
        <f t="shared" si="14"/>
        <v>25382.81</v>
      </c>
      <c r="N276" s="48">
        <v>25382.81</v>
      </c>
      <c r="O276" s="50">
        <v>14</v>
      </c>
      <c r="P276" s="50">
        <v>14</v>
      </c>
      <c r="Q276" s="51">
        <f t="shared" si="13"/>
        <v>32489.996800000001</v>
      </c>
      <c r="R276" s="48"/>
      <c r="S276" s="24">
        <v>74</v>
      </c>
      <c r="T276" s="43">
        <v>45800</v>
      </c>
      <c r="U276" s="43" t="s">
        <v>369</v>
      </c>
      <c r="V276" s="46" t="s">
        <v>33</v>
      </c>
      <c r="W276" s="54" t="s">
        <v>166</v>
      </c>
    </row>
    <row r="277" spans="1:23" s="27" customFormat="1" ht="34.950000000000003" customHeight="1" x14ac:dyDescent="0.25">
      <c r="A277" s="12">
        <f>SUBTOTAL(3,$B$2:B277)</f>
        <v>276</v>
      </c>
      <c r="B277" s="42">
        <v>61</v>
      </c>
      <c r="C277" s="43">
        <v>45801</v>
      </c>
      <c r="D277" s="42">
        <v>0</v>
      </c>
      <c r="E277" s="43">
        <v>0</v>
      </c>
      <c r="F277" s="79" t="s">
        <v>257</v>
      </c>
      <c r="G277" s="71" t="s">
        <v>370</v>
      </c>
      <c r="H277" s="76" t="s">
        <v>16</v>
      </c>
      <c r="I277" s="46"/>
      <c r="J277" s="43"/>
      <c r="K277" s="73">
        <v>2</v>
      </c>
      <c r="L277" s="49">
        <f t="shared" si="12"/>
        <v>2</v>
      </c>
      <c r="M277" s="48">
        <f t="shared" si="14"/>
        <v>20000</v>
      </c>
      <c r="N277" s="48">
        <v>10000</v>
      </c>
      <c r="O277" s="50">
        <v>9</v>
      </c>
      <c r="P277" s="50">
        <v>9</v>
      </c>
      <c r="Q277" s="51">
        <f t="shared" si="13"/>
        <v>23600</v>
      </c>
      <c r="R277" s="48"/>
      <c r="S277" s="24">
        <v>75</v>
      </c>
      <c r="T277" s="43">
        <v>45800</v>
      </c>
      <c r="U277" s="43" t="s">
        <v>369</v>
      </c>
      <c r="V277" s="46" t="s">
        <v>33</v>
      </c>
      <c r="W277" s="54" t="s">
        <v>166</v>
      </c>
    </row>
    <row r="278" spans="1:23" s="27" customFormat="1" ht="34.950000000000003" customHeight="1" x14ac:dyDescent="0.35">
      <c r="A278" s="12">
        <f>SUBTOTAL(3,$B$2:B278)</f>
        <v>277</v>
      </c>
      <c r="B278" s="13">
        <v>62</v>
      </c>
      <c r="C278" s="14">
        <v>45803</v>
      </c>
      <c r="D278" s="13">
        <v>0</v>
      </c>
      <c r="E278" s="14">
        <v>0</v>
      </c>
      <c r="F278" s="84" t="s">
        <v>236</v>
      </c>
      <c r="G278" s="26" t="s">
        <v>172</v>
      </c>
      <c r="H278" s="74" t="s">
        <v>155</v>
      </c>
      <c r="I278" s="16"/>
      <c r="J278" s="14"/>
      <c r="K278" s="75">
        <v>15</v>
      </c>
      <c r="L278" s="21">
        <f t="shared" si="12"/>
        <v>15</v>
      </c>
      <c r="M278" s="20">
        <f t="shared" si="14"/>
        <v>4875</v>
      </c>
      <c r="N278" s="20">
        <v>325</v>
      </c>
      <c r="O278" s="22"/>
      <c r="P278" s="22"/>
      <c r="Q278" s="23">
        <f t="shared" si="13"/>
        <v>4875</v>
      </c>
      <c r="R278" s="20">
        <v>500</v>
      </c>
      <c r="S278" s="18">
        <v>593</v>
      </c>
      <c r="T278" s="14">
        <v>45803</v>
      </c>
      <c r="U278" s="14" t="s">
        <v>371</v>
      </c>
      <c r="V278" s="16" t="s">
        <v>18</v>
      </c>
      <c r="W278" s="61" t="s">
        <v>34</v>
      </c>
    </row>
    <row r="279" spans="1:23" s="27" customFormat="1" ht="34.950000000000003" customHeight="1" x14ac:dyDescent="0.25">
      <c r="A279" s="12">
        <f>SUBTOTAL(3,$B$2:B279)</f>
        <v>278</v>
      </c>
      <c r="B279" s="42">
        <v>63</v>
      </c>
      <c r="C279" s="43">
        <v>45803</v>
      </c>
      <c r="D279" s="42">
        <v>82507310032</v>
      </c>
      <c r="E279" s="44">
        <v>45869</v>
      </c>
      <c r="F279" s="45" t="s">
        <v>35</v>
      </c>
      <c r="G279" s="52" t="s">
        <v>36</v>
      </c>
      <c r="H279" s="46" t="s">
        <v>37</v>
      </c>
      <c r="I279" s="46" t="s">
        <v>38</v>
      </c>
      <c r="J279" s="43">
        <v>45733</v>
      </c>
      <c r="K279" s="63">
        <v>3</v>
      </c>
      <c r="L279" s="49">
        <f t="shared" si="12"/>
        <v>3</v>
      </c>
      <c r="M279" s="48">
        <f t="shared" si="14"/>
        <v>9660.99</v>
      </c>
      <c r="N279" s="48">
        <v>3220.33</v>
      </c>
      <c r="O279" s="50">
        <v>9</v>
      </c>
      <c r="P279" s="50">
        <v>9</v>
      </c>
      <c r="Q279" s="51">
        <f t="shared" si="13"/>
        <v>11399.968199999999</v>
      </c>
      <c r="R279" s="48"/>
      <c r="S279" s="24" t="s">
        <v>372</v>
      </c>
      <c r="T279" s="43">
        <v>45803</v>
      </c>
      <c r="U279" s="43" t="s">
        <v>230</v>
      </c>
      <c r="V279" s="46" t="s">
        <v>33</v>
      </c>
      <c r="W279" s="54" t="s">
        <v>34</v>
      </c>
    </row>
    <row r="280" spans="1:23" s="27" customFormat="1" ht="34.950000000000003" customHeight="1" x14ac:dyDescent="0.25">
      <c r="A280" s="12">
        <f>SUBTOTAL(3,$B$2:B280)</f>
        <v>279</v>
      </c>
      <c r="B280" s="42">
        <v>64</v>
      </c>
      <c r="C280" s="43">
        <v>45803</v>
      </c>
      <c r="D280" s="42">
        <v>82507310006</v>
      </c>
      <c r="E280" s="44">
        <v>45869</v>
      </c>
      <c r="F280" s="45" t="s">
        <v>35</v>
      </c>
      <c r="G280" s="52" t="s">
        <v>36</v>
      </c>
      <c r="H280" s="46" t="s">
        <v>37</v>
      </c>
      <c r="I280" s="46" t="s">
        <v>38</v>
      </c>
      <c r="J280" s="43">
        <v>45733</v>
      </c>
      <c r="K280" s="55">
        <v>7</v>
      </c>
      <c r="L280" s="49">
        <f t="shared" si="12"/>
        <v>7</v>
      </c>
      <c r="M280" s="48">
        <f t="shared" si="14"/>
        <v>22542.309999999998</v>
      </c>
      <c r="N280" s="48">
        <v>3220.33</v>
      </c>
      <c r="O280" s="50">
        <v>9</v>
      </c>
      <c r="P280" s="50">
        <v>9</v>
      </c>
      <c r="Q280" s="51">
        <f t="shared" si="13"/>
        <v>26599.925799999997</v>
      </c>
      <c r="R280" s="48"/>
      <c r="S280" s="64" t="s">
        <v>373</v>
      </c>
      <c r="T280" s="43">
        <v>45803</v>
      </c>
      <c r="U280" s="43" t="s">
        <v>230</v>
      </c>
      <c r="V280" s="46" t="s">
        <v>33</v>
      </c>
      <c r="W280" s="54" t="s">
        <v>34</v>
      </c>
    </row>
    <row r="281" spans="1:23" s="27" customFormat="1" ht="34.950000000000003" customHeight="1" x14ac:dyDescent="0.25">
      <c r="A281" s="12">
        <f>SUBTOTAL(3,$B$2:B281)</f>
        <v>280</v>
      </c>
      <c r="B281" s="42">
        <v>65</v>
      </c>
      <c r="C281" s="43">
        <v>45803</v>
      </c>
      <c r="D281" s="42">
        <v>82601220002</v>
      </c>
      <c r="E281" s="44">
        <v>46044</v>
      </c>
      <c r="F281" s="45" t="s">
        <v>374</v>
      </c>
      <c r="G281" s="52" t="s">
        <v>375</v>
      </c>
      <c r="H281" s="46" t="s">
        <v>16</v>
      </c>
      <c r="I281" s="46"/>
      <c r="J281" s="43"/>
      <c r="K281" s="73">
        <v>10</v>
      </c>
      <c r="L281" s="49">
        <f t="shared" si="12"/>
        <v>10</v>
      </c>
      <c r="M281" s="48">
        <f t="shared" si="14"/>
        <v>56374.6</v>
      </c>
      <c r="N281" s="48">
        <v>5637.46</v>
      </c>
      <c r="O281" s="50">
        <v>9</v>
      </c>
      <c r="P281" s="50">
        <v>9</v>
      </c>
      <c r="Q281" s="51">
        <f t="shared" si="13"/>
        <v>66522.027999999991</v>
      </c>
      <c r="R281" s="48"/>
      <c r="S281" s="64">
        <v>356</v>
      </c>
      <c r="T281" s="43">
        <v>45803</v>
      </c>
      <c r="U281" s="43" t="s">
        <v>376</v>
      </c>
      <c r="V281" s="46" t="s">
        <v>33</v>
      </c>
      <c r="W281" s="54" t="s">
        <v>377</v>
      </c>
    </row>
    <row r="282" spans="1:23" s="27" customFormat="1" ht="34.950000000000003" customHeight="1" x14ac:dyDescent="0.25">
      <c r="A282" s="12">
        <f>SUBTOTAL(3,$B$2:B282)</f>
        <v>281</v>
      </c>
      <c r="B282" s="42">
        <v>65</v>
      </c>
      <c r="C282" s="43">
        <v>45803</v>
      </c>
      <c r="D282" s="42">
        <v>82601220002</v>
      </c>
      <c r="E282" s="44">
        <v>46044</v>
      </c>
      <c r="F282" s="45" t="s">
        <v>374</v>
      </c>
      <c r="G282" s="52" t="s">
        <v>378</v>
      </c>
      <c r="H282" s="46" t="s">
        <v>16</v>
      </c>
      <c r="I282" s="46"/>
      <c r="J282" s="43"/>
      <c r="K282" s="80">
        <v>10</v>
      </c>
      <c r="L282" s="49">
        <f t="shared" si="12"/>
        <v>10</v>
      </c>
      <c r="M282" s="48">
        <f t="shared" si="14"/>
        <v>29000</v>
      </c>
      <c r="N282" s="48">
        <v>2900</v>
      </c>
      <c r="O282" s="50">
        <v>9</v>
      </c>
      <c r="P282" s="50">
        <v>9</v>
      </c>
      <c r="Q282" s="51">
        <f t="shared" si="13"/>
        <v>34220</v>
      </c>
      <c r="R282" s="48"/>
      <c r="S282" s="64">
        <v>356</v>
      </c>
      <c r="T282" s="43">
        <v>45803</v>
      </c>
      <c r="U282" s="43" t="s">
        <v>376</v>
      </c>
      <c r="V282" s="46" t="s">
        <v>33</v>
      </c>
      <c r="W282" s="54" t="s">
        <v>377</v>
      </c>
    </row>
    <row r="283" spans="1:23" s="27" customFormat="1" ht="34.950000000000003" customHeight="1" x14ac:dyDescent="0.25">
      <c r="A283" s="12">
        <f>SUBTOTAL(3,$B$2:B283)</f>
        <v>282</v>
      </c>
      <c r="B283" s="42">
        <v>65</v>
      </c>
      <c r="C283" s="43">
        <v>45803</v>
      </c>
      <c r="D283" s="42">
        <v>82601220002</v>
      </c>
      <c r="E283" s="44">
        <v>46044</v>
      </c>
      <c r="F283" s="45" t="s">
        <v>374</v>
      </c>
      <c r="G283" s="52" t="s">
        <v>379</v>
      </c>
      <c r="H283" s="57" t="s">
        <v>16</v>
      </c>
      <c r="I283" s="46"/>
      <c r="J283" s="43"/>
      <c r="K283" s="80">
        <v>20</v>
      </c>
      <c r="L283" s="49">
        <f t="shared" si="12"/>
        <v>20</v>
      </c>
      <c r="M283" s="48">
        <f t="shared" si="14"/>
        <v>84000</v>
      </c>
      <c r="N283" s="48">
        <v>4200</v>
      </c>
      <c r="O283" s="50">
        <v>9</v>
      </c>
      <c r="P283" s="50">
        <v>9</v>
      </c>
      <c r="Q283" s="51">
        <f t="shared" si="13"/>
        <v>99120</v>
      </c>
      <c r="R283" s="48"/>
      <c r="S283" s="64">
        <v>356</v>
      </c>
      <c r="T283" s="43">
        <v>45803</v>
      </c>
      <c r="U283" s="43" t="s">
        <v>376</v>
      </c>
      <c r="V283" s="46" t="s">
        <v>33</v>
      </c>
      <c r="W283" s="54" t="s">
        <v>367</v>
      </c>
    </row>
    <row r="284" spans="1:23" s="27" customFormat="1" ht="34.950000000000003" customHeight="1" x14ac:dyDescent="0.25">
      <c r="A284" s="12">
        <f>SUBTOTAL(3,$B$2:B284)</f>
        <v>283</v>
      </c>
      <c r="B284" s="42">
        <v>66</v>
      </c>
      <c r="C284" s="43">
        <v>45805</v>
      </c>
      <c r="D284" s="42">
        <v>0</v>
      </c>
      <c r="E284" s="43">
        <v>0</v>
      </c>
      <c r="F284" s="45" t="s">
        <v>380</v>
      </c>
      <c r="G284" s="52" t="s">
        <v>381</v>
      </c>
      <c r="H284" s="57" t="s">
        <v>16</v>
      </c>
      <c r="I284" s="46"/>
      <c r="J284" s="43"/>
      <c r="K284" s="73">
        <v>400</v>
      </c>
      <c r="L284" s="62">
        <f t="shared" si="12"/>
        <v>400</v>
      </c>
      <c r="M284" s="48">
        <f t="shared" si="14"/>
        <v>280000</v>
      </c>
      <c r="N284" s="48">
        <v>700</v>
      </c>
      <c r="O284" s="50"/>
      <c r="P284" s="50"/>
      <c r="Q284" s="51">
        <f t="shared" si="13"/>
        <v>280000</v>
      </c>
      <c r="R284" s="48"/>
      <c r="S284" s="24">
        <v>236703</v>
      </c>
      <c r="T284" s="43">
        <v>45805</v>
      </c>
      <c r="U284" s="43" t="s">
        <v>296</v>
      </c>
      <c r="V284" s="46" t="s">
        <v>25</v>
      </c>
      <c r="W284" s="54"/>
    </row>
    <row r="285" spans="1:23" s="27" customFormat="1" ht="34.950000000000003" customHeight="1" x14ac:dyDescent="0.25">
      <c r="A285" s="12">
        <f>SUBTOTAL(3,$B$2:B285)</f>
        <v>284</v>
      </c>
      <c r="B285" s="42">
        <v>67</v>
      </c>
      <c r="C285" s="43">
        <v>45806</v>
      </c>
      <c r="D285" s="42">
        <v>0</v>
      </c>
      <c r="E285" s="43">
        <v>0</v>
      </c>
      <c r="F285" s="45" t="s">
        <v>92</v>
      </c>
      <c r="G285" s="52" t="s">
        <v>382</v>
      </c>
      <c r="H285" s="46" t="s">
        <v>16</v>
      </c>
      <c r="I285" s="12"/>
      <c r="J285" s="43"/>
      <c r="K285" s="59">
        <v>1</v>
      </c>
      <c r="L285" s="62">
        <f t="shared" si="12"/>
        <v>1</v>
      </c>
      <c r="M285" s="48">
        <f t="shared" si="14"/>
        <v>17500</v>
      </c>
      <c r="N285" s="48">
        <v>17500</v>
      </c>
      <c r="O285" s="50"/>
      <c r="P285" s="50"/>
      <c r="Q285" s="51">
        <f t="shared" si="13"/>
        <v>17500</v>
      </c>
      <c r="R285" s="48"/>
      <c r="S285" s="24">
        <v>124614</v>
      </c>
      <c r="T285" s="43">
        <v>45805</v>
      </c>
      <c r="U285" s="43" t="s">
        <v>383</v>
      </c>
      <c r="V285" s="46" t="s">
        <v>25</v>
      </c>
      <c r="W285" s="54"/>
    </row>
    <row r="286" spans="1:23" s="27" customFormat="1" ht="34.950000000000003" customHeight="1" x14ac:dyDescent="0.25">
      <c r="A286" s="12">
        <f>SUBTOTAL(3,$B$2:B286)</f>
        <v>285</v>
      </c>
      <c r="B286" s="13">
        <v>68</v>
      </c>
      <c r="C286" s="14">
        <v>45806</v>
      </c>
      <c r="D286" s="13">
        <v>0</v>
      </c>
      <c r="E286" s="14">
        <v>0</v>
      </c>
      <c r="F286" s="15" t="s">
        <v>110</v>
      </c>
      <c r="G286" s="25" t="s">
        <v>384</v>
      </c>
      <c r="H286" s="16" t="s">
        <v>243</v>
      </c>
      <c r="I286" s="17"/>
      <c r="J286" s="14"/>
      <c r="K286" s="60">
        <v>2</v>
      </c>
      <c r="L286" s="21">
        <f t="shared" si="12"/>
        <v>2</v>
      </c>
      <c r="M286" s="20">
        <f t="shared" si="14"/>
        <v>1920</v>
      </c>
      <c r="N286" s="20">
        <v>960</v>
      </c>
      <c r="O286" s="22"/>
      <c r="P286" s="22"/>
      <c r="Q286" s="23">
        <f t="shared" si="13"/>
        <v>1920</v>
      </c>
      <c r="R286" s="20"/>
      <c r="S286" s="18" t="s">
        <v>385</v>
      </c>
      <c r="T286" s="14">
        <v>45804</v>
      </c>
      <c r="U286" s="14" t="s">
        <v>91</v>
      </c>
      <c r="V286" s="16" t="s">
        <v>18</v>
      </c>
      <c r="W286" s="61" t="s">
        <v>34</v>
      </c>
    </row>
    <row r="287" spans="1:23" s="27" customFormat="1" ht="34.950000000000003" customHeight="1" x14ac:dyDescent="0.25">
      <c r="A287" s="12">
        <f>SUBTOTAL(3,$B$2:B287)</f>
        <v>286</v>
      </c>
      <c r="B287" s="42">
        <v>69</v>
      </c>
      <c r="C287" s="43">
        <v>45806</v>
      </c>
      <c r="D287" s="42">
        <v>0</v>
      </c>
      <c r="E287" s="43">
        <v>0</v>
      </c>
      <c r="F287" s="45" t="s">
        <v>92</v>
      </c>
      <c r="G287" s="52" t="s">
        <v>386</v>
      </c>
      <c r="H287" s="46" t="s">
        <v>16</v>
      </c>
      <c r="I287" s="12"/>
      <c r="J287" s="43"/>
      <c r="K287" s="59">
        <v>25</v>
      </c>
      <c r="L287" s="62">
        <f t="shared" si="12"/>
        <v>25</v>
      </c>
      <c r="M287" s="48">
        <f t="shared" si="14"/>
        <v>855900</v>
      </c>
      <c r="N287" s="48">
        <v>34236</v>
      </c>
      <c r="O287" s="50"/>
      <c r="P287" s="50"/>
      <c r="Q287" s="51">
        <f t="shared" si="13"/>
        <v>855900</v>
      </c>
      <c r="R287" s="48"/>
      <c r="S287" s="24">
        <v>32505300123</v>
      </c>
      <c r="T287" s="43">
        <v>45805</v>
      </c>
      <c r="U287" s="43" t="s">
        <v>387</v>
      </c>
      <c r="V287" s="46" t="s">
        <v>25</v>
      </c>
      <c r="W287" s="54"/>
    </row>
    <row r="288" spans="1:23" s="27" customFormat="1" ht="34.950000000000003" customHeight="1" x14ac:dyDescent="0.25">
      <c r="A288" s="12">
        <f>SUBTOTAL(3,$B$2:B288)</f>
        <v>287</v>
      </c>
      <c r="B288" s="42">
        <v>69</v>
      </c>
      <c r="C288" s="43">
        <v>45806</v>
      </c>
      <c r="D288" s="42">
        <v>0</v>
      </c>
      <c r="E288" s="43">
        <v>0</v>
      </c>
      <c r="F288" s="45" t="s">
        <v>92</v>
      </c>
      <c r="G288" s="52" t="s">
        <v>388</v>
      </c>
      <c r="H288" s="46" t="s">
        <v>16</v>
      </c>
      <c r="I288" s="12"/>
      <c r="J288" s="43"/>
      <c r="K288" s="59">
        <v>205</v>
      </c>
      <c r="L288" s="62">
        <f t="shared" si="12"/>
        <v>205</v>
      </c>
      <c r="M288" s="48">
        <f t="shared" si="14"/>
        <v>0</v>
      </c>
      <c r="N288" s="48">
        <v>0</v>
      </c>
      <c r="O288" s="50"/>
      <c r="P288" s="50"/>
      <c r="Q288" s="51">
        <f t="shared" si="13"/>
        <v>0</v>
      </c>
      <c r="R288" s="48"/>
      <c r="S288" s="24">
        <v>32505300123</v>
      </c>
      <c r="T288" s="43">
        <v>45805</v>
      </c>
      <c r="U288" s="43" t="s">
        <v>387</v>
      </c>
      <c r="V288" s="46" t="s">
        <v>25</v>
      </c>
      <c r="W288" s="54"/>
    </row>
    <row r="289" spans="1:23" s="27" customFormat="1" ht="34.950000000000003" customHeight="1" x14ac:dyDescent="0.25">
      <c r="A289" s="12">
        <f>SUBTOTAL(3,$B$2:B289)</f>
        <v>288</v>
      </c>
      <c r="B289" s="42">
        <v>69</v>
      </c>
      <c r="C289" s="43">
        <v>45806</v>
      </c>
      <c r="D289" s="42">
        <v>0</v>
      </c>
      <c r="E289" s="43">
        <v>0</v>
      </c>
      <c r="F289" s="45" t="s">
        <v>92</v>
      </c>
      <c r="G289" s="52" t="s">
        <v>389</v>
      </c>
      <c r="H289" s="46" t="s">
        <v>16</v>
      </c>
      <c r="I289" s="12"/>
      <c r="J289" s="43"/>
      <c r="K289" s="59">
        <v>52</v>
      </c>
      <c r="L289" s="62">
        <f t="shared" si="12"/>
        <v>52</v>
      </c>
      <c r="M289" s="48">
        <f t="shared" si="14"/>
        <v>0</v>
      </c>
      <c r="N289" s="48">
        <v>0</v>
      </c>
      <c r="O289" s="50"/>
      <c r="P289" s="50"/>
      <c r="Q289" s="51">
        <f t="shared" si="13"/>
        <v>0</v>
      </c>
      <c r="R289" s="48"/>
      <c r="S289" s="24">
        <v>32505300123</v>
      </c>
      <c r="T289" s="43">
        <v>45805</v>
      </c>
      <c r="U289" s="43" t="s">
        <v>387</v>
      </c>
      <c r="V289" s="46" t="s">
        <v>25</v>
      </c>
      <c r="W289" s="54"/>
    </row>
    <row r="290" spans="1:23" s="27" customFormat="1" ht="34.950000000000003" customHeight="1" x14ac:dyDescent="0.25">
      <c r="A290" s="12">
        <f>SUBTOTAL(3,$B$2:B290)</f>
        <v>289</v>
      </c>
      <c r="B290" s="42">
        <v>69</v>
      </c>
      <c r="C290" s="43">
        <v>45806</v>
      </c>
      <c r="D290" s="42">
        <v>0</v>
      </c>
      <c r="E290" s="43">
        <v>0</v>
      </c>
      <c r="F290" s="45" t="s">
        <v>92</v>
      </c>
      <c r="G290" s="52" t="s">
        <v>390</v>
      </c>
      <c r="H290" s="57" t="s">
        <v>16</v>
      </c>
      <c r="I290" s="46"/>
      <c r="J290" s="43"/>
      <c r="K290" s="73">
        <v>31</v>
      </c>
      <c r="L290" s="62">
        <f t="shared" si="12"/>
        <v>31</v>
      </c>
      <c r="M290" s="48">
        <f t="shared" si="14"/>
        <v>0</v>
      </c>
      <c r="N290" s="48">
        <v>0</v>
      </c>
      <c r="O290" s="50"/>
      <c r="P290" s="50"/>
      <c r="Q290" s="51">
        <f t="shared" si="13"/>
        <v>0</v>
      </c>
      <c r="R290" s="48"/>
      <c r="S290" s="24">
        <v>32505300123</v>
      </c>
      <c r="T290" s="43">
        <v>45805</v>
      </c>
      <c r="U290" s="43" t="s">
        <v>387</v>
      </c>
      <c r="V290" s="46" t="s">
        <v>25</v>
      </c>
      <c r="W290" s="54"/>
    </row>
    <row r="291" spans="1:23" s="27" customFormat="1" ht="34.950000000000003" customHeight="1" x14ac:dyDescent="0.25">
      <c r="A291" s="12">
        <f>SUBTOTAL(3,$B$2:B291)</f>
        <v>290</v>
      </c>
      <c r="B291" s="42">
        <v>69</v>
      </c>
      <c r="C291" s="43">
        <v>45806</v>
      </c>
      <c r="D291" s="42">
        <v>0</v>
      </c>
      <c r="E291" s="43">
        <v>0</v>
      </c>
      <c r="F291" s="45" t="s">
        <v>92</v>
      </c>
      <c r="G291" s="52" t="s">
        <v>391</v>
      </c>
      <c r="H291" s="46" t="s">
        <v>16</v>
      </c>
      <c r="I291" s="12"/>
      <c r="J291" s="43"/>
      <c r="K291" s="59">
        <v>108</v>
      </c>
      <c r="L291" s="62">
        <f t="shared" si="12"/>
        <v>108</v>
      </c>
      <c r="M291" s="48">
        <f t="shared" si="14"/>
        <v>0</v>
      </c>
      <c r="N291" s="48">
        <v>0</v>
      </c>
      <c r="O291" s="50"/>
      <c r="P291" s="50"/>
      <c r="Q291" s="51">
        <f t="shared" si="13"/>
        <v>0</v>
      </c>
      <c r="R291" s="48"/>
      <c r="S291" s="24">
        <v>32505300123</v>
      </c>
      <c r="T291" s="43">
        <v>45805</v>
      </c>
      <c r="U291" s="43" t="s">
        <v>387</v>
      </c>
      <c r="V291" s="46" t="s">
        <v>25</v>
      </c>
      <c r="W291" s="54"/>
    </row>
    <row r="292" spans="1:23" s="27" customFormat="1" ht="34.950000000000003" customHeight="1" x14ac:dyDescent="0.25">
      <c r="A292" s="12">
        <f>SUBTOTAL(3,$B$2:B292)</f>
        <v>291</v>
      </c>
      <c r="B292" s="42">
        <v>69</v>
      </c>
      <c r="C292" s="43">
        <v>45806</v>
      </c>
      <c r="D292" s="42">
        <v>0</v>
      </c>
      <c r="E292" s="43">
        <v>0</v>
      </c>
      <c r="F292" s="45" t="s">
        <v>92</v>
      </c>
      <c r="G292" s="52" t="s">
        <v>392</v>
      </c>
      <c r="H292" s="46" t="s">
        <v>16</v>
      </c>
      <c r="I292" s="12"/>
      <c r="J292" s="43"/>
      <c r="K292" s="59">
        <v>18</v>
      </c>
      <c r="L292" s="62">
        <f t="shared" si="12"/>
        <v>18</v>
      </c>
      <c r="M292" s="48">
        <f t="shared" si="14"/>
        <v>0</v>
      </c>
      <c r="N292" s="48">
        <v>0</v>
      </c>
      <c r="O292" s="50"/>
      <c r="P292" s="50"/>
      <c r="Q292" s="51">
        <f t="shared" si="13"/>
        <v>0</v>
      </c>
      <c r="R292" s="48"/>
      <c r="S292" s="24">
        <v>32505300123</v>
      </c>
      <c r="T292" s="43">
        <v>45805</v>
      </c>
      <c r="U292" s="43" t="s">
        <v>387</v>
      </c>
      <c r="V292" s="46" t="s">
        <v>25</v>
      </c>
      <c r="W292" s="54"/>
    </row>
    <row r="293" spans="1:23" s="27" customFormat="1" ht="34.950000000000003" customHeight="1" x14ac:dyDescent="0.25">
      <c r="A293" s="12">
        <f>SUBTOTAL(3,$B$2:B293)</f>
        <v>292</v>
      </c>
      <c r="B293" s="42">
        <v>69</v>
      </c>
      <c r="C293" s="43">
        <v>45806</v>
      </c>
      <c r="D293" s="42">
        <v>0</v>
      </c>
      <c r="E293" s="43">
        <v>0</v>
      </c>
      <c r="F293" s="45" t="s">
        <v>92</v>
      </c>
      <c r="G293" s="52" t="s">
        <v>393</v>
      </c>
      <c r="H293" s="46" t="s">
        <v>16</v>
      </c>
      <c r="I293" s="12"/>
      <c r="J293" s="43"/>
      <c r="K293" s="80">
        <v>7</v>
      </c>
      <c r="L293" s="62">
        <f t="shared" si="12"/>
        <v>7</v>
      </c>
      <c r="M293" s="48">
        <f t="shared" si="14"/>
        <v>0</v>
      </c>
      <c r="N293" s="48">
        <v>0</v>
      </c>
      <c r="O293" s="50"/>
      <c r="P293" s="50"/>
      <c r="Q293" s="51">
        <f t="shared" si="13"/>
        <v>0</v>
      </c>
      <c r="R293" s="48"/>
      <c r="S293" s="64">
        <v>32505300123</v>
      </c>
      <c r="T293" s="43">
        <v>45805</v>
      </c>
      <c r="U293" s="24" t="s">
        <v>387</v>
      </c>
      <c r="V293" s="46" t="s">
        <v>25</v>
      </c>
      <c r="W293" s="54"/>
    </row>
    <row r="294" spans="1:23" s="27" customFormat="1" ht="34.950000000000003" customHeight="1" x14ac:dyDescent="0.25">
      <c r="A294" s="12">
        <f>SUBTOTAL(3,$B$2:B294)</f>
        <v>293</v>
      </c>
      <c r="B294" s="42">
        <v>69</v>
      </c>
      <c r="C294" s="43">
        <v>45806</v>
      </c>
      <c r="D294" s="42">
        <v>0</v>
      </c>
      <c r="E294" s="43">
        <v>0</v>
      </c>
      <c r="F294" s="79" t="s">
        <v>92</v>
      </c>
      <c r="G294" s="52" t="s">
        <v>394</v>
      </c>
      <c r="H294" s="46" t="s">
        <v>16</v>
      </c>
      <c r="I294" s="46"/>
      <c r="J294" s="43"/>
      <c r="K294" s="73">
        <v>225</v>
      </c>
      <c r="L294" s="62">
        <f t="shared" si="12"/>
        <v>225</v>
      </c>
      <c r="M294" s="48">
        <f t="shared" si="14"/>
        <v>0</v>
      </c>
      <c r="N294" s="48">
        <v>0</v>
      </c>
      <c r="O294" s="50"/>
      <c r="P294" s="50"/>
      <c r="Q294" s="51">
        <f t="shared" si="13"/>
        <v>0</v>
      </c>
      <c r="R294" s="48"/>
      <c r="S294" s="24">
        <v>32505300123</v>
      </c>
      <c r="T294" s="43">
        <v>45805</v>
      </c>
      <c r="U294" s="43" t="s">
        <v>387</v>
      </c>
      <c r="V294" s="46" t="s">
        <v>25</v>
      </c>
      <c r="W294" s="52"/>
    </row>
    <row r="295" spans="1:23" s="27" customFormat="1" ht="34.950000000000003" customHeight="1" x14ac:dyDescent="0.25">
      <c r="A295" s="12">
        <f>SUBTOTAL(3,$B$2:B295)</f>
        <v>294</v>
      </c>
      <c r="B295" s="42">
        <v>69</v>
      </c>
      <c r="C295" s="43">
        <v>45806</v>
      </c>
      <c r="D295" s="42">
        <v>0</v>
      </c>
      <c r="E295" s="43">
        <v>0</v>
      </c>
      <c r="F295" s="79" t="s">
        <v>92</v>
      </c>
      <c r="G295" s="71" t="s">
        <v>395</v>
      </c>
      <c r="H295" s="76" t="s">
        <v>16</v>
      </c>
      <c r="I295" s="46"/>
      <c r="J295" s="43"/>
      <c r="K295" s="73">
        <v>260</v>
      </c>
      <c r="L295" s="62">
        <f t="shared" si="12"/>
        <v>260</v>
      </c>
      <c r="M295" s="48">
        <f t="shared" si="14"/>
        <v>0</v>
      </c>
      <c r="N295" s="48">
        <v>0</v>
      </c>
      <c r="O295" s="50"/>
      <c r="P295" s="50"/>
      <c r="Q295" s="51">
        <f t="shared" si="13"/>
        <v>0</v>
      </c>
      <c r="R295" s="48"/>
      <c r="S295" s="24">
        <v>32505300123</v>
      </c>
      <c r="T295" s="43">
        <v>45805</v>
      </c>
      <c r="U295" s="43" t="s">
        <v>387</v>
      </c>
      <c r="V295" s="46" t="s">
        <v>25</v>
      </c>
      <c r="W295" s="52"/>
    </row>
    <row r="296" spans="1:23" s="27" customFormat="1" ht="34.950000000000003" customHeight="1" x14ac:dyDescent="0.35">
      <c r="A296" s="12">
        <f>SUBTOTAL(3,$B$2:B296)</f>
        <v>295</v>
      </c>
      <c r="B296" s="42">
        <v>69</v>
      </c>
      <c r="C296" s="43">
        <v>45806</v>
      </c>
      <c r="D296" s="42">
        <v>0</v>
      </c>
      <c r="E296" s="43">
        <v>0</v>
      </c>
      <c r="F296" s="79" t="s">
        <v>92</v>
      </c>
      <c r="G296" s="71" t="s">
        <v>396</v>
      </c>
      <c r="H296" s="72" t="s">
        <v>16</v>
      </c>
      <c r="I296" s="46"/>
      <c r="J296" s="43"/>
      <c r="K296" s="73">
        <v>37</v>
      </c>
      <c r="L296" s="62">
        <f t="shared" si="12"/>
        <v>37</v>
      </c>
      <c r="M296" s="48">
        <f t="shared" si="14"/>
        <v>0</v>
      </c>
      <c r="N296" s="48">
        <v>0</v>
      </c>
      <c r="O296" s="50"/>
      <c r="P296" s="50"/>
      <c r="Q296" s="51">
        <f t="shared" si="13"/>
        <v>0</v>
      </c>
      <c r="R296" s="48"/>
      <c r="S296" s="24">
        <v>32505300123</v>
      </c>
      <c r="T296" s="43">
        <v>45805</v>
      </c>
      <c r="U296" s="43" t="s">
        <v>387</v>
      </c>
      <c r="V296" s="46" t="s">
        <v>25</v>
      </c>
      <c r="W296" s="52"/>
    </row>
    <row r="297" spans="1:23" s="27" customFormat="1" ht="34.950000000000003" customHeight="1" x14ac:dyDescent="0.25">
      <c r="A297" s="12">
        <f>SUBTOTAL(3,$B$2:B297)</f>
        <v>296</v>
      </c>
      <c r="B297" s="42">
        <v>69</v>
      </c>
      <c r="C297" s="43">
        <v>45806</v>
      </c>
      <c r="D297" s="42">
        <v>0</v>
      </c>
      <c r="E297" s="43">
        <v>0</v>
      </c>
      <c r="F297" s="79" t="s">
        <v>92</v>
      </c>
      <c r="G297" s="71" t="s">
        <v>397</v>
      </c>
      <c r="H297" s="76" t="s">
        <v>16</v>
      </c>
      <c r="I297" s="46"/>
      <c r="J297" s="43"/>
      <c r="K297" s="73">
        <v>380</v>
      </c>
      <c r="L297" s="62">
        <f t="shared" si="12"/>
        <v>380</v>
      </c>
      <c r="M297" s="48">
        <f t="shared" si="14"/>
        <v>0</v>
      </c>
      <c r="N297" s="48">
        <v>0</v>
      </c>
      <c r="O297" s="50"/>
      <c r="P297" s="50"/>
      <c r="Q297" s="51">
        <f t="shared" si="13"/>
        <v>0</v>
      </c>
      <c r="R297" s="48"/>
      <c r="S297" s="24">
        <v>32505300123</v>
      </c>
      <c r="T297" s="43">
        <v>45805</v>
      </c>
      <c r="U297" s="43" t="s">
        <v>387</v>
      </c>
      <c r="V297" s="46" t="s">
        <v>25</v>
      </c>
      <c r="W297" s="52"/>
    </row>
    <row r="298" spans="1:23" s="27" customFormat="1" ht="34.950000000000003" customHeight="1" x14ac:dyDescent="0.25">
      <c r="A298" s="12">
        <f>SUBTOTAL(3,$B$2:B298)</f>
        <v>297</v>
      </c>
      <c r="B298" s="42">
        <v>69</v>
      </c>
      <c r="C298" s="43">
        <v>45806</v>
      </c>
      <c r="D298" s="42">
        <v>0</v>
      </c>
      <c r="E298" s="43">
        <v>0</v>
      </c>
      <c r="F298" s="79" t="s">
        <v>92</v>
      </c>
      <c r="G298" s="71" t="s">
        <v>398</v>
      </c>
      <c r="H298" s="76" t="s">
        <v>16</v>
      </c>
      <c r="I298" s="46"/>
      <c r="J298" s="43"/>
      <c r="K298" s="73">
        <v>112</v>
      </c>
      <c r="L298" s="62">
        <f t="shared" si="12"/>
        <v>112</v>
      </c>
      <c r="M298" s="48">
        <f t="shared" si="14"/>
        <v>0</v>
      </c>
      <c r="N298" s="48">
        <v>0</v>
      </c>
      <c r="O298" s="50"/>
      <c r="P298" s="50"/>
      <c r="Q298" s="51">
        <f t="shared" si="13"/>
        <v>0</v>
      </c>
      <c r="R298" s="48"/>
      <c r="S298" s="24">
        <v>32505300123</v>
      </c>
      <c r="T298" s="43">
        <v>45805</v>
      </c>
      <c r="U298" s="43" t="s">
        <v>387</v>
      </c>
      <c r="V298" s="46" t="s">
        <v>25</v>
      </c>
      <c r="W298" s="52"/>
    </row>
    <row r="299" spans="1:23" s="27" customFormat="1" ht="34.950000000000003" customHeight="1" x14ac:dyDescent="0.25">
      <c r="A299" s="12">
        <f>SUBTOTAL(3,$B$2:B299)</f>
        <v>298</v>
      </c>
      <c r="B299" s="42">
        <v>69</v>
      </c>
      <c r="C299" s="43">
        <v>45806</v>
      </c>
      <c r="D299" s="42">
        <v>0</v>
      </c>
      <c r="E299" s="43">
        <v>0</v>
      </c>
      <c r="F299" s="79" t="s">
        <v>92</v>
      </c>
      <c r="G299" s="71" t="s">
        <v>399</v>
      </c>
      <c r="H299" s="76" t="s">
        <v>16</v>
      </c>
      <c r="I299" s="46"/>
      <c r="J299" s="43"/>
      <c r="K299" s="73">
        <v>6</v>
      </c>
      <c r="L299" s="62">
        <f t="shared" si="12"/>
        <v>6</v>
      </c>
      <c r="M299" s="48">
        <f t="shared" si="14"/>
        <v>0</v>
      </c>
      <c r="N299" s="48">
        <v>0</v>
      </c>
      <c r="O299" s="50"/>
      <c r="P299" s="50"/>
      <c r="Q299" s="51">
        <f t="shared" si="13"/>
        <v>0</v>
      </c>
      <c r="R299" s="48"/>
      <c r="S299" s="24">
        <v>32505300123</v>
      </c>
      <c r="T299" s="43">
        <v>45805</v>
      </c>
      <c r="U299" s="43" t="s">
        <v>387</v>
      </c>
      <c r="V299" s="46" t="s">
        <v>25</v>
      </c>
      <c r="W299" s="52"/>
    </row>
    <row r="300" spans="1:23" s="27" customFormat="1" ht="34.950000000000003" customHeight="1" x14ac:dyDescent="0.35">
      <c r="A300" s="12">
        <f>SUBTOTAL(3,$B$2:B300)</f>
        <v>299</v>
      </c>
      <c r="B300" s="42">
        <v>69</v>
      </c>
      <c r="C300" s="43">
        <v>45806</v>
      </c>
      <c r="D300" s="42">
        <v>0</v>
      </c>
      <c r="E300" s="43">
        <v>0</v>
      </c>
      <c r="F300" s="79" t="s">
        <v>92</v>
      </c>
      <c r="G300" s="53" t="s">
        <v>400</v>
      </c>
      <c r="H300" s="72" t="s">
        <v>16</v>
      </c>
      <c r="I300" s="46"/>
      <c r="J300" s="43"/>
      <c r="K300" s="73">
        <v>14</v>
      </c>
      <c r="L300" s="62">
        <f t="shared" si="12"/>
        <v>14</v>
      </c>
      <c r="M300" s="48">
        <f t="shared" si="14"/>
        <v>0</v>
      </c>
      <c r="N300" s="48">
        <v>0</v>
      </c>
      <c r="O300" s="50"/>
      <c r="P300" s="50"/>
      <c r="Q300" s="51">
        <f t="shared" si="13"/>
        <v>0</v>
      </c>
      <c r="R300" s="48"/>
      <c r="S300" s="24">
        <v>32505300123</v>
      </c>
      <c r="T300" s="43">
        <v>45805</v>
      </c>
      <c r="U300" s="43" t="s">
        <v>387</v>
      </c>
      <c r="V300" s="46" t="s">
        <v>25</v>
      </c>
      <c r="W300" s="52"/>
    </row>
    <row r="301" spans="1:23" s="27" customFormat="1" ht="34.950000000000003" customHeight="1" x14ac:dyDescent="0.25">
      <c r="A301" s="12">
        <f>SUBTOTAL(3,$B$2:B301)</f>
        <v>300</v>
      </c>
      <c r="B301" s="42">
        <v>69</v>
      </c>
      <c r="C301" s="43">
        <v>45806</v>
      </c>
      <c r="D301" s="42">
        <v>0</v>
      </c>
      <c r="E301" s="43">
        <v>0</v>
      </c>
      <c r="F301" s="79" t="s">
        <v>92</v>
      </c>
      <c r="G301" s="71" t="s">
        <v>401</v>
      </c>
      <c r="H301" s="76" t="s">
        <v>16</v>
      </c>
      <c r="I301" s="46"/>
      <c r="J301" s="43"/>
      <c r="K301" s="73">
        <v>9</v>
      </c>
      <c r="L301" s="62">
        <f t="shared" si="12"/>
        <v>9</v>
      </c>
      <c r="M301" s="48">
        <f t="shared" si="14"/>
        <v>0</v>
      </c>
      <c r="N301" s="48">
        <v>0</v>
      </c>
      <c r="O301" s="50"/>
      <c r="P301" s="50"/>
      <c r="Q301" s="51">
        <f t="shared" si="13"/>
        <v>0</v>
      </c>
      <c r="R301" s="48"/>
      <c r="S301" s="24">
        <v>32505300123</v>
      </c>
      <c r="T301" s="43">
        <v>45805</v>
      </c>
      <c r="U301" s="43" t="s">
        <v>387</v>
      </c>
      <c r="V301" s="46" t="s">
        <v>25</v>
      </c>
      <c r="W301" s="52"/>
    </row>
    <row r="302" spans="1:23" s="27" customFormat="1" ht="34.950000000000003" customHeight="1" x14ac:dyDescent="0.35">
      <c r="A302" s="12">
        <f>SUBTOTAL(3,$B$2:B302)</f>
        <v>301</v>
      </c>
      <c r="B302" s="42">
        <v>69</v>
      </c>
      <c r="C302" s="43">
        <v>45806</v>
      </c>
      <c r="D302" s="42">
        <v>0</v>
      </c>
      <c r="E302" s="43">
        <v>0</v>
      </c>
      <c r="F302" s="79" t="s">
        <v>92</v>
      </c>
      <c r="G302" s="53" t="s">
        <v>402</v>
      </c>
      <c r="H302" s="72" t="s">
        <v>16</v>
      </c>
      <c r="I302" s="46"/>
      <c r="J302" s="43"/>
      <c r="K302" s="73">
        <v>4</v>
      </c>
      <c r="L302" s="62">
        <f t="shared" si="12"/>
        <v>4</v>
      </c>
      <c r="M302" s="48">
        <f t="shared" si="14"/>
        <v>0</v>
      </c>
      <c r="N302" s="48">
        <v>0</v>
      </c>
      <c r="O302" s="50"/>
      <c r="P302" s="50"/>
      <c r="Q302" s="51">
        <f t="shared" si="13"/>
        <v>0</v>
      </c>
      <c r="R302" s="48"/>
      <c r="S302" s="24">
        <v>32505300123</v>
      </c>
      <c r="T302" s="43">
        <v>45805</v>
      </c>
      <c r="U302" s="43" t="s">
        <v>387</v>
      </c>
      <c r="V302" s="46" t="s">
        <v>25</v>
      </c>
      <c r="W302" s="52"/>
    </row>
    <row r="303" spans="1:23" s="27" customFormat="1" ht="34.950000000000003" customHeight="1" x14ac:dyDescent="0.25">
      <c r="A303" s="12">
        <f>SUBTOTAL(3,$B$2:B303)</f>
        <v>302</v>
      </c>
      <c r="B303" s="42">
        <v>69</v>
      </c>
      <c r="C303" s="43">
        <v>45806</v>
      </c>
      <c r="D303" s="42">
        <v>0</v>
      </c>
      <c r="E303" s="43">
        <v>0</v>
      </c>
      <c r="F303" s="79" t="s">
        <v>92</v>
      </c>
      <c r="G303" s="71" t="s">
        <v>403</v>
      </c>
      <c r="H303" s="76" t="s">
        <v>16</v>
      </c>
      <c r="I303" s="46"/>
      <c r="J303" s="43"/>
      <c r="K303" s="73">
        <v>33</v>
      </c>
      <c r="L303" s="62">
        <f t="shared" si="12"/>
        <v>33</v>
      </c>
      <c r="M303" s="48">
        <f t="shared" si="14"/>
        <v>0</v>
      </c>
      <c r="N303" s="48">
        <v>0</v>
      </c>
      <c r="O303" s="50"/>
      <c r="P303" s="50"/>
      <c r="Q303" s="51">
        <f t="shared" si="13"/>
        <v>0</v>
      </c>
      <c r="R303" s="48"/>
      <c r="S303" s="24">
        <v>32505300123</v>
      </c>
      <c r="T303" s="43">
        <v>45805</v>
      </c>
      <c r="U303" s="43" t="s">
        <v>387</v>
      </c>
      <c r="V303" s="46" t="s">
        <v>25</v>
      </c>
      <c r="W303" s="52"/>
    </row>
    <row r="304" spans="1:23" s="27" customFormat="1" ht="34.950000000000003" customHeight="1" x14ac:dyDescent="0.35">
      <c r="A304" s="12">
        <f>SUBTOTAL(3,$B$2:B304)</f>
        <v>303</v>
      </c>
      <c r="B304" s="42">
        <v>69</v>
      </c>
      <c r="C304" s="43">
        <v>45806</v>
      </c>
      <c r="D304" s="42">
        <v>0</v>
      </c>
      <c r="E304" s="43">
        <v>0</v>
      </c>
      <c r="F304" s="79" t="s">
        <v>92</v>
      </c>
      <c r="G304" s="53" t="s">
        <v>404</v>
      </c>
      <c r="H304" s="72" t="s">
        <v>16</v>
      </c>
      <c r="I304" s="46"/>
      <c r="J304" s="43"/>
      <c r="K304" s="73">
        <v>3</v>
      </c>
      <c r="L304" s="62">
        <f t="shared" si="12"/>
        <v>3</v>
      </c>
      <c r="M304" s="48">
        <f t="shared" si="14"/>
        <v>0</v>
      </c>
      <c r="N304" s="48">
        <v>0</v>
      </c>
      <c r="O304" s="50"/>
      <c r="P304" s="50"/>
      <c r="Q304" s="51">
        <f t="shared" si="13"/>
        <v>0</v>
      </c>
      <c r="R304" s="48"/>
      <c r="S304" s="24">
        <v>32505300123</v>
      </c>
      <c r="T304" s="43">
        <v>45805</v>
      </c>
      <c r="U304" s="43" t="s">
        <v>387</v>
      </c>
      <c r="V304" s="46" t="s">
        <v>25</v>
      </c>
      <c r="W304" s="52"/>
    </row>
    <row r="305" spans="1:23" s="27" customFormat="1" ht="34.950000000000003" customHeight="1" x14ac:dyDescent="0.25">
      <c r="A305" s="12">
        <f>SUBTOTAL(3,$B$2:B305)</f>
        <v>304</v>
      </c>
      <c r="B305" s="42">
        <v>69</v>
      </c>
      <c r="C305" s="43">
        <v>45806</v>
      </c>
      <c r="D305" s="42">
        <v>0</v>
      </c>
      <c r="E305" s="43">
        <v>0</v>
      </c>
      <c r="F305" s="79" t="s">
        <v>92</v>
      </c>
      <c r="G305" s="71" t="s">
        <v>405</v>
      </c>
      <c r="H305" s="76" t="s">
        <v>16</v>
      </c>
      <c r="I305" s="46"/>
      <c r="J305" s="43"/>
      <c r="K305" s="73">
        <v>13</v>
      </c>
      <c r="L305" s="62">
        <f t="shared" si="12"/>
        <v>13</v>
      </c>
      <c r="M305" s="48">
        <f t="shared" si="14"/>
        <v>0</v>
      </c>
      <c r="N305" s="48">
        <v>0</v>
      </c>
      <c r="O305" s="50"/>
      <c r="P305" s="50"/>
      <c r="Q305" s="51">
        <f t="shared" si="13"/>
        <v>0</v>
      </c>
      <c r="R305" s="48"/>
      <c r="S305" s="24">
        <v>32505300123</v>
      </c>
      <c r="T305" s="43">
        <v>45805</v>
      </c>
      <c r="U305" s="43" t="s">
        <v>387</v>
      </c>
      <c r="V305" s="46" t="s">
        <v>25</v>
      </c>
      <c r="W305" s="52"/>
    </row>
    <row r="306" spans="1:23" s="27" customFormat="1" ht="34.950000000000003" customHeight="1" x14ac:dyDescent="0.25">
      <c r="A306" s="12">
        <f>SUBTOTAL(3,$B$2:B306)</f>
        <v>305</v>
      </c>
      <c r="B306" s="42">
        <v>69</v>
      </c>
      <c r="C306" s="43">
        <v>45806</v>
      </c>
      <c r="D306" s="42">
        <v>0</v>
      </c>
      <c r="E306" s="43">
        <v>0</v>
      </c>
      <c r="F306" s="79" t="s">
        <v>92</v>
      </c>
      <c r="G306" s="71" t="s">
        <v>406</v>
      </c>
      <c r="H306" s="76" t="s">
        <v>16</v>
      </c>
      <c r="I306" s="46"/>
      <c r="J306" s="43"/>
      <c r="K306" s="73">
        <v>8</v>
      </c>
      <c r="L306" s="62">
        <f t="shared" si="12"/>
        <v>8</v>
      </c>
      <c r="M306" s="48">
        <f t="shared" si="14"/>
        <v>0</v>
      </c>
      <c r="N306" s="48">
        <v>0</v>
      </c>
      <c r="O306" s="50"/>
      <c r="P306" s="50"/>
      <c r="Q306" s="51">
        <f t="shared" si="13"/>
        <v>0</v>
      </c>
      <c r="R306" s="48"/>
      <c r="S306" s="24">
        <v>32505300123</v>
      </c>
      <c r="T306" s="43">
        <v>45805</v>
      </c>
      <c r="U306" s="43" t="s">
        <v>387</v>
      </c>
      <c r="V306" s="46" t="s">
        <v>25</v>
      </c>
      <c r="W306" s="52"/>
    </row>
    <row r="307" spans="1:23" s="27" customFormat="1" ht="34.950000000000003" customHeight="1" x14ac:dyDescent="0.25">
      <c r="A307" s="12">
        <f>SUBTOTAL(3,$B$2:B307)</f>
        <v>306</v>
      </c>
      <c r="B307" s="42">
        <v>70</v>
      </c>
      <c r="C307" s="43">
        <v>45808</v>
      </c>
      <c r="D307" s="42">
        <v>0</v>
      </c>
      <c r="E307" s="43">
        <v>0</v>
      </c>
      <c r="F307" s="79" t="s">
        <v>380</v>
      </c>
      <c r="G307" s="71" t="s">
        <v>391</v>
      </c>
      <c r="H307" s="76" t="s">
        <v>16</v>
      </c>
      <c r="I307" s="46"/>
      <c r="J307" s="43"/>
      <c r="K307" s="73">
        <v>100</v>
      </c>
      <c r="L307" s="62">
        <f t="shared" si="12"/>
        <v>100</v>
      </c>
      <c r="M307" s="48">
        <f t="shared" si="14"/>
        <v>202488</v>
      </c>
      <c r="N307" s="48">
        <v>2024.88</v>
      </c>
      <c r="O307" s="50"/>
      <c r="P307" s="50"/>
      <c r="Q307" s="51">
        <f t="shared" si="13"/>
        <v>202488</v>
      </c>
      <c r="R307" s="48"/>
      <c r="S307" s="24">
        <v>236704</v>
      </c>
      <c r="T307" s="43">
        <v>45808</v>
      </c>
      <c r="U307" s="43" t="s">
        <v>296</v>
      </c>
      <c r="V307" s="46" t="s">
        <v>25</v>
      </c>
      <c r="W307" s="52"/>
    </row>
    <row r="308" spans="1:23" s="27" customFormat="1" ht="34.950000000000003" customHeight="1" x14ac:dyDescent="0.25">
      <c r="A308" s="12">
        <f>SUBTOTAL(3,$B$2:B308)</f>
        <v>307</v>
      </c>
      <c r="B308" s="42">
        <v>71</v>
      </c>
      <c r="C308" s="43">
        <v>45808</v>
      </c>
      <c r="D308" s="42">
        <v>0</v>
      </c>
      <c r="E308" s="43">
        <v>0</v>
      </c>
      <c r="F308" s="79" t="s">
        <v>407</v>
      </c>
      <c r="G308" s="71" t="s">
        <v>408</v>
      </c>
      <c r="H308" s="76" t="s">
        <v>16</v>
      </c>
      <c r="I308" s="46"/>
      <c r="J308" s="43"/>
      <c r="K308" s="73">
        <v>1</v>
      </c>
      <c r="L308" s="62">
        <f t="shared" si="12"/>
        <v>1</v>
      </c>
      <c r="M308" s="48">
        <f t="shared" si="14"/>
        <v>150000</v>
      </c>
      <c r="N308" s="48">
        <v>150000</v>
      </c>
      <c r="O308" s="50"/>
      <c r="P308" s="50"/>
      <c r="Q308" s="51">
        <f t="shared" si="13"/>
        <v>150000</v>
      </c>
      <c r="R308" s="48"/>
      <c r="S308" s="24">
        <v>124626</v>
      </c>
      <c r="T308" s="43">
        <v>45808</v>
      </c>
      <c r="U308" s="43" t="s">
        <v>383</v>
      </c>
      <c r="V308" s="46" t="s">
        <v>25</v>
      </c>
      <c r="W308" s="52"/>
    </row>
    <row r="309" spans="1:23" s="27" customFormat="1" ht="34.950000000000003" customHeight="1" x14ac:dyDescent="0.25">
      <c r="A309" s="12">
        <f>SUBTOTAL(3,$B$2:B309)</f>
        <v>308</v>
      </c>
      <c r="B309" s="42">
        <v>72</v>
      </c>
      <c r="C309" s="43">
        <v>45810</v>
      </c>
      <c r="D309" s="42">
        <v>0</v>
      </c>
      <c r="E309" s="43">
        <v>0</v>
      </c>
      <c r="F309" s="79" t="s">
        <v>380</v>
      </c>
      <c r="G309" s="71" t="s">
        <v>398</v>
      </c>
      <c r="H309" s="76" t="s">
        <v>16</v>
      </c>
      <c r="I309" s="46"/>
      <c r="J309" s="43"/>
      <c r="K309" s="73">
        <v>172</v>
      </c>
      <c r="L309" s="62">
        <f t="shared" si="12"/>
        <v>172</v>
      </c>
      <c r="M309" s="48">
        <f t="shared" si="14"/>
        <v>163400</v>
      </c>
      <c r="N309" s="48">
        <v>950</v>
      </c>
      <c r="O309" s="50"/>
      <c r="P309" s="50"/>
      <c r="Q309" s="51">
        <f t="shared" si="13"/>
        <v>163400</v>
      </c>
      <c r="R309" s="48"/>
      <c r="S309" s="24">
        <v>236705</v>
      </c>
      <c r="T309" s="43">
        <v>45810</v>
      </c>
      <c r="U309" s="43" t="s">
        <v>296</v>
      </c>
      <c r="V309" s="46" t="s">
        <v>25</v>
      </c>
      <c r="W309" s="52"/>
    </row>
    <row r="310" spans="1:23" s="27" customFormat="1" ht="34.950000000000003" customHeight="1" x14ac:dyDescent="0.25">
      <c r="A310" s="12">
        <f>SUBTOTAL(3,$B$2:B310)</f>
        <v>309</v>
      </c>
      <c r="B310" s="42">
        <v>72</v>
      </c>
      <c r="C310" s="43">
        <v>45810</v>
      </c>
      <c r="D310" s="42">
        <v>0</v>
      </c>
      <c r="E310" s="43">
        <v>0</v>
      </c>
      <c r="F310" s="79" t="s">
        <v>380</v>
      </c>
      <c r="G310" s="71" t="s">
        <v>409</v>
      </c>
      <c r="H310" s="76" t="s">
        <v>16</v>
      </c>
      <c r="I310" s="46"/>
      <c r="J310" s="43"/>
      <c r="K310" s="73">
        <v>15</v>
      </c>
      <c r="L310" s="62">
        <f t="shared" si="12"/>
        <v>15</v>
      </c>
      <c r="M310" s="48">
        <f t="shared" si="14"/>
        <v>14250</v>
      </c>
      <c r="N310" s="48">
        <v>950</v>
      </c>
      <c r="O310" s="50"/>
      <c r="P310" s="50"/>
      <c r="Q310" s="51">
        <f t="shared" si="13"/>
        <v>14250</v>
      </c>
      <c r="R310" s="48"/>
      <c r="S310" s="24">
        <v>236705</v>
      </c>
      <c r="T310" s="43">
        <v>45810</v>
      </c>
      <c r="U310" s="43" t="s">
        <v>296</v>
      </c>
      <c r="V310" s="46" t="s">
        <v>25</v>
      </c>
      <c r="W310" s="52"/>
    </row>
    <row r="311" spans="1:23" s="27" customFormat="1" ht="34.950000000000003" customHeight="1" x14ac:dyDescent="0.25">
      <c r="A311" s="12">
        <f>SUBTOTAL(3,$B$2:B311)</f>
        <v>310</v>
      </c>
      <c r="B311" s="42">
        <v>73</v>
      </c>
      <c r="C311" s="43">
        <v>45811</v>
      </c>
      <c r="D311" s="42">
        <v>0</v>
      </c>
      <c r="E311" s="43">
        <v>0</v>
      </c>
      <c r="F311" s="79" t="s">
        <v>380</v>
      </c>
      <c r="G311" s="71" t="s">
        <v>398</v>
      </c>
      <c r="H311" s="76" t="s">
        <v>16</v>
      </c>
      <c r="I311" s="46"/>
      <c r="J311" s="43"/>
      <c r="K311" s="73">
        <v>180</v>
      </c>
      <c r="L311" s="62">
        <f t="shared" si="12"/>
        <v>180</v>
      </c>
      <c r="M311" s="48">
        <f t="shared" si="14"/>
        <v>209627</v>
      </c>
      <c r="N311" s="48">
        <v>1164.5944444444444</v>
      </c>
      <c r="O311" s="50"/>
      <c r="P311" s="50"/>
      <c r="Q311" s="51">
        <f t="shared" si="13"/>
        <v>209627</v>
      </c>
      <c r="R311" s="48"/>
      <c r="S311" s="24">
        <v>236707</v>
      </c>
      <c r="T311" s="43">
        <v>45811</v>
      </c>
      <c r="U311" s="43" t="s">
        <v>296</v>
      </c>
      <c r="V311" s="46" t="s">
        <v>25</v>
      </c>
      <c r="W311" s="52"/>
    </row>
    <row r="312" spans="1:23" s="27" customFormat="1" ht="34.950000000000003" customHeight="1" x14ac:dyDescent="0.25">
      <c r="A312" s="12">
        <f>SUBTOTAL(3,$B$2:B312)</f>
        <v>311</v>
      </c>
      <c r="B312" s="13">
        <v>74</v>
      </c>
      <c r="C312" s="14">
        <v>45811</v>
      </c>
      <c r="D312" s="13">
        <v>0</v>
      </c>
      <c r="E312" s="14">
        <v>0</v>
      </c>
      <c r="F312" s="84" t="s">
        <v>410</v>
      </c>
      <c r="G312" s="77" t="s">
        <v>60</v>
      </c>
      <c r="H312" s="78" t="s">
        <v>16</v>
      </c>
      <c r="I312" s="16"/>
      <c r="J312" s="14"/>
      <c r="K312" s="75">
        <v>2</v>
      </c>
      <c r="L312" s="21">
        <f t="shared" si="12"/>
        <v>2</v>
      </c>
      <c r="M312" s="20">
        <f t="shared" si="14"/>
        <v>580</v>
      </c>
      <c r="N312" s="20">
        <v>290</v>
      </c>
      <c r="O312" s="22"/>
      <c r="P312" s="22"/>
      <c r="Q312" s="23">
        <f t="shared" si="13"/>
        <v>580</v>
      </c>
      <c r="R312" s="20"/>
      <c r="S312" s="18">
        <v>362</v>
      </c>
      <c r="T312" s="14">
        <v>45811</v>
      </c>
      <c r="U312" s="14" t="s">
        <v>91</v>
      </c>
      <c r="V312" s="16" t="s">
        <v>18</v>
      </c>
      <c r="W312" s="25" t="s">
        <v>34</v>
      </c>
    </row>
    <row r="313" spans="1:23" s="27" customFormat="1" ht="34.950000000000003" customHeight="1" x14ac:dyDescent="0.25">
      <c r="A313" s="12">
        <f>SUBTOTAL(3,$B$2:B313)</f>
        <v>312</v>
      </c>
      <c r="B313" s="13">
        <v>74</v>
      </c>
      <c r="C313" s="14">
        <v>45811</v>
      </c>
      <c r="D313" s="13">
        <v>0</v>
      </c>
      <c r="E313" s="14">
        <v>0</v>
      </c>
      <c r="F313" s="84" t="s">
        <v>410</v>
      </c>
      <c r="G313" s="77" t="s">
        <v>411</v>
      </c>
      <c r="H313" s="78" t="s">
        <v>16</v>
      </c>
      <c r="I313" s="16"/>
      <c r="J313" s="14"/>
      <c r="K313" s="75">
        <v>1</v>
      </c>
      <c r="L313" s="21">
        <f t="shared" si="12"/>
        <v>1</v>
      </c>
      <c r="M313" s="20">
        <f t="shared" si="14"/>
        <v>250</v>
      </c>
      <c r="N313" s="20">
        <v>250</v>
      </c>
      <c r="O313" s="22"/>
      <c r="P313" s="22"/>
      <c r="Q313" s="23">
        <f t="shared" si="13"/>
        <v>250</v>
      </c>
      <c r="R313" s="20"/>
      <c r="S313" s="18">
        <v>362</v>
      </c>
      <c r="T313" s="14">
        <v>45811</v>
      </c>
      <c r="U313" s="14" t="s">
        <v>91</v>
      </c>
      <c r="V313" s="16" t="s">
        <v>18</v>
      </c>
      <c r="W313" s="25" t="s">
        <v>112</v>
      </c>
    </row>
    <row r="314" spans="1:23" s="27" customFormat="1" ht="34.950000000000003" customHeight="1" x14ac:dyDescent="0.25">
      <c r="A314" s="12">
        <f>SUBTOTAL(3,$B$2:B314)</f>
        <v>313</v>
      </c>
      <c r="B314" s="13">
        <v>74</v>
      </c>
      <c r="C314" s="14">
        <v>45811</v>
      </c>
      <c r="D314" s="13">
        <v>0</v>
      </c>
      <c r="E314" s="14">
        <v>0</v>
      </c>
      <c r="F314" s="84" t="s">
        <v>410</v>
      </c>
      <c r="G314" s="25" t="s">
        <v>412</v>
      </c>
      <c r="H314" s="16" t="s">
        <v>16</v>
      </c>
      <c r="I314" s="16"/>
      <c r="J314" s="14"/>
      <c r="K314" s="75">
        <v>1</v>
      </c>
      <c r="L314" s="21">
        <f t="shared" si="12"/>
        <v>1</v>
      </c>
      <c r="M314" s="20">
        <f t="shared" si="14"/>
        <v>120</v>
      </c>
      <c r="N314" s="20">
        <v>120</v>
      </c>
      <c r="O314" s="22"/>
      <c r="P314" s="22"/>
      <c r="Q314" s="23">
        <f t="shared" si="13"/>
        <v>120</v>
      </c>
      <c r="R314" s="20"/>
      <c r="S314" s="18">
        <v>362</v>
      </c>
      <c r="T314" s="14">
        <v>45811</v>
      </c>
      <c r="U314" s="14" t="s">
        <v>91</v>
      </c>
      <c r="V314" s="16" t="s">
        <v>18</v>
      </c>
      <c r="W314" s="25" t="s">
        <v>112</v>
      </c>
    </row>
    <row r="315" spans="1:23" s="27" customFormat="1" ht="34.950000000000003" customHeight="1" x14ac:dyDescent="0.35">
      <c r="A315" s="12">
        <f>SUBTOTAL(3,$B$2:B315)</f>
        <v>314</v>
      </c>
      <c r="B315" s="13">
        <v>74</v>
      </c>
      <c r="C315" s="14">
        <v>45811</v>
      </c>
      <c r="D315" s="13">
        <v>0</v>
      </c>
      <c r="E315" s="14">
        <v>0</v>
      </c>
      <c r="F315" s="84" t="s">
        <v>410</v>
      </c>
      <c r="G315" s="26" t="s">
        <v>57</v>
      </c>
      <c r="H315" s="74" t="s">
        <v>16</v>
      </c>
      <c r="I315" s="16"/>
      <c r="J315" s="14"/>
      <c r="K315" s="75">
        <v>2</v>
      </c>
      <c r="L315" s="21">
        <f t="shared" si="12"/>
        <v>2</v>
      </c>
      <c r="M315" s="20">
        <f t="shared" si="14"/>
        <v>40</v>
      </c>
      <c r="N315" s="20">
        <v>20</v>
      </c>
      <c r="O315" s="22"/>
      <c r="P315" s="22"/>
      <c r="Q315" s="23">
        <f t="shared" si="13"/>
        <v>40</v>
      </c>
      <c r="R315" s="20"/>
      <c r="S315" s="18">
        <v>362</v>
      </c>
      <c r="T315" s="14">
        <v>45811</v>
      </c>
      <c r="U315" s="14" t="s">
        <v>91</v>
      </c>
      <c r="V315" s="16" t="s">
        <v>18</v>
      </c>
      <c r="W315" s="61" t="s">
        <v>34</v>
      </c>
    </row>
    <row r="316" spans="1:23" s="27" customFormat="1" ht="34.950000000000003" customHeight="1" x14ac:dyDescent="0.35">
      <c r="A316" s="12">
        <f>SUBTOTAL(3,$B$2:B316)</f>
        <v>315</v>
      </c>
      <c r="B316" s="42">
        <v>75</v>
      </c>
      <c r="C316" s="43">
        <v>45812</v>
      </c>
      <c r="D316" s="42">
        <v>82507310007</v>
      </c>
      <c r="E316" s="44">
        <v>45869</v>
      </c>
      <c r="F316" s="79" t="s">
        <v>35</v>
      </c>
      <c r="G316" s="53" t="s">
        <v>36</v>
      </c>
      <c r="H316" s="72" t="s">
        <v>37</v>
      </c>
      <c r="I316" s="46" t="s">
        <v>38</v>
      </c>
      <c r="J316" s="43">
        <v>45733</v>
      </c>
      <c r="K316" s="55">
        <v>6</v>
      </c>
      <c r="L316" s="49">
        <f t="shared" si="12"/>
        <v>6</v>
      </c>
      <c r="M316" s="48">
        <f t="shared" si="14"/>
        <v>19321.98</v>
      </c>
      <c r="N316" s="48">
        <v>3220.33</v>
      </c>
      <c r="O316" s="50">
        <v>9</v>
      </c>
      <c r="P316" s="50">
        <v>9</v>
      </c>
      <c r="Q316" s="51">
        <f t="shared" si="13"/>
        <v>22799.936399999999</v>
      </c>
      <c r="R316" s="48"/>
      <c r="S316" s="24" t="s">
        <v>413</v>
      </c>
      <c r="T316" s="43">
        <v>45812</v>
      </c>
      <c r="U316" s="43" t="s">
        <v>230</v>
      </c>
      <c r="V316" s="46" t="s">
        <v>33</v>
      </c>
      <c r="W316" s="54" t="s">
        <v>34</v>
      </c>
    </row>
    <row r="317" spans="1:23" s="27" customFormat="1" ht="34.950000000000003" customHeight="1" x14ac:dyDescent="0.25">
      <c r="A317" s="12">
        <f>SUBTOTAL(3,$B$2:B317)</f>
        <v>316</v>
      </c>
      <c r="B317" s="42">
        <v>76</v>
      </c>
      <c r="C317" s="43">
        <v>45812</v>
      </c>
      <c r="D317" s="42">
        <v>82507310008</v>
      </c>
      <c r="E317" s="44">
        <v>45869</v>
      </c>
      <c r="F317" s="79" t="s">
        <v>35</v>
      </c>
      <c r="G317" s="71" t="s">
        <v>36</v>
      </c>
      <c r="H317" s="76" t="s">
        <v>37</v>
      </c>
      <c r="I317" s="46" t="s">
        <v>38</v>
      </c>
      <c r="J317" s="43">
        <v>45733</v>
      </c>
      <c r="K317" s="55">
        <v>4</v>
      </c>
      <c r="L317" s="49">
        <f t="shared" si="12"/>
        <v>4</v>
      </c>
      <c r="M317" s="48">
        <f t="shared" si="14"/>
        <v>12881.32</v>
      </c>
      <c r="N317" s="48">
        <v>3220.33</v>
      </c>
      <c r="O317" s="50">
        <v>9</v>
      </c>
      <c r="P317" s="50">
        <v>9</v>
      </c>
      <c r="Q317" s="51">
        <f t="shared" si="13"/>
        <v>15199.9576</v>
      </c>
      <c r="R317" s="48"/>
      <c r="S317" s="24" t="s">
        <v>414</v>
      </c>
      <c r="T317" s="43">
        <v>45812</v>
      </c>
      <c r="U317" s="43" t="s">
        <v>415</v>
      </c>
      <c r="V317" s="46" t="s">
        <v>33</v>
      </c>
      <c r="W317" s="54" t="s">
        <v>34</v>
      </c>
    </row>
    <row r="318" spans="1:23" s="27" customFormat="1" ht="34.950000000000003" customHeight="1" x14ac:dyDescent="0.25">
      <c r="A318" s="12">
        <f>SUBTOTAL(3,$B$2:B318)</f>
        <v>317</v>
      </c>
      <c r="B318" s="42">
        <v>77</v>
      </c>
      <c r="C318" s="43">
        <v>45814</v>
      </c>
      <c r="D318" s="42">
        <v>82507310009</v>
      </c>
      <c r="E318" s="44">
        <v>45869</v>
      </c>
      <c r="F318" s="45" t="s">
        <v>35</v>
      </c>
      <c r="G318" s="52" t="s">
        <v>36</v>
      </c>
      <c r="H318" s="46" t="s">
        <v>37</v>
      </c>
      <c r="I318" s="46" t="s">
        <v>38</v>
      </c>
      <c r="J318" s="43">
        <v>45733</v>
      </c>
      <c r="K318" s="55">
        <v>5</v>
      </c>
      <c r="L318" s="49">
        <f t="shared" si="12"/>
        <v>5</v>
      </c>
      <c r="M318" s="48">
        <f t="shared" si="14"/>
        <v>16101.65</v>
      </c>
      <c r="N318" s="48">
        <v>3220.33</v>
      </c>
      <c r="O318" s="50">
        <v>9</v>
      </c>
      <c r="P318" s="50">
        <v>9</v>
      </c>
      <c r="Q318" s="51">
        <f t="shared" si="13"/>
        <v>18999.947</v>
      </c>
      <c r="R318" s="48"/>
      <c r="S318" s="64" t="s">
        <v>416</v>
      </c>
      <c r="T318" s="43">
        <v>45814</v>
      </c>
      <c r="U318" s="24" t="s">
        <v>415</v>
      </c>
      <c r="V318" s="46" t="s">
        <v>33</v>
      </c>
      <c r="W318" s="54" t="s">
        <v>34</v>
      </c>
    </row>
    <row r="319" spans="1:23" s="27" customFormat="1" ht="34.950000000000003" customHeight="1" x14ac:dyDescent="0.35">
      <c r="A319" s="12">
        <f>SUBTOTAL(3,$B$2:B319)</f>
        <v>318</v>
      </c>
      <c r="B319" s="42">
        <v>78</v>
      </c>
      <c r="C319" s="43">
        <v>45817</v>
      </c>
      <c r="D319" s="42">
        <v>0</v>
      </c>
      <c r="E319" s="43">
        <v>0</v>
      </c>
      <c r="F319" s="45" t="s">
        <v>380</v>
      </c>
      <c r="G319" s="71" t="s">
        <v>381</v>
      </c>
      <c r="H319" s="72" t="s">
        <v>16</v>
      </c>
      <c r="I319" s="46"/>
      <c r="J319" s="43"/>
      <c r="K319" s="73">
        <v>400</v>
      </c>
      <c r="L319" s="62">
        <f t="shared" si="12"/>
        <v>400</v>
      </c>
      <c r="M319" s="48">
        <f t="shared" si="14"/>
        <v>237288</v>
      </c>
      <c r="N319" s="48">
        <v>593.22</v>
      </c>
      <c r="O319" s="50"/>
      <c r="P319" s="50"/>
      <c r="Q319" s="51">
        <f t="shared" si="13"/>
        <v>237288</v>
      </c>
      <c r="R319" s="48"/>
      <c r="S319" s="64">
        <v>236708</v>
      </c>
      <c r="T319" s="43">
        <v>45817</v>
      </c>
      <c r="U319" s="24" t="s">
        <v>296</v>
      </c>
      <c r="V319" s="46" t="s">
        <v>25</v>
      </c>
      <c r="W319" s="54"/>
    </row>
    <row r="320" spans="1:23" s="27" customFormat="1" ht="34.950000000000003" customHeight="1" x14ac:dyDescent="0.35">
      <c r="A320" s="12">
        <f>SUBTOTAL(3,$B$2:B320)</f>
        <v>319</v>
      </c>
      <c r="B320" s="42">
        <v>79</v>
      </c>
      <c r="C320" s="43">
        <v>45818</v>
      </c>
      <c r="D320" s="42">
        <v>0</v>
      </c>
      <c r="E320" s="43">
        <v>0</v>
      </c>
      <c r="F320" s="45" t="s">
        <v>380</v>
      </c>
      <c r="G320" s="53" t="s">
        <v>381</v>
      </c>
      <c r="H320" s="72" t="s">
        <v>16</v>
      </c>
      <c r="I320" s="46"/>
      <c r="J320" s="43"/>
      <c r="K320" s="73">
        <v>400</v>
      </c>
      <c r="L320" s="62">
        <f t="shared" si="12"/>
        <v>400</v>
      </c>
      <c r="M320" s="48">
        <f t="shared" si="14"/>
        <v>280000</v>
      </c>
      <c r="N320" s="48">
        <v>700</v>
      </c>
      <c r="O320" s="50"/>
      <c r="P320" s="50"/>
      <c r="Q320" s="51">
        <f t="shared" si="13"/>
        <v>280000</v>
      </c>
      <c r="R320" s="48"/>
      <c r="S320" s="64">
        <v>236709</v>
      </c>
      <c r="T320" s="43">
        <v>45818</v>
      </c>
      <c r="U320" s="24" t="s">
        <v>296</v>
      </c>
      <c r="V320" s="46" t="s">
        <v>25</v>
      </c>
      <c r="W320" s="54"/>
    </row>
    <row r="321" spans="1:23" s="27" customFormat="1" ht="34.950000000000003" customHeight="1" x14ac:dyDescent="0.35">
      <c r="A321" s="12">
        <f>SUBTOTAL(3,$B$2:B321)</f>
        <v>320</v>
      </c>
      <c r="B321" s="42">
        <v>80</v>
      </c>
      <c r="C321" s="43">
        <v>45819</v>
      </c>
      <c r="D321" s="42">
        <v>82508230010</v>
      </c>
      <c r="E321" s="43">
        <v>45892</v>
      </c>
      <c r="F321" s="45" t="s">
        <v>417</v>
      </c>
      <c r="G321" s="53" t="s">
        <v>418</v>
      </c>
      <c r="H321" s="72" t="s">
        <v>23</v>
      </c>
      <c r="I321" s="46"/>
      <c r="J321" s="43"/>
      <c r="K321" s="73">
        <v>90</v>
      </c>
      <c r="L321" s="49">
        <f t="shared" si="12"/>
        <v>90</v>
      </c>
      <c r="M321" s="48">
        <f t="shared" si="14"/>
        <v>11400.3</v>
      </c>
      <c r="N321" s="48">
        <v>126.67</v>
      </c>
      <c r="O321" s="50">
        <v>9</v>
      </c>
      <c r="P321" s="50">
        <v>9</v>
      </c>
      <c r="Q321" s="51">
        <f t="shared" si="13"/>
        <v>13452.353999999998</v>
      </c>
      <c r="R321" s="48"/>
      <c r="S321" s="64">
        <v>4973</v>
      </c>
      <c r="T321" s="43">
        <v>45818</v>
      </c>
      <c r="U321" s="24" t="s">
        <v>419</v>
      </c>
      <c r="V321" s="46" t="s">
        <v>247</v>
      </c>
      <c r="W321" s="54" t="s">
        <v>34</v>
      </c>
    </row>
    <row r="322" spans="1:23" s="27" customFormat="1" ht="34.950000000000003" customHeight="1" x14ac:dyDescent="0.35">
      <c r="A322" s="12">
        <f>SUBTOTAL(3,$B$2:B322)</f>
        <v>321</v>
      </c>
      <c r="B322" s="42">
        <v>81</v>
      </c>
      <c r="C322" s="43">
        <v>45820</v>
      </c>
      <c r="D322" s="42">
        <v>0</v>
      </c>
      <c r="E322" s="43">
        <v>0</v>
      </c>
      <c r="F322" s="45" t="s">
        <v>380</v>
      </c>
      <c r="G322" s="53" t="s">
        <v>398</v>
      </c>
      <c r="H322" s="72" t="s">
        <v>16</v>
      </c>
      <c r="I322" s="46"/>
      <c r="J322" s="43"/>
      <c r="K322" s="73">
        <v>180</v>
      </c>
      <c r="L322" s="62">
        <f t="shared" ref="L322:L385" si="15">K322</f>
        <v>180</v>
      </c>
      <c r="M322" s="48">
        <f t="shared" si="14"/>
        <v>209627</v>
      </c>
      <c r="N322" s="48">
        <v>1164.5944444444444</v>
      </c>
      <c r="O322" s="50"/>
      <c r="P322" s="50"/>
      <c r="Q322" s="51">
        <f t="shared" ref="Q322:Q385" si="16">IF(M322="","",M322*(1+(O322+P322)/100))</f>
        <v>209627</v>
      </c>
      <c r="R322" s="48"/>
      <c r="S322" s="64">
        <v>236710</v>
      </c>
      <c r="T322" s="43" t="s">
        <v>420</v>
      </c>
      <c r="U322" s="24" t="s">
        <v>296</v>
      </c>
      <c r="V322" s="46" t="s">
        <v>25</v>
      </c>
      <c r="W322" s="54"/>
    </row>
    <row r="323" spans="1:23" s="27" customFormat="1" ht="34.950000000000003" customHeight="1" x14ac:dyDescent="0.35">
      <c r="A323" s="12">
        <f>SUBTOTAL(3,$B$2:B323)</f>
        <v>322</v>
      </c>
      <c r="B323" s="42">
        <v>82</v>
      </c>
      <c r="C323" s="43">
        <v>45820</v>
      </c>
      <c r="D323" s="42">
        <v>0</v>
      </c>
      <c r="E323" s="44">
        <v>0</v>
      </c>
      <c r="F323" s="45" t="s">
        <v>267</v>
      </c>
      <c r="G323" s="53" t="s">
        <v>421</v>
      </c>
      <c r="H323" s="72" t="s">
        <v>16</v>
      </c>
      <c r="I323" s="46"/>
      <c r="J323" s="43"/>
      <c r="K323" s="73">
        <v>3</v>
      </c>
      <c r="L323" s="49">
        <f t="shared" si="15"/>
        <v>3</v>
      </c>
      <c r="M323" s="48">
        <f t="shared" si="14"/>
        <v>84600</v>
      </c>
      <c r="N323" s="48">
        <v>28200</v>
      </c>
      <c r="O323" s="50">
        <v>9</v>
      </c>
      <c r="P323" s="50">
        <v>9</v>
      </c>
      <c r="Q323" s="51">
        <f t="shared" si="16"/>
        <v>99828</v>
      </c>
      <c r="R323" s="48"/>
      <c r="S323" s="64" t="s">
        <v>422</v>
      </c>
      <c r="T323" s="43">
        <v>45812</v>
      </c>
      <c r="U323" s="24" t="s">
        <v>423</v>
      </c>
      <c r="V323" s="46" t="s">
        <v>33</v>
      </c>
      <c r="W323" s="54" t="s">
        <v>166</v>
      </c>
    </row>
    <row r="324" spans="1:23" s="27" customFormat="1" ht="34.950000000000003" customHeight="1" x14ac:dyDescent="0.35">
      <c r="A324" s="12">
        <f>SUBTOTAL(3,$B$2:B324)</f>
        <v>323</v>
      </c>
      <c r="B324" s="42">
        <v>82</v>
      </c>
      <c r="C324" s="43">
        <v>45820</v>
      </c>
      <c r="D324" s="42">
        <v>0</v>
      </c>
      <c r="E324" s="44">
        <v>0</v>
      </c>
      <c r="F324" s="45" t="s">
        <v>267</v>
      </c>
      <c r="G324" s="71" t="s">
        <v>424</v>
      </c>
      <c r="H324" s="72" t="s">
        <v>16</v>
      </c>
      <c r="I324" s="46"/>
      <c r="J324" s="43"/>
      <c r="K324" s="73">
        <v>1</v>
      </c>
      <c r="L324" s="49">
        <f t="shared" si="15"/>
        <v>1</v>
      </c>
      <c r="M324" s="48">
        <f t="shared" ref="M324:M387" si="17">L324*N324</f>
        <v>58500</v>
      </c>
      <c r="N324" s="48">
        <v>58500</v>
      </c>
      <c r="O324" s="50">
        <v>9</v>
      </c>
      <c r="P324" s="50">
        <v>9</v>
      </c>
      <c r="Q324" s="51">
        <f t="shared" si="16"/>
        <v>69030</v>
      </c>
      <c r="R324" s="48"/>
      <c r="S324" s="64" t="s">
        <v>422</v>
      </c>
      <c r="T324" s="43">
        <v>45812</v>
      </c>
      <c r="U324" s="24" t="s">
        <v>423</v>
      </c>
      <c r="V324" s="46" t="s">
        <v>33</v>
      </c>
      <c r="W324" s="54" t="s">
        <v>166</v>
      </c>
    </row>
    <row r="325" spans="1:23" s="27" customFormat="1" ht="34.950000000000003" customHeight="1" x14ac:dyDescent="0.35">
      <c r="A325" s="12">
        <f>SUBTOTAL(3,$B$2:B325)</f>
        <v>324</v>
      </c>
      <c r="B325" s="42">
        <v>82</v>
      </c>
      <c r="C325" s="43">
        <v>45820</v>
      </c>
      <c r="D325" s="42">
        <v>0</v>
      </c>
      <c r="E325" s="44">
        <v>0</v>
      </c>
      <c r="F325" s="45" t="s">
        <v>267</v>
      </c>
      <c r="G325" s="53" t="s">
        <v>425</v>
      </c>
      <c r="H325" s="72" t="s">
        <v>16</v>
      </c>
      <c r="I325" s="46"/>
      <c r="J325" s="43"/>
      <c r="K325" s="73">
        <v>1</v>
      </c>
      <c r="L325" s="49">
        <f t="shared" si="15"/>
        <v>1</v>
      </c>
      <c r="M325" s="48">
        <f t="shared" si="17"/>
        <v>47000</v>
      </c>
      <c r="N325" s="48">
        <v>47000</v>
      </c>
      <c r="O325" s="50">
        <v>9</v>
      </c>
      <c r="P325" s="50">
        <v>9</v>
      </c>
      <c r="Q325" s="51">
        <f t="shared" si="16"/>
        <v>55460</v>
      </c>
      <c r="R325" s="48"/>
      <c r="S325" s="64" t="s">
        <v>422</v>
      </c>
      <c r="T325" s="43">
        <v>45812</v>
      </c>
      <c r="U325" s="24" t="s">
        <v>423</v>
      </c>
      <c r="V325" s="46" t="s">
        <v>33</v>
      </c>
      <c r="W325" s="54" t="s">
        <v>166</v>
      </c>
    </row>
    <row r="326" spans="1:23" s="27" customFormat="1" ht="34.950000000000003" customHeight="1" x14ac:dyDescent="0.25">
      <c r="A326" s="12">
        <f>SUBTOTAL(3,$B$2:B326)</f>
        <v>325</v>
      </c>
      <c r="B326" s="42">
        <v>82</v>
      </c>
      <c r="C326" s="43">
        <v>45820</v>
      </c>
      <c r="D326" s="42">
        <v>0</v>
      </c>
      <c r="E326" s="44">
        <v>0</v>
      </c>
      <c r="F326" s="45" t="s">
        <v>267</v>
      </c>
      <c r="G326" s="71" t="s">
        <v>426</v>
      </c>
      <c r="H326" s="76" t="s">
        <v>16</v>
      </c>
      <c r="I326" s="46"/>
      <c r="J326" s="43"/>
      <c r="K326" s="73">
        <v>1</v>
      </c>
      <c r="L326" s="49">
        <f t="shared" si="15"/>
        <v>1</v>
      </c>
      <c r="M326" s="48">
        <f t="shared" si="17"/>
        <v>67600</v>
      </c>
      <c r="N326" s="48">
        <v>67600</v>
      </c>
      <c r="O326" s="50">
        <v>9</v>
      </c>
      <c r="P326" s="50">
        <v>9</v>
      </c>
      <c r="Q326" s="51">
        <f t="shared" si="16"/>
        <v>79768</v>
      </c>
      <c r="R326" s="48"/>
      <c r="S326" s="64" t="s">
        <v>422</v>
      </c>
      <c r="T326" s="43">
        <v>45812</v>
      </c>
      <c r="U326" s="24" t="s">
        <v>423</v>
      </c>
      <c r="V326" s="46" t="s">
        <v>33</v>
      </c>
      <c r="W326" s="54" t="s">
        <v>166</v>
      </c>
    </row>
    <row r="327" spans="1:23" s="27" customFormat="1" ht="34.950000000000003" customHeight="1" x14ac:dyDescent="0.25">
      <c r="A327" s="12">
        <f>SUBTOTAL(3,$B$2:B327)</f>
        <v>326</v>
      </c>
      <c r="B327" s="42">
        <v>82</v>
      </c>
      <c r="C327" s="43">
        <v>45820</v>
      </c>
      <c r="D327" s="42">
        <v>0</v>
      </c>
      <c r="E327" s="44">
        <v>0</v>
      </c>
      <c r="F327" s="45" t="s">
        <v>267</v>
      </c>
      <c r="G327" s="71" t="s">
        <v>427</v>
      </c>
      <c r="H327" s="76" t="s">
        <v>16</v>
      </c>
      <c r="I327" s="46"/>
      <c r="J327" s="43"/>
      <c r="K327" s="73">
        <v>1</v>
      </c>
      <c r="L327" s="49">
        <f t="shared" si="15"/>
        <v>1</v>
      </c>
      <c r="M327" s="48">
        <f t="shared" si="17"/>
        <v>2000</v>
      </c>
      <c r="N327" s="48">
        <v>2000</v>
      </c>
      <c r="O327" s="50">
        <v>9</v>
      </c>
      <c r="P327" s="50">
        <v>9</v>
      </c>
      <c r="Q327" s="51">
        <f t="shared" si="16"/>
        <v>2360</v>
      </c>
      <c r="R327" s="48"/>
      <c r="S327" s="64" t="s">
        <v>422</v>
      </c>
      <c r="T327" s="43">
        <v>45812</v>
      </c>
      <c r="U327" s="24" t="s">
        <v>423</v>
      </c>
      <c r="V327" s="46" t="s">
        <v>33</v>
      </c>
      <c r="W327" s="54" t="s">
        <v>34</v>
      </c>
    </row>
    <row r="328" spans="1:23" s="27" customFormat="1" ht="34.950000000000003" customHeight="1" x14ac:dyDescent="0.25">
      <c r="A328" s="12">
        <f>SUBTOTAL(3,$B$2:B328)</f>
        <v>327</v>
      </c>
      <c r="B328" s="42">
        <v>83</v>
      </c>
      <c r="C328" s="43">
        <v>45822</v>
      </c>
      <c r="D328" s="42">
        <v>0</v>
      </c>
      <c r="E328" s="44">
        <v>0</v>
      </c>
      <c r="F328" s="45" t="s">
        <v>428</v>
      </c>
      <c r="G328" s="71" t="s">
        <v>429</v>
      </c>
      <c r="H328" s="76" t="s">
        <v>16</v>
      </c>
      <c r="I328" s="46"/>
      <c r="J328" s="43"/>
      <c r="K328" s="73">
        <v>1</v>
      </c>
      <c r="L328" s="49">
        <f t="shared" si="15"/>
        <v>1</v>
      </c>
      <c r="M328" s="48">
        <f t="shared" si="17"/>
        <v>34734</v>
      </c>
      <c r="N328" s="48">
        <v>34734</v>
      </c>
      <c r="O328" s="50">
        <v>9</v>
      </c>
      <c r="P328" s="50">
        <v>9</v>
      </c>
      <c r="Q328" s="51">
        <f t="shared" si="16"/>
        <v>40986.119999999995</v>
      </c>
      <c r="R328" s="48"/>
      <c r="S328" s="64" t="s">
        <v>430</v>
      </c>
      <c r="T328" s="43">
        <v>45821</v>
      </c>
      <c r="U328" s="24" t="s">
        <v>431</v>
      </c>
      <c r="V328" s="46" t="s">
        <v>33</v>
      </c>
      <c r="W328" s="54" t="s">
        <v>166</v>
      </c>
    </row>
    <row r="329" spans="1:23" s="27" customFormat="1" ht="34.950000000000003" customHeight="1" x14ac:dyDescent="0.25">
      <c r="A329" s="12">
        <f>SUBTOTAL(3,$B$2:B329)</f>
        <v>328</v>
      </c>
      <c r="B329" s="42">
        <v>83</v>
      </c>
      <c r="C329" s="43">
        <v>45822</v>
      </c>
      <c r="D329" s="42">
        <v>0</v>
      </c>
      <c r="E329" s="44">
        <v>0</v>
      </c>
      <c r="F329" s="45" t="s">
        <v>428</v>
      </c>
      <c r="G329" s="71" t="s">
        <v>432</v>
      </c>
      <c r="H329" s="76" t="s">
        <v>16</v>
      </c>
      <c r="I329" s="46"/>
      <c r="J329" s="43"/>
      <c r="K329" s="73">
        <v>1</v>
      </c>
      <c r="L329" s="49">
        <f t="shared" si="15"/>
        <v>1</v>
      </c>
      <c r="M329" s="48">
        <f t="shared" si="17"/>
        <v>25244</v>
      </c>
      <c r="N329" s="48">
        <v>25244</v>
      </c>
      <c r="O329" s="50">
        <v>9</v>
      </c>
      <c r="P329" s="50">
        <v>9</v>
      </c>
      <c r="Q329" s="51">
        <f t="shared" si="16"/>
        <v>29787.919999999998</v>
      </c>
      <c r="R329" s="48"/>
      <c r="S329" s="64" t="s">
        <v>430</v>
      </c>
      <c r="T329" s="43">
        <v>45821</v>
      </c>
      <c r="U329" s="24" t="s">
        <v>431</v>
      </c>
      <c r="V329" s="46" t="s">
        <v>33</v>
      </c>
      <c r="W329" s="54" t="s">
        <v>166</v>
      </c>
    </row>
    <row r="330" spans="1:23" s="27" customFormat="1" ht="34.950000000000003" customHeight="1" x14ac:dyDescent="0.25">
      <c r="A330" s="12">
        <f>SUBTOTAL(3,$B$2:B330)</f>
        <v>329</v>
      </c>
      <c r="B330" s="13">
        <v>84</v>
      </c>
      <c r="C330" s="14">
        <v>45824</v>
      </c>
      <c r="D330" s="13">
        <v>0</v>
      </c>
      <c r="E330" s="14">
        <v>0</v>
      </c>
      <c r="F330" s="15" t="s">
        <v>110</v>
      </c>
      <c r="G330" s="77" t="s">
        <v>57</v>
      </c>
      <c r="H330" s="78" t="s">
        <v>16</v>
      </c>
      <c r="I330" s="16"/>
      <c r="J330" s="14"/>
      <c r="K330" s="75">
        <v>15</v>
      </c>
      <c r="L330" s="21">
        <f t="shared" si="15"/>
        <v>15</v>
      </c>
      <c r="M330" s="20">
        <f t="shared" si="17"/>
        <v>150</v>
      </c>
      <c r="N330" s="20">
        <v>10</v>
      </c>
      <c r="O330" s="22">
        <v>0</v>
      </c>
      <c r="P330" s="22">
        <v>0</v>
      </c>
      <c r="Q330" s="23">
        <f t="shared" si="16"/>
        <v>150</v>
      </c>
      <c r="R330" s="20"/>
      <c r="S330" s="85" t="s">
        <v>433</v>
      </c>
      <c r="T330" s="14">
        <v>45824</v>
      </c>
      <c r="U330" s="18" t="s">
        <v>423</v>
      </c>
      <c r="V330" s="16" t="s">
        <v>18</v>
      </c>
      <c r="W330" s="61" t="s">
        <v>34</v>
      </c>
    </row>
    <row r="331" spans="1:23" s="27" customFormat="1" ht="34.950000000000003" customHeight="1" x14ac:dyDescent="0.25">
      <c r="A331" s="12">
        <f>SUBTOTAL(3,$B$2:B331)</f>
        <v>330</v>
      </c>
      <c r="B331" s="13">
        <v>84</v>
      </c>
      <c r="C331" s="14">
        <v>45824</v>
      </c>
      <c r="D331" s="13">
        <v>0</v>
      </c>
      <c r="E331" s="14">
        <v>0</v>
      </c>
      <c r="F331" s="15" t="s">
        <v>110</v>
      </c>
      <c r="G331" s="77" t="s">
        <v>434</v>
      </c>
      <c r="H331" s="78" t="s">
        <v>16</v>
      </c>
      <c r="I331" s="16"/>
      <c r="J331" s="14"/>
      <c r="K331" s="75">
        <v>1</v>
      </c>
      <c r="L331" s="21">
        <f t="shared" si="15"/>
        <v>1</v>
      </c>
      <c r="M331" s="20">
        <f t="shared" si="17"/>
        <v>1900</v>
      </c>
      <c r="N331" s="20">
        <v>1900</v>
      </c>
      <c r="O331" s="22">
        <v>0</v>
      </c>
      <c r="P331" s="22">
        <v>0</v>
      </c>
      <c r="Q331" s="23">
        <f t="shared" si="16"/>
        <v>1900</v>
      </c>
      <c r="R331" s="20"/>
      <c r="S331" s="85" t="s">
        <v>433</v>
      </c>
      <c r="T331" s="14">
        <v>45824</v>
      </c>
      <c r="U331" s="18" t="s">
        <v>423</v>
      </c>
      <c r="V331" s="16" t="s">
        <v>18</v>
      </c>
      <c r="W331" s="61" t="s">
        <v>179</v>
      </c>
    </row>
    <row r="332" spans="1:23" s="27" customFormat="1" ht="34.950000000000003" customHeight="1" x14ac:dyDescent="0.25">
      <c r="A332" s="12">
        <f>SUBTOTAL(3,$B$2:B332)</f>
        <v>331</v>
      </c>
      <c r="B332" s="13">
        <v>85</v>
      </c>
      <c r="C332" s="14">
        <v>45825</v>
      </c>
      <c r="D332" s="13">
        <v>0</v>
      </c>
      <c r="E332" s="14">
        <v>0</v>
      </c>
      <c r="F332" s="15" t="s">
        <v>435</v>
      </c>
      <c r="G332" s="77" t="s">
        <v>436</v>
      </c>
      <c r="H332" s="78" t="s">
        <v>16</v>
      </c>
      <c r="I332" s="16"/>
      <c r="J332" s="14"/>
      <c r="K332" s="75">
        <v>1</v>
      </c>
      <c r="L332" s="21">
        <f t="shared" si="15"/>
        <v>1</v>
      </c>
      <c r="M332" s="20">
        <f t="shared" si="17"/>
        <v>12216</v>
      </c>
      <c r="N332" s="20">
        <v>12216</v>
      </c>
      <c r="O332" s="22">
        <v>9</v>
      </c>
      <c r="P332" s="22">
        <v>9</v>
      </c>
      <c r="Q332" s="23">
        <f t="shared" si="16"/>
        <v>14414.88</v>
      </c>
      <c r="R332" s="20"/>
      <c r="S332" s="85" t="s">
        <v>437</v>
      </c>
      <c r="T332" s="14">
        <v>45824</v>
      </c>
      <c r="U332" s="18" t="s">
        <v>423</v>
      </c>
      <c r="V332" s="16" t="s">
        <v>18</v>
      </c>
      <c r="W332" s="61" t="s">
        <v>179</v>
      </c>
    </row>
    <row r="333" spans="1:23" s="27" customFormat="1" ht="34.950000000000003" customHeight="1" x14ac:dyDescent="0.25">
      <c r="A333" s="86">
        <f>SUBTOTAL(3,$B$2:B333)</f>
        <v>332</v>
      </c>
      <c r="B333" s="87">
        <v>86</v>
      </c>
      <c r="C333" s="88">
        <v>45825</v>
      </c>
      <c r="D333" s="87">
        <v>0</v>
      </c>
      <c r="E333" s="88">
        <v>0</v>
      </c>
      <c r="F333" s="89" t="s">
        <v>438</v>
      </c>
      <c r="G333" s="90" t="s">
        <v>439</v>
      </c>
      <c r="H333" s="91" t="s">
        <v>16</v>
      </c>
      <c r="I333" s="92"/>
      <c r="J333" s="88"/>
      <c r="K333" s="94">
        <v>4</v>
      </c>
      <c r="L333" s="96">
        <f t="shared" si="15"/>
        <v>4</v>
      </c>
      <c r="M333" s="95">
        <f t="shared" si="17"/>
        <v>180000</v>
      </c>
      <c r="N333" s="95">
        <v>45000</v>
      </c>
      <c r="O333" s="97">
        <v>0</v>
      </c>
      <c r="P333" s="97">
        <v>0</v>
      </c>
      <c r="Q333" s="98">
        <f t="shared" si="16"/>
        <v>180000</v>
      </c>
      <c r="R333" s="95"/>
      <c r="S333" s="99">
        <v>32506170412</v>
      </c>
      <c r="T333" s="88">
        <v>45825</v>
      </c>
      <c r="U333" s="93" t="s">
        <v>296</v>
      </c>
      <c r="V333" s="92" t="s">
        <v>25</v>
      </c>
      <c r="W333" s="100" t="s">
        <v>440</v>
      </c>
    </row>
    <row r="334" spans="1:23" s="27" customFormat="1" ht="34.950000000000003" customHeight="1" x14ac:dyDescent="0.25">
      <c r="A334" s="12">
        <f>SUBTOTAL(3,$B$2:B334)</f>
        <v>333</v>
      </c>
      <c r="B334" s="42">
        <v>87</v>
      </c>
      <c r="C334" s="43">
        <v>45827</v>
      </c>
      <c r="D334" s="42">
        <v>0</v>
      </c>
      <c r="E334" s="43">
        <v>0</v>
      </c>
      <c r="F334" s="45" t="s">
        <v>407</v>
      </c>
      <c r="G334" s="52" t="s">
        <v>441</v>
      </c>
      <c r="H334" s="76" t="s">
        <v>16</v>
      </c>
      <c r="I334" s="46"/>
      <c r="J334" s="43"/>
      <c r="K334" s="73">
        <v>1</v>
      </c>
      <c r="L334" s="62">
        <f t="shared" si="15"/>
        <v>1</v>
      </c>
      <c r="M334" s="48">
        <f t="shared" si="17"/>
        <v>15000</v>
      </c>
      <c r="N334" s="48">
        <v>15000</v>
      </c>
      <c r="O334" s="50"/>
      <c r="P334" s="50"/>
      <c r="Q334" s="51">
        <f t="shared" si="16"/>
        <v>15000</v>
      </c>
      <c r="R334" s="48"/>
      <c r="S334" s="64">
        <v>15376</v>
      </c>
      <c r="T334" s="43">
        <v>45827</v>
      </c>
      <c r="U334" s="24" t="s">
        <v>423</v>
      </c>
      <c r="V334" s="46" t="s">
        <v>25</v>
      </c>
      <c r="W334" s="54"/>
    </row>
    <row r="335" spans="1:23" s="27" customFormat="1" ht="34.950000000000003" customHeight="1" x14ac:dyDescent="0.25">
      <c r="A335" s="12">
        <f>SUBTOTAL(3,$B$2:B335)</f>
        <v>334</v>
      </c>
      <c r="B335" s="13">
        <v>88</v>
      </c>
      <c r="C335" s="14">
        <v>45831</v>
      </c>
      <c r="D335" s="13">
        <v>0</v>
      </c>
      <c r="E335" s="14">
        <v>0</v>
      </c>
      <c r="F335" s="15" t="s">
        <v>238</v>
      </c>
      <c r="G335" s="77" t="s">
        <v>239</v>
      </c>
      <c r="H335" s="78" t="s">
        <v>29</v>
      </c>
      <c r="I335" s="16"/>
      <c r="J335" s="14"/>
      <c r="K335" s="75">
        <v>4.13</v>
      </c>
      <c r="L335" s="21">
        <f t="shared" si="15"/>
        <v>4.13</v>
      </c>
      <c r="M335" s="20">
        <f t="shared" si="17"/>
        <v>3398.99</v>
      </c>
      <c r="N335" s="20">
        <v>823</v>
      </c>
      <c r="O335" s="22"/>
      <c r="P335" s="22"/>
      <c r="Q335" s="23">
        <f t="shared" si="16"/>
        <v>3398.99</v>
      </c>
      <c r="R335" s="20">
        <v>51.05</v>
      </c>
      <c r="S335" s="85">
        <v>40</v>
      </c>
      <c r="T335" s="14">
        <v>45831</v>
      </c>
      <c r="U335" s="18" t="s">
        <v>442</v>
      </c>
      <c r="V335" s="16" t="s">
        <v>18</v>
      </c>
      <c r="W335" s="61"/>
    </row>
    <row r="336" spans="1:23" s="27" customFormat="1" ht="34.950000000000003" customHeight="1" x14ac:dyDescent="0.25">
      <c r="A336" s="12">
        <f>SUBTOTAL(3,$B$2:B336)</f>
        <v>335</v>
      </c>
      <c r="B336" s="42">
        <v>89</v>
      </c>
      <c r="C336" s="43">
        <v>45832</v>
      </c>
      <c r="D336" s="42">
        <v>0</v>
      </c>
      <c r="E336" s="43">
        <v>0</v>
      </c>
      <c r="F336" s="45" t="s">
        <v>443</v>
      </c>
      <c r="G336" s="71" t="s">
        <v>444</v>
      </c>
      <c r="H336" s="76" t="s">
        <v>16</v>
      </c>
      <c r="I336" s="46"/>
      <c r="J336" s="43"/>
      <c r="K336" s="73">
        <v>1</v>
      </c>
      <c r="L336" s="62">
        <f t="shared" si="15"/>
        <v>1</v>
      </c>
      <c r="M336" s="48">
        <f t="shared" si="17"/>
        <v>0</v>
      </c>
      <c r="N336" s="48">
        <v>0</v>
      </c>
      <c r="O336" s="50"/>
      <c r="P336" s="50"/>
      <c r="Q336" s="51">
        <f t="shared" si="16"/>
        <v>0</v>
      </c>
      <c r="R336" s="48"/>
      <c r="S336" s="64">
        <v>32506230574</v>
      </c>
      <c r="T336" s="43">
        <v>45831</v>
      </c>
      <c r="U336" s="24" t="s">
        <v>423</v>
      </c>
      <c r="V336" s="46" t="s">
        <v>25</v>
      </c>
      <c r="W336" s="54"/>
    </row>
    <row r="337" spans="1:23" s="27" customFormat="1" ht="34.950000000000003" customHeight="1" x14ac:dyDescent="0.25">
      <c r="A337" s="12">
        <f>SUBTOTAL(3,$B$2:B337)</f>
        <v>336</v>
      </c>
      <c r="B337" s="42">
        <v>90</v>
      </c>
      <c r="C337" s="43">
        <v>45832</v>
      </c>
      <c r="D337" s="42">
        <v>82508230006</v>
      </c>
      <c r="E337" s="44">
        <v>45892</v>
      </c>
      <c r="F337" s="45" t="s">
        <v>445</v>
      </c>
      <c r="G337" s="71" t="s">
        <v>446</v>
      </c>
      <c r="H337" s="76" t="s">
        <v>16</v>
      </c>
      <c r="I337" s="46" t="s">
        <v>447</v>
      </c>
      <c r="J337" s="43">
        <v>45820</v>
      </c>
      <c r="K337" s="73">
        <v>600</v>
      </c>
      <c r="L337" s="49">
        <f t="shared" si="15"/>
        <v>600</v>
      </c>
      <c r="M337" s="48">
        <f t="shared" si="17"/>
        <v>99000</v>
      </c>
      <c r="N337" s="48">
        <v>165</v>
      </c>
      <c r="O337" s="50">
        <v>9</v>
      </c>
      <c r="P337" s="50">
        <v>9</v>
      </c>
      <c r="Q337" s="51">
        <f t="shared" si="16"/>
        <v>116820</v>
      </c>
      <c r="R337" s="48"/>
      <c r="S337" s="64" t="s">
        <v>448</v>
      </c>
      <c r="T337" s="43">
        <v>45832</v>
      </c>
      <c r="U337" s="24" t="s">
        <v>449</v>
      </c>
      <c r="V337" s="46" t="s">
        <v>33</v>
      </c>
      <c r="W337" s="54"/>
    </row>
    <row r="338" spans="1:23" s="27" customFormat="1" ht="34.950000000000003" customHeight="1" x14ac:dyDescent="0.25">
      <c r="A338" s="12">
        <f>SUBTOTAL(3,$B$2:B338)</f>
        <v>337</v>
      </c>
      <c r="B338" s="42">
        <v>91</v>
      </c>
      <c r="C338" s="43">
        <v>45832</v>
      </c>
      <c r="D338" s="42">
        <v>82509230007</v>
      </c>
      <c r="E338" s="44">
        <v>45923</v>
      </c>
      <c r="F338" s="45" t="s">
        <v>445</v>
      </c>
      <c r="G338" s="71" t="s">
        <v>450</v>
      </c>
      <c r="H338" s="76" t="s">
        <v>16</v>
      </c>
      <c r="I338" s="46" t="s">
        <v>447</v>
      </c>
      <c r="J338" s="43">
        <v>45820</v>
      </c>
      <c r="K338" s="73">
        <v>100</v>
      </c>
      <c r="L338" s="49">
        <f t="shared" si="15"/>
        <v>100</v>
      </c>
      <c r="M338" s="48">
        <f t="shared" si="17"/>
        <v>149000</v>
      </c>
      <c r="N338" s="48">
        <v>1490</v>
      </c>
      <c r="O338" s="50">
        <v>9</v>
      </c>
      <c r="P338" s="50">
        <v>9</v>
      </c>
      <c r="Q338" s="51">
        <f t="shared" si="16"/>
        <v>175820</v>
      </c>
      <c r="R338" s="48"/>
      <c r="S338" s="64" t="s">
        <v>451</v>
      </c>
      <c r="T338" s="43">
        <v>45832</v>
      </c>
      <c r="U338" s="24" t="s">
        <v>452</v>
      </c>
      <c r="V338" s="46" t="s">
        <v>33</v>
      </c>
      <c r="W338" s="54"/>
    </row>
    <row r="339" spans="1:23" s="27" customFormat="1" ht="34.950000000000003" customHeight="1" x14ac:dyDescent="0.25">
      <c r="A339" s="12">
        <f>SUBTOTAL(3,$B$2:B339)</f>
        <v>338</v>
      </c>
      <c r="B339" s="13">
        <v>92</v>
      </c>
      <c r="C339" s="14">
        <v>45832</v>
      </c>
      <c r="D339" s="13">
        <v>0</v>
      </c>
      <c r="E339" s="14">
        <v>0</v>
      </c>
      <c r="F339" s="15" t="s">
        <v>453</v>
      </c>
      <c r="G339" s="77" t="s">
        <v>454</v>
      </c>
      <c r="H339" s="78" t="s">
        <v>272</v>
      </c>
      <c r="I339" s="16"/>
      <c r="J339" s="14"/>
      <c r="K339" s="75">
        <v>1</v>
      </c>
      <c r="L339" s="21">
        <f t="shared" si="15"/>
        <v>1</v>
      </c>
      <c r="M339" s="20">
        <f t="shared" si="17"/>
        <v>1939</v>
      </c>
      <c r="N339" s="20">
        <v>1939</v>
      </c>
      <c r="O339" s="22">
        <v>9</v>
      </c>
      <c r="P339" s="22">
        <v>9</v>
      </c>
      <c r="Q339" s="23">
        <f t="shared" si="16"/>
        <v>2288.02</v>
      </c>
      <c r="R339" s="20"/>
      <c r="S339" s="85" t="s">
        <v>455</v>
      </c>
      <c r="T339" s="14">
        <v>45832</v>
      </c>
      <c r="U339" s="18" t="s">
        <v>423</v>
      </c>
      <c r="V339" s="16" t="s">
        <v>18</v>
      </c>
      <c r="W339" s="61" t="s">
        <v>112</v>
      </c>
    </row>
    <row r="340" spans="1:23" s="27" customFormat="1" ht="34.950000000000003" customHeight="1" x14ac:dyDescent="0.25">
      <c r="A340" s="12">
        <f>SUBTOTAL(3,$B$2:B340)</f>
        <v>339</v>
      </c>
      <c r="B340" s="13">
        <v>92</v>
      </c>
      <c r="C340" s="14">
        <v>45832</v>
      </c>
      <c r="D340" s="13">
        <v>0</v>
      </c>
      <c r="E340" s="14">
        <v>0</v>
      </c>
      <c r="F340" s="15" t="s">
        <v>453</v>
      </c>
      <c r="G340" s="77" t="s">
        <v>456</v>
      </c>
      <c r="H340" s="78" t="s">
        <v>16</v>
      </c>
      <c r="I340" s="16"/>
      <c r="J340" s="14"/>
      <c r="K340" s="75">
        <v>1</v>
      </c>
      <c r="L340" s="21">
        <f t="shared" si="15"/>
        <v>1</v>
      </c>
      <c r="M340" s="20">
        <f t="shared" si="17"/>
        <v>340</v>
      </c>
      <c r="N340" s="20">
        <v>340</v>
      </c>
      <c r="O340" s="22">
        <v>9</v>
      </c>
      <c r="P340" s="22">
        <v>9</v>
      </c>
      <c r="Q340" s="23">
        <f t="shared" si="16"/>
        <v>401.2</v>
      </c>
      <c r="R340" s="20"/>
      <c r="S340" s="85" t="s">
        <v>455</v>
      </c>
      <c r="T340" s="14">
        <v>45832</v>
      </c>
      <c r="U340" s="18" t="s">
        <v>423</v>
      </c>
      <c r="V340" s="16" t="s">
        <v>18</v>
      </c>
      <c r="W340" s="61" t="s">
        <v>112</v>
      </c>
    </row>
    <row r="341" spans="1:23" s="27" customFormat="1" ht="34.950000000000003" customHeight="1" x14ac:dyDescent="0.25">
      <c r="A341" s="12">
        <f>SUBTOTAL(3,$B$2:B341)</f>
        <v>340</v>
      </c>
      <c r="B341" s="13">
        <v>92</v>
      </c>
      <c r="C341" s="14">
        <v>45832</v>
      </c>
      <c r="D341" s="13">
        <v>0</v>
      </c>
      <c r="E341" s="14">
        <v>0</v>
      </c>
      <c r="F341" s="15" t="s">
        <v>453</v>
      </c>
      <c r="G341" s="77" t="s">
        <v>457</v>
      </c>
      <c r="H341" s="78" t="s">
        <v>16</v>
      </c>
      <c r="I341" s="16"/>
      <c r="J341" s="14"/>
      <c r="K341" s="75">
        <v>1</v>
      </c>
      <c r="L341" s="21">
        <f t="shared" si="15"/>
        <v>1</v>
      </c>
      <c r="M341" s="20">
        <f t="shared" si="17"/>
        <v>950</v>
      </c>
      <c r="N341" s="20">
        <v>950</v>
      </c>
      <c r="O341" s="22">
        <v>9</v>
      </c>
      <c r="P341" s="22">
        <v>9</v>
      </c>
      <c r="Q341" s="23">
        <f t="shared" si="16"/>
        <v>1121</v>
      </c>
      <c r="R341" s="20"/>
      <c r="S341" s="85" t="s">
        <v>455</v>
      </c>
      <c r="T341" s="14">
        <v>45832</v>
      </c>
      <c r="U341" s="18" t="s">
        <v>423</v>
      </c>
      <c r="V341" s="16" t="s">
        <v>18</v>
      </c>
      <c r="W341" s="61" t="s">
        <v>179</v>
      </c>
    </row>
    <row r="342" spans="1:23" s="27" customFormat="1" ht="34.950000000000003" customHeight="1" x14ac:dyDescent="0.25">
      <c r="A342" s="12">
        <f>SUBTOTAL(3,$B$2:B342)</f>
        <v>341</v>
      </c>
      <c r="B342" s="13">
        <v>92</v>
      </c>
      <c r="C342" s="14">
        <v>45832</v>
      </c>
      <c r="D342" s="13">
        <v>0</v>
      </c>
      <c r="E342" s="14">
        <v>0</v>
      </c>
      <c r="F342" s="15" t="s">
        <v>453</v>
      </c>
      <c r="G342" s="77" t="s">
        <v>458</v>
      </c>
      <c r="H342" s="78" t="s">
        <v>16</v>
      </c>
      <c r="I342" s="16"/>
      <c r="J342" s="14"/>
      <c r="K342" s="75">
        <v>1</v>
      </c>
      <c r="L342" s="21">
        <f t="shared" si="15"/>
        <v>1</v>
      </c>
      <c r="M342" s="20">
        <f t="shared" si="17"/>
        <v>1757</v>
      </c>
      <c r="N342" s="20">
        <v>1757</v>
      </c>
      <c r="O342" s="22">
        <v>9</v>
      </c>
      <c r="P342" s="22">
        <v>9</v>
      </c>
      <c r="Q342" s="23">
        <f t="shared" si="16"/>
        <v>2073.2599999999998</v>
      </c>
      <c r="R342" s="20"/>
      <c r="S342" s="85" t="s">
        <v>455</v>
      </c>
      <c r="T342" s="14">
        <v>45832</v>
      </c>
      <c r="U342" s="18" t="s">
        <v>423</v>
      </c>
      <c r="V342" s="16" t="s">
        <v>18</v>
      </c>
      <c r="W342" s="61" t="s">
        <v>112</v>
      </c>
    </row>
    <row r="343" spans="1:23" s="27" customFormat="1" ht="34.950000000000003" customHeight="1" x14ac:dyDescent="0.25">
      <c r="A343" s="12">
        <f>SUBTOTAL(3,$B$2:B343)</f>
        <v>342</v>
      </c>
      <c r="B343" s="13">
        <v>92</v>
      </c>
      <c r="C343" s="14">
        <v>45832</v>
      </c>
      <c r="D343" s="13">
        <v>0</v>
      </c>
      <c r="E343" s="14">
        <v>0</v>
      </c>
      <c r="F343" s="15" t="s">
        <v>453</v>
      </c>
      <c r="G343" s="77" t="s">
        <v>459</v>
      </c>
      <c r="H343" s="78" t="s">
        <v>16</v>
      </c>
      <c r="I343" s="16"/>
      <c r="J343" s="14"/>
      <c r="K343" s="75">
        <v>1</v>
      </c>
      <c r="L343" s="21">
        <f t="shared" si="15"/>
        <v>1</v>
      </c>
      <c r="M343" s="20">
        <f t="shared" si="17"/>
        <v>2650</v>
      </c>
      <c r="N343" s="20">
        <v>2650</v>
      </c>
      <c r="O343" s="22">
        <v>9</v>
      </c>
      <c r="P343" s="22">
        <v>9</v>
      </c>
      <c r="Q343" s="23">
        <f t="shared" si="16"/>
        <v>3127</v>
      </c>
      <c r="R343" s="20"/>
      <c r="S343" s="85" t="s">
        <v>455</v>
      </c>
      <c r="T343" s="14">
        <v>45832</v>
      </c>
      <c r="U343" s="18" t="s">
        <v>423</v>
      </c>
      <c r="V343" s="16" t="s">
        <v>18</v>
      </c>
      <c r="W343" s="61" t="s">
        <v>179</v>
      </c>
    </row>
    <row r="344" spans="1:23" s="27" customFormat="1" ht="34.950000000000003" customHeight="1" x14ac:dyDescent="0.25">
      <c r="A344" s="12">
        <f>SUBTOTAL(3,$B$2:B344)</f>
        <v>343</v>
      </c>
      <c r="B344" s="42">
        <v>93</v>
      </c>
      <c r="C344" s="43">
        <v>45832</v>
      </c>
      <c r="D344" s="42">
        <v>0</v>
      </c>
      <c r="E344" s="43">
        <v>0</v>
      </c>
      <c r="F344" s="45" t="s">
        <v>380</v>
      </c>
      <c r="G344" s="71" t="s">
        <v>460</v>
      </c>
      <c r="H344" s="76" t="s">
        <v>16</v>
      </c>
      <c r="I344" s="46"/>
      <c r="J344" s="43"/>
      <c r="K344" s="73">
        <v>100</v>
      </c>
      <c r="L344" s="62">
        <f t="shared" si="15"/>
        <v>100</v>
      </c>
      <c r="M344" s="48">
        <f t="shared" si="17"/>
        <v>150000</v>
      </c>
      <c r="N344" s="48">
        <v>1500</v>
      </c>
      <c r="O344" s="50">
        <v>0</v>
      </c>
      <c r="P344" s="50">
        <v>0</v>
      </c>
      <c r="Q344" s="51">
        <f t="shared" si="16"/>
        <v>150000</v>
      </c>
      <c r="R344" s="48"/>
      <c r="S344" s="64">
        <v>236716</v>
      </c>
      <c r="T344" s="43">
        <v>45832</v>
      </c>
      <c r="U344" s="24" t="s">
        <v>109</v>
      </c>
      <c r="V344" s="46" t="s">
        <v>25</v>
      </c>
      <c r="W344" s="54"/>
    </row>
    <row r="345" spans="1:23" s="27" customFormat="1" ht="34.950000000000003" customHeight="1" x14ac:dyDescent="0.25">
      <c r="A345" s="12">
        <f>SUBTOTAL(3,$B$2:B345)</f>
        <v>344</v>
      </c>
      <c r="B345" s="42">
        <v>93</v>
      </c>
      <c r="C345" s="43">
        <v>45832</v>
      </c>
      <c r="D345" s="42">
        <v>0</v>
      </c>
      <c r="E345" s="43">
        <v>0</v>
      </c>
      <c r="F345" s="79" t="s">
        <v>380</v>
      </c>
      <c r="G345" s="52" t="s">
        <v>398</v>
      </c>
      <c r="H345" s="46" t="s">
        <v>16</v>
      </c>
      <c r="I345" s="12"/>
      <c r="J345" s="43"/>
      <c r="K345" s="80">
        <v>50</v>
      </c>
      <c r="L345" s="62">
        <f t="shared" si="15"/>
        <v>50</v>
      </c>
      <c r="M345" s="48">
        <f t="shared" si="17"/>
        <v>58200</v>
      </c>
      <c r="N345" s="48">
        <v>1164</v>
      </c>
      <c r="O345" s="50">
        <v>0</v>
      </c>
      <c r="P345" s="50">
        <v>0</v>
      </c>
      <c r="Q345" s="51">
        <f t="shared" si="16"/>
        <v>58200</v>
      </c>
      <c r="R345" s="48"/>
      <c r="S345" s="64">
        <v>236716</v>
      </c>
      <c r="T345" s="43">
        <v>45832</v>
      </c>
      <c r="U345" s="24" t="s">
        <v>109</v>
      </c>
      <c r="V345" s="46" t="s">
        <v>25</v>
      </c>
      <c r="W345" s="54"/>
    </row>
    <row r="346" spans="1:23" s="27" customFormat="1" ht="34.950000000000003" customHeight="1" x14ac:dyDescent="0.25">
      <c r="A346" s="12">
        <f>SUBTOTAL(3,$B$2:B346)</f>
        <v>345</v>
      </c>
      <c r="B346" s="42">
        <v>93</v>
      </c>
      <c r="C346" s="43">
        <v>45832</v>
      </c>
      <c r="D346" s="42">
        <v>0</v>
      </c>
      <c r="E346" s="43">
        <v>0</v>
      </c>
      <c r="F346" s="79" t="s">
        <v>380</v>
      </c>
      <c r="G346" s="52" t="s">
        <v>381</v>
      </c>
      <c r="H346" s="46" t="s">
        <v>16</v>
      </c>
      <c r="I346" s="12"/>
      <c r="J346" s="43"/>
      <c r="K346" s="80">
        <v>600</v>
      </c>
      <c r="L346" s="62">
        <f t="shared" si="15"/>
        <v>600</v>
      </c>
      <c r="M346" s="48">
        <f t="shared" si="17"/>
        <v>355932</v>
      </c>
      <c r="N346" s="48">
        <v>593.22</v>
      </c>
      <c r="O346" s="50">
        <v>0</v>
      </c>
      <c r="P346" s="50">
        <v>0</v>
      </c>
      <c r="Q346" s="51">
        <f t="shared" si="16"/>
        <v>355932</v>
      </c>
      <c r="R346" s="48"/>
      <c r="S346" s="64">
        <v>236716</v>
      </c>
      <c r="T346" s="43">
        <v>45832</v>
      </c>
      <c r="U346" s="24" t="s">
        <v>109</v>
      </c>
      <c r="V346" s="46" t="s">
        <v>25</v>
      </c>
      <c r="W346" s="54"/>
    </row>
    <row r="347" spans="1:23" s="27" customFormat="1" ht="34.950000000000003" customHeight="1" x14ac:dyDescent="0.25">
      <c r="A347" s="12">
        <f>SUBTOTAL(3,$B$2:B347)</f>
        <v>346</v>
      </c>
      <c r="B347" s="42">
        <v>94</v>
      </c>
      <c r="C347" s="43">
        <v>45832</v>
      </c>
      <c r="D347" s="42">
        <v>82508230012</v>
      </c>
      <c r="E347" s="43">
        <v>45892</v>
      </c>
      <c r="F347" s="45" t="s">
        <v>110</v>
      </c>
      <c r="G347" s="52" t="s">
        <v>461</v>
      </c>
      <c r="H347" s="57" t="s">
        <v>94</v>
      </c>
      <c r="I347" s="46"/>
      <c r="J347" s="43"/>
      <c r="K347" s="73">
        <v>5</v>
      </c>
      <c r="L347" s="49">
        <f t="shared" si="15"/>
        <v>5</v>
      </c>
      <c r="M347" s="48">
        <f t="shared" si="17"/>
        <v>450</v>
      </c>
      <c r="N347" s="48">
        <v>90</v>
      </c>
      <c r="O347" s="50"/>
      <c r="P347" s="50"/>
      <c r="Q347" s="51">
        <f t="shared" si="16"/>
        <v>450</v>
      </c>
      <c r="R347" s="48"/>
      <c r="S347" s="24" t="s">
        <v>462</v>
      </c>
      <c r="T347" s="43">
        <v>45832</v>
      </c>
      <c r="U347" s="43" t="s">
        <v>423</v>
      </c>
      <c r="V347" s="46" t="s">
        <v>247</v>
      </c>
      <c r="W347" s="54" t="s">
        <v>34</v>
      </c>
    </row>
    <row r="348" spans="1:23" s="27" customFormat="1" ht="34.950000000000003" customHeight="1" x14ac:dyDescent="0.25">
      <c r="A348" s="12">
        <f>SUBTOTAL(3,$B$2:B348)</f>
        <v>347</v>
      </c>
      <c r="B348" s="42">
        <v>94</v>
      </c>
      <c r="C348" s="43">
        <v>45832</v>
      </c>
      <c r="D348" s="42">
        <v>82508230012</v>
      </c>
      <c r="E348" s="43">
        <v>45892</v>
      </c>
      <c r="F348" s="79" t="s">
        <v>110</v>
      </c>
      <c r="G348" s="52" t="s">
        <v>463</v>
      </c>
      <c r="H348" s="57" t="s">
        <v>94</v>
      </c>
      <c r="I348" s="12"/>
      <c r="J348" s="43"/>
      <c r="K348" s="80">
        <v>5</v>
      </c>
      <c r="L348" s="49">
        <f t="shared" si="15"/>
        <v>5</v>
      </c>
      <c r="M348" s="48">
        <f t="shared" si="17"/>
        <v>675</v>
      </c>
      <c r="N348" s="48">
        <v>135</v>
      </c>
      <c r="O348" s="50"/>
      <c r="P348" s="50"/>
      <c r="Q348" s="51">
        <f t="shared" si="16"/>
        <v>675</v>
      </c>
      <c r="R348" s="48"/>
      <c r="S348" s="64" t="s">
        <v>462</v>
      </c>
      <c r="T348" s="43">
        <v>45832</v>
      </c>
      <c r="U348" s="24" t="s">
        <v>423</v>
      </c>
      <c r="V348" s="46" t="s">
        <v>247</v>
      </c>
      <c r="W348" s="54" t="s">
        <v>34</v>
      </c>
    </row>
    <row r="349" spans="1:23" s="27" customFormat="1" ht="34.950000000000003" customHeight="1" x14ac:dyDescent="0.25">
      <c r="A349" s="12">
        <f>SUBTOTAL(3,$B$2:B349)</f>
        <v>348</v>
      </c>
      <c r="B349" s="42">
        <v>94</v>
      </c>
      <c r="C349" s="43">
        <v>45832</v>
      </c>
      <c r="D349" s="42">
        <v>82508230012</v>
      </c>
      <c r="E349" s="43">
        <v>45892</v>
      </c>
      <c r="F349" s="45" t="s">
        <v>110</v>
      </c>
      <c r="G349" s="52" t="s">
        <v>211</v>
      </c>
      <c r="H349" s="57" t="s">
        <v>94</v>
      </c>
      <c r="I349" s="46"/>
      <c r="J349" s="43"/>
      <c r="K349" s="47">
        <v>2</v>
      </c>
      <c r="L349" s="49">
        <f t="shared" si="15"/>
        <v>2</v>
      </c>
      <c r="M349" s="48">
        <f t="shared" si="17"/>
        <v>380</v>
      </c>
      <c r="N349" s="48">
        <v>190</v>
      </c>
      <c r="O349" s="50"/>
      <c r="P349" s="50"/>
      <c r="Q349" s="51">
        <f t="shared" si="16"/>
        <v>380</v>
      </c>
      <c r="R349" s="48"/>
      <c r="S349" s="24" t="s">
        <v>462</v>
      </c>
      <c r="T349" s="43">
        <v>45832</v>
      </c>
      <c r="U349" s="43" t="s">
        <v>423</v>
      </c>
      <c r="V349" s="46" t="s">
        <v>247</v>
      </c>
      <c r="W349" s="54" t="s">
        <v>34</v>
      </c>
    </row>
    <row r="350" spans="1:23" ht="34.950000000000003" customHeight="1" x14ac:dyDescent="0.25">
      <c r="A350" s="12">
        <f>SUBTOTAL(3,$B$2:B350)</f>
        <v>349</v>
      </c>
      <c r="B350" s="42">
        <v>94</v>
      </c>
      <c r="C350" s="43">
        <v>45832</v>
      </c>
      <c r="D350" s="42">
        <v>82508230012</v>
      </c>
      <c r="E350" s="43">
        <v>45892</v>
      </c>
      <c r="F350" s="45" t="s">
        <v>110</v>
      </c>
      <c r="G350" s="45" t="s">
        <v>464</v>
      </c>
      <c r="H350" s="46" t="s">
        <v>16</v>
      </c>
      <c r="I350" s="56"/>
      <c r="J350" s="43"/>
      <c r="K350" s="101">
        <v>2</v>
      </c>
      <c r="L350" s="49">
        <f t="shared" si="15"/>
        <v>2</v>
      </c>
      <c r="M350" s="48">
        <f t="shared" si="17"/>
        <v>270</v>
      </c>
      <c r="N350" s="48">
        <v>135</v>
      </c>
      <c r="O350" s="50"/>
      <c r="P350" s="50"/>
      <c r="Q350" s="51">
        <f t="shared" si="16"/>
        <v>270</v>
      </c>
      <c r="R350" s="48"/>
      <c r="S350" s="24" t="s">
        <v>462</v>
      </c>
      <c r="T350" s="43">
        <v>45832</v>
      </c>
      <c r="U350" s="43" t="s">
        <v>423</v>
      </c>
      <c r="V350" s="46" t="s">
        <v>247</v>
      </c>
      <c r="W350" s="54" t="s">
        <v>34</v>
      </c>
    </row>
    <row r="351" spans="1:23" s="27" customFormat="1" ht="34.950000000000003" customHeight="1" x14ac:dyDescent="0.25">
      <c r="A351" s="12">
        <f>SUBTOTAL(3,$B$2:B351)</f>
        <v>350</v>
      </c>
      <c r="B351" s="13">
        <v>95</v>
      </c>
      <c r="C351" s="14">
        <v>45833</v>
      </c>
      <c r="D351" s="13">
        <v>0</v>
      </c>
      <c r="E351" s="14">
        <v>0</v>
      </c>
      <c r="F351" s="15" t="s">
        <v>236</v>
      </c>
      <c r="G351" s="102" t="s">
        <v>172</v>
      </c>
      <c r="H351" s="16" t="s">
        <v>155</v>
      </c>
      <c r="I351" s="103"/>
      <c r="J351" s="14"/>
      <c r="K351" s="19">
        <v>20</v>
      </c>
      <c r="L351" s="21">
        <f t="shared" si="15"/>
        <v>20</v>
      </c>
      <c r="M351" s="20">
        <f t="shared" si="17"/>
        <v>6400</v>
      </c>
      <c r="N351" s="20">
        <v>320</v>
      </c>
      <c r="O351" s="22"/>
      <c r="P351" s="22"/>
      <c r="Q351" s="23">
        <f t="shared" si="16"/>
        <v>6400</v>
      </c>
      <c r="R351" s="20">
        <v>400</v>
      </c>
      <c r="S351" s="85">
        <v>453</v>
      </c>
      <c r="T351" s="14">
        <v>45833</v>
      </c>
      <c r="U351" s="14" t="s">
        <v>465</v>
      </c>
      <c r="V351" s="16" t="s">
        <v>18</v>
      </c>
      <c r="W351" s="61" t="s">
        <v>34</v>
      </c>
    </row>
    <row r="352" spans="1:23" s="27" customFormat="1" ht="34.950000000000003" customHeight="1" x14ac:dyDescent="0.25">
      <c r="A352" s="12">
        <f>SUBTOTAL(3,$B$2:B352)</f>
        <v>351</v>
      </c>
      <c r="B352" s="42">
        <v>96</v>
      </c>
      <c r="C352" s="43">
        <v>45833</v>
      </c>
      <c r="D352" s="42">
        <v>82508230005</v>
      </c>
      <c r="E352" s="43">
        <v>45892</v>
      </c>
      <c r="F352" s="45" t="s">
        <v>110</v>
      </c>
      <c r="G352" s="52" t="s">
        <v>463</v>
      </c>
      <c r="H352" s="46" t="s">
        <v>94</v>
      </c>
      <c r="I352" s="67"/>
      <c r="J352" s="43"/>
      <c r="K352" s="80">
        <v>5</v>
      </c>
      <c r="L352" s="49">
        <f t="shared" si="15"/>
        <v>5</v>
      </c>
      <c r="M352" s="48">
        <f t="shared" si="17"/>
        <v>675</v>
      </c>
      <c r="N352" s="48">
        <v>135</v>
      </c>
      <c r="O352" s="50"/>
      <c r="P352" s="50"/>
      <c r="Q352" s="51">
        <f t="shared" si="16"/>
        <v>675</v>
      </c>
      <c r="R352" s="48"/>
      <c r="S352" s="64" t="s">
        <v>466</v>
      </c>
      <c r="T352" s="43">
        <v>45833</v>
      </c>
      <c r="U352" s="43" t="s">
        <v>423</v>
      </c>
      <c r="V352" s="46" t="s">
        <v>247</v>
      </c>
      <c r="W352" s="54" t="s">
        <v>34</v>
      </c>
    </row>
    <row r="353" spans="1:23" s="27" customFormat="1" ht="34.950000000000003" customHeight="1" x14ac:dyDescent="0.25">
      <c r="A353" s="12">
        <f>SUBTOTAL(3,$B$2:B353)</f>
        <v>352</v>
      </c>
      <c r="B353" s="42">
        <v>97</v>
      </c>
      <c r="C353" s="43">
        <v>45834</v>
      </c>
      <c r="D353" s="42">
        <v>82509230005</v>
      </c>
      <c r="E353" s="44">
        <v>45923</v>
      </c>
      <c r="F353" s="45" t="s">
        <v>445</v>
      </c>
      <c r="G353" s="70" t="s">
        <v>467</v>
      </c>
      <c r="H353" s="57" t="s">
        <v>16</v>
      </c>
      <c r="I353" s="46" t="s">
        <v>447</v>
      </c>
      <c r="J353" s="43">
        <v>45820</v>
      </c>
      <c r="K353" s="80">
        <v>200</v>
      </c>
      <c r="L353" s="49">
        <f t="shared" si="15"/>
        <v>200</v>
      </c>
      <c r="M353" s="48">
        <f t="shared" si="17"/>
        <v>60000</v>
      </c>
      <c r="N353" s="48">
        <v>300</v>
      </c>
      <c r="O353" s="50">
        <v>9</v>
      </c>
      <c r="P353" s="50">
        <v>9</v>
      </c>
      <c r="Q353" s="51">
        <f t="shared" si="16"/>
        <v>70800</v>
      </c>
      <c r="R353" s="48"/>
      <c r="S353" s="64" t="s">
        <v>468</v>
      </c>
      <c r="T353" s="43">
        <v>45833</v>
      </c>
      <c r="U353" s="43" t="s">
        <v>469</v>
      </c>
      <c r="V353" s="46" t="s">
        <v>33</v>
      </c>
      <c r="W353" s="54" t="s">
        <v>34</v>
      </c>
    </row>
    <row r="354" spans="1:23" s="27" customFormat="1" ht="34.950000000000003" customHeight="1" x14ac:dyDescent="0.25">
      <c r="A354" s="12">
        <f>SUBTOTAL(3,$B$2:B354)</f>
        <v>353</v>
      </c>
      <c r="B354" s="42">
        <v>97</v>
      </c>
      <c r="C354" s="43">
        <v>45834</v>
      </c>
      <c r="D354" s="42">
        <v>82509230005</v>
      </c>
      <c r="E354" s="44">
        <v>45923</v>
      </c>
      <c r="F354" s="45" t="s">
        <v>445</v>
      </c>
      <c r="G354" s="71" t="s">
        <v>397</v>
      </c>
      <c r="H354" s="57" t="s">
        <v>16</v>
      </c>
      <c r="I354" s="46" t="s">
        <v>447</v>
      </c>
      <c r="J354" s="43">
        <v>45820</v>
      </c>
      <c r="K354" s="80">
        <v>500</v>
      </c>
      <c r="L354" s="49">
        <f t="shared" si="15"/>
        <v>500</v>
      </c>
      <c r="M354" s="48">
        <f t="shared" si="17"/>
        <v>30000</v>
      </c>
      <c r="N354" s="48">
        <v>60</v>
      </c>
      <c r="O354" s="50">
        <v>9</v>
      </c>
      <c r="P354" s="50">
        <v>9</v>
      </c>
      <c r="Q354" s="51">
        <f t="shared" si="16"/>
        <v>35400</v>
      </c>
      <c r="R354" s="48"/>
      <c r="S354" s="64" t="s">
        <v>468</v>
      </c>
      <c r="T354" s="43">
        <v>45833</v>
      </c>
      <c r="U354" s="43" t="s">
        <v>469</v>
      </c>
      <c r="V354" s="46" t="s">
        <v>33</v>
      </c>
      <c r="W354" s="54" t="s">
        <v>34</v>
      </c>
    </row>
    <row r="355" spans="1:23" s="27" customFormat="1" ht="34.950000000000003" customHeight="1" x14ac:dyDescent="0.25">
      <c r="A355" s="12">
        <f>SUBTOTAL(3,$B$2:B355)</f>
        <v>354</v>
      </c>
      <c r="B355" s="42">
        <v>97</v>
      </c>
      <c r="C355" s="43">
        <v>45834</v>
      </c>
      <c r="D355" s="42">
        <v>82509230005</v>
      </c>
      <c r="E355" s="44">
        <v>45923</v>
      </c>
      <c r="F355" s="45" t="s">
        <v>445</v>
      </c>
      <c r="G355" s="45" t="s">
        <v>463</v>
      </c>
      <c r="H355" s="46" t="s">
        <v>94</v>
      </c>
      <c r="I355" s="46" t="s">
        <v>447</v>
      </c>
      <c r="J355" s="43">
        <v>45820</v>
      </c>
      <c r="K355" s="80">
        <v>150</v>
      </c>
      <c r="L355" s="49">
        <f t="shared" si="15"/>
        <v>150</v>
      </c>
      <c r="M355" s="48">
        <f t="shared" si="17"/>
        <v>12750</v>
      </c>
      <c r="N355" s="48">
        <v>85</v>
      </c>
      <c r="O355" s="50">
        <v>9</v>
      </c>
      <c r="P355" s="50">
        <v>9</v>
      </c>
      <c r="Q355" s="51">
        <f t="shared" si="16"/>
        <v>15045</v>
      </c>
      <c r="R355" s="48"/>
      <c r="S355" s="64" t="s">
        <v>468</v>
      </c>
      <c r="T355" s="43">
        <v>45833</v>
      </c>
      <c r="U355" s="24" t="s">
        <v>469</v>
      </c>
      <c r="V355" s="46" t="s">
        <v>33</v>
      </c>
      <c r="W355" s="54" t="s">
        <v>34</v>
      </c>
    </row>
    <row r="356" spans="1:23" s="27" customFormat="1" ht="34.950000000000003" customHeight="1" x14ac:dyDescent="0.25">
      <c r="A356" s="12">
        <f>SUBTOTAL(3,$B$2:B356)</f>
        <v>355</v>
      </c>
      <c r="B356" s="42">
        <v>97</v>
      </c>
      <c r="C356" s="43">
        <v>45834</v>
      </c>
      <c r="D356" s="42">
        <v>82509230005</v>
      </c>
      <c r="E356" s="44">
        <v>45923</v>
      </c>
      <c r="F356" s="45" t="s">
        <v>445</v>
      </c>
      <c r="G356" s="45" t="s">
        <v>470</v>
      </c>
      <c r="H356" s="46" t="s">
        <v>94</v>
      </c>
      <c r="I356" s="46" t="s">
        <v>447</v>
      </c>
      <c r="J356" s="43">
        <v>45820</v>
      </c>
      <c r="K356" s="80">
        <v>100</v>
      </c>
      <c r="L356" s="49">
        <f t="shared" si="15"/>
        <v>100</v>
      </c>
      <c r="M356" s="48">
        <f t="shared" si="17"/>
        <v>8500</v>
      </c>
      <c r="N356" s="48">
        <v>85</v>
      </c>
      <c r="O356" s="50">
        <v>9</v>
      </c>
      <c r="P356" s="50">
        <v>9</v>
      </c>
      <c r="Q356" s="51">
        <f t="shared" si="16"/>
        <v>10030</v>
      </c>
      <c r="R356" s="48"/>
      <c r="S356" s="64" t="s">
        <v>468</v>
      </c>
      <c r="T356" s="43">
        <v>45833</v>
      </c>
      <c r="U356" s="24" t="s">
        <v>469</v>
      </c>
      <c r="V356" s="46" t="s">
        <v>33</v>
      </c>
      <c r="W356" s="54" t="s">
        <v>34</v>
      </c>
    </row>
    <row r="357" spans="1:23" s="27" customFormat="1" ht="34.950000000000003" customHeight="1" x14ac:dyDescent="0.25">
      <c r="A357" s="12">
        <f>SUBTOTAL(3,$B$2:B357)</f>
        <v>356</v>
      </c>
      <c r="B357" s="42">
        <v>97</v>
      </c>
      <c r="C357" s="43">
        <v>45834</v>
      </c>
      <c r="D357" s="42">
        <v>82509230005</v>
      </c>
      <c r="E357" s="44">
        <v>45923</v>
      </c>
      <c r="F357" s="45" t="s">
        <v>445</v>
      </c>
      <c r="G357" s="52" t="s">
        <v>471</v>
      </c>
      <c r="H357" s="57" t="s">
        <v>94</v>
      </c>
      <c r="I357" s="46" t="s">
        <v>447</v>
      </c>
      <c r="J357" s="43">
        <v>45820</v>
      </c>
      <c r="K357" s="59">
        <v>100</v>
      </c>
      <c r="L357" s="49">
        <f t="shared" si="15"/>
        <v>100</v>
      </c>
      <c r="M357" s="48">
        <f t="shared" si="17"/>
        <v>8500</v>
      </c>
      <c r="N357" s="48">
        <v>85</v>
      </c>
      <c r="O357" s="50">
        <v>9</v>
      </c>
      <c r="P357" s="50">
        <v>9</v>
      </c>
      <c r="Q357" s="51">
        <f t="shared" si="16"/>
        <v>10030</v>
      </c>
      <c r="R357" s="48"/>
      <c r="S357" s="24" t="s">
        <v>468</v>
      </c>
      <c r="T357" s="43">
        <v>45833</v>
      </c>
      <c r="U357" s="43" t="s">
        <v>469</v>
      </c>
      <c r="V357" s="46" t="s">
        <v>33</v>
      </c>
      <c r="W357" s="54" t="s">
        <v>34</v>
      </c>
    </row>
    <row r="358" spans="1:23" s="27" customFormat="1" ht="34.950000000000003" customHeight="1" x14ac:dyDescent="0.25">
      <c r="A358" s="12">
        <f>SUBTOTAL(3,$B$2:B358)</f>
        <v>357</v>
      </c>
      <c r="B358" s="42">
        <v>97</v>
      </c>
      <c r="C358" s="43">
        <v>45834</v>
      </c>
      <c r="D358" s="42">
        <v>82509230005</v>
      </c>
      <c r="E358" s="44">
        <v>45923</v>
      </c>
      <c r="F358" s="45" t="s">
        <v>445</v>
      </c>
      <c r="G358" s="52" t="s">
        <v>461</v>
      </c>
      <c r="H358" s="57" t="s">
        <v>94</v>
      </c>
      <c r="I358" s="46" t="s">
        <v>447</v>
      </c>
      <c r="J358" s="43">
        <v>45820</v>
      </c>
      <c r="K358" s="47">
        <v>100</v>
      </c>
      <c r="L358" s="49">
        <f t="shared" si="15"/>
        <v>100</v>
      </c>
      <c r="M358" s="48">
        <f t="shared" si="17"/>
        <v>8500</v>
      </c>
      <c r="N358" s="48">
        <v>85</v>
      </c>
      <c r="O358" s="50">
        <v>9</v>
      </c>
      <c r="P358" s="50">
        <v>9</v>
      </c>
      <c r="Q358" s="51">
        <f t="shared" si="16"/>
        <v>10030</v>
      </c>
      <c r="R358" s="48"/>
      <c r="S358" s="24" t="s">
        <v>468</v>
      </c>
      <c r="T358" s="43">
        <v>45833</v>
      </c>
      <c r="U358" s="43" t="s">
        <v>469</v>
      </c>
      <c r="V358" s="46" t="s">
        <v>33</v>
      </c>
      <c r="W358" s="54" t="s">
        <v>34</v>
      </c>
    </row>
    <row r="359" spans="1:23" s="27" customFormat="1" ht="34.950000000000003" customHeight="1" x14ac:dyDescent="0.25">
      <c r="A359" s="12">
        <f>SUBTOTAL(3,$B$2:B359)</f>
        <v>358</v>
      </c>
      <c r="B359" s="13">
        <v>98</v>
      </c>
      <c r="C359" s="14">
        <v>45833</v>
      </c>
      <c r="D359" s="13">
        <v>0</v>
      </c>
      <c r="E359" s="14">
        <v>0</v>
      </c>
      <c r="F359" s="15" t="s">
        <v>472</v>
      </c>
      <c r="G359" s="25" t="s">
        <v>473</v>
      </c>
      <c r="H359" s="16" t="s">
        <v>474</v>
      </c>
      <c r="I359" s="17"/>
      <c r="J359" s="14"/>
      <c r="K359" s="60">
        <v>1</v>
      </c>
      <c r="L359" s="21">
        <f t="shared" si="15"/>
        <v>1</v>
      </c>
      <c r="M359" s="20">
        <f t="shared" si="17"/>
        <v>2525.42</v>
      </c>
      <c r="N359" s="20">
        <v>2525.42</v>
      </c>
      <c r="O359" s="22">
        <v>9</v>
      </c>
      <c r="P359" s="22">
        <v>9</v>
      </c>
      <c r="Q359" s="23">
        <f t="shared" si="16"/>
        <v>2979.9955999999997</v>
      </c>
      <c r="R359" s="20"/>
      <c r="S359" s="18" t="s">
        <v>475</v>
      </c>
      <c r="T359" s="14">
        <v>45831</v>
      </c>
      <c r="U359" s="14" t="s">
        <v>423</v>
      </c>
      <c r="V359" s="16" t="s">
        <v>18</v>
      </c>
      <c r="W359" s="61" t="s">
        <v>112</v>
      </c>
    </row>
    <row r="360" spans="1:23" s="27" customFormat="1" ht="34.950000000000003" customHeight="1" x14ac:dyDescent="0.25">
      <c r="A360" s="12">
        <f>SUBTOTAL(3,$B$2:B360)</f>
        <v>359</v>
      </c>
      <c r="B360" s="13">
        <v>99</v>
      </c>
      <c r="C360" s="14">
        <v>45833</v>
      </c>
      <c r="D360" s="13">
        <v>0</v>
      </c>
      <c r="E360" s="14">
        <v>0</v>
      </c>
      <c r="F360" s="15" t="s">
        <v>476</v>
      </c>
      <c r="G360" s="25" t="s">
        <v>477</v>
      </c>
      <c r="H360" s="16" t="s">
        <v>478</v>
      </c>
      <c r="I360" s="17"/>
      <c r="J360" s="14"/>
      <c r="K360" s="60">
        <v>5</v>
      </c>
      <c r="L360" s="21">
        <f t="shared" si="15"/>
        <v>5</v>
      </c>
      <c r="M360" s="20">
        <f t="shared" si="17"/>
        <v>250</v>
      </c>
      <c r="N360" s="20">
        <v>50</v>
      </c>
      <c r="O360" s="22">
        <v>0</v>
      </c>
      <c r="P360" s="22">
        <v>0</v>
      </c>
      <c r="Q360" s="23">
        <f t="shared" si="16"/>
        <v>250</v>
      </c>
      <c r="R360" s="20"/>
      <c r="S360" s="18" t="s">
        <v>479</v>
      </c>
      <c r="T360" s="14">
        <v>45833</v>
      </c>
      <c r="U360" s="14" t="s">
        <v>423</v>
      </c>
      <c r="V360" s="16" t="s">
        <v>18</v>
      </c>
      <c r="W360" s="61" t="s">
        <v>34</v>
      </c>
    </row>
    <row r="361" spans="1:23" s="27" customFormat="1" ht="34.950000000000003" customHeight="1" x14ac:dyDescent="0.25">
      <c r="A361" s="12">
        <f>SUBTOTAL(3,$B$2:B361)</f>
        <v>360</v>
      </c>
      <c r="B361" s="42">
        <v>100</v>
      </c>
      <c r="C361" s="43">
        <v>45833</v>
      </c>
      <c r="D361" s="42">
        <v>0</v>
      </c>
      <c r="E361" s="43">
        <v>0</v>
      </c>
      <c r="F361" s="45" t="s">
        <v>92</v>
      </c>
      <c r="G361" s="52" t="s">
        <v>477</v>
      </c>
      <c r="H361" s="46" t="s">
        <v>478</v>
      </c>
      <c r="I361" s="46"/>
      <c r="J361" s="43"/>
      <c r="K361" s="73">
        <v>200</v>
      </c>
      <c r="L361" s="62">
        <f t="shared" si="15"/>
        <v>200</v>
      </c>
      <c r="M361" s="48">
        <f t="shared" si="17"/>
        <v>6400</v>
      </c>
      <c r="N361" s="48">
        <v>32</v>
      </c>
      <c r="O361" s="50">
        <v>0</v>
      </c>
      <c r="P361" s="50">
        <v>0</v>
      </c>
      <c r="Q361" s="51">
        <f t="shared" si="16"/>
        <v>6400</v>
      </c>
      <c r="R361" s="48"/>
      <c r="S361" s="64">
        <v>32506250323</v>
      </c>
      <c r="T361" s="43">
        <v>45833</v>
      </c>
      <c r="U361" s="24" t="s">
        <v>109</v>
      </c>
      <c r="V361" s="46" t="s">
        <v>25</v>
      </c>
      <c r="W361" s="54"/>
    </row>
    <row r="362" spans="1:23" s="27" customFormat="1" ht="34.950000000000003" customHeight="1" x14ac:dyDescent="0.25">
      <c r="A362" s="12">
        <f>SUBTOTAL(3,$B$2:B362)</f>
        <v>361</v>
      </c>
      <c r="B362" s="42">
        <v>101</v>
      </c>
      <c r="C362" s="43">
        <v>45833</v>
      </c>
      <c r="D362" s="42">
        <v>0</v>
      </c>
      <c r="E362" s="43">
        <v>0</v>
      </c>
      <c r="F362" s="45" t="s">
        <v>380</v>
      </c>
      <c r="G362" s="82" t="s">
        <v>398</v>
      </c>
      <c r="H362" s="76" t="s">
        <v>16</v>
      </c>
      <c r="I362" s="46"/>
      <c r="J362" s="43"/>
      <c r="K362" s="73">
        <v>100</v>
      </c>
      <c r="L362" s="62">
        <f t="shared" si="15"/>
        <v>100</v>
      </c>
      <c r="M362" s="48">
        <f t="shared" si="17"/>
        <v>116400</v>
      </c>
      <c r="N362" s="48">
        <v>1164</v>
      </c>
      <c r="O362" s="50">
        <v>0</v>
      </c>
      <c r="P362" s="50">
        <v>0</v>
      </c>
      <c r="Q362" s="51">
        <f t="shared" si="16"/>
        <v>116400</v>
      </c>
      <c r="R362" s="48"/>
      <c r="S362" s="64">
        <v>236718</v>
      </c>
      <c r="T362" s="43">
        <v>45833</v>
      </c>
      <c r="U362" s="24" t="s">
        <v>109</v>
      </c>
      <c r="V362" s="46" t="s">
        <v>25</v>
      </c>
      <c r="W362" s="54"/>
    </row>
    <row r="363" spans="1:23" s="27" customFormat="1" ht="34.950000000000003" customHeight="1" x14ac:dyDescent="0.25">
      <c r="A363" s="12">
        <f>SUBTOTAL(3,$B$2:B363)</f>
        <v>362</v>
      </c>
      <c r="B363" s="42">
        <v>101</v>
      </c>
      <c r="C363" s="43">
        <v>45833</v>
      </c>
      <c r="D363" s="42">
        <v>0</v>
      </c>
      <c r="E363" s="43">
        <v>0</v>
      </c>
      <c r="F363" s="45" t="s">
        <v>380</v>
      </c>
      <c r="G363" s="82" t="s">
        <v>381</v>
      </c>
      <c r="H363" s="76" t="s">
        <v>16</v>
      </c>
      <c r="I363" s="46"/>
      <c r="J363" s="43"/>
      <c r="K363" s="73">
        <v>700</v>
      </c>
      <c r="L363" s="62">
        <f t="shared" si="15"/>
        <v>700</v>
      </c>
      <c r="M363" s="48">
        <f t="shared" si="17"/>
        <v>415254</v>
      </c>
      <c r="N363" s="48">
        <v>593.22</v>
      </c>
      <c r="O363" s="50"/>
      <c r="P363" s="50"/>
      <c r="Q363" s="51">
        <f t="shared" si="16"/>
        <v>415254</v>
      </c>
      <c r="R363" s="48"/>
      <c r="S363" s="64">
        <v>236718</v>
      </c>
      <c r="T363" s="43">
        <v>45833</v>
      </c>
      <c r="U363" s="24" t="s">
        <v>109</v>
      </c>
      <c r="V363" s="46" t="s">
        <v>25</v>
      </c>
      <c r="W363" s="54"/>
    </row>
    <row r="364" spans="1:23" s="27" customFormat="1" ht="34.950000000000003" customHeight="1" x14ac:dyDescent="0.25">
      <c r="A364" s="12">
        <f>SUBTOTAL(3,$B$2:B364)</f>
        <v>363</v>
      </c>
      <c r="B364" s="42">
        <v>102</v>
      </c>
      <c r="C364" s="43">
        <v>45834</v>
      </c>
      <c r="D364" s="42">
        <v>0</v>
      </c>
      <c r="E364" s="43">
        <v>0</v>
      </c>
      <c r="F364" s="45" t="s">
        <v>380</v>
      </c>
      <c r="G364" s="71" t="s">
        <v>480</v>
      </c>
      <c r="H364" s="76" t="s">
        <v>16</v>
      </c>
      <c r="I364" s="46"/>
      <c r="J364" s="43"/>
      <c r="K364" s="73">
        <v>500</v>
      </c>
      <c r="L364" s="62">
        <f t="shared" si="15"/>
        <v>500</v>
      </c>
      <c r="M364" s="48">
        <f t="shared" si="17"/>
        <v>296610</v>
      </c>
      <c r="N364" s="48">
        <v>593.22</v>
      </c>
      <c r="O364" s="50"/>
      <c r="P364" s="50"/>
      <c r="Q364" s="51">
        <f t="shared" si="16"/>
        <v>296610</v>
      </c>
      <c r="R364" s="48">
        <v>0</v>
      </c>
      <c r="S364" s="64">
        <v>236719</v>
      </c>
      <c r="T364" s="43">
        <v>45834</v>
      </c>
      <c r="U364" s="24" t="s">
        <v>109</v>
      </c>
      <c r="V364" s="46" t="s">
        <v>25</v>
      </c>
      <c r="W364" s="54"/>
    </row>
    <row r="365" spans="1:23" s="27" customFormat="1" ht="34.950000000000003" customHeight="1" x14ac:dyDescent="0.25">
      <c r="A365" s="12">
        <f>SUBTOTAL(3,$B$2:B365)</f>
        <v>364</v>
      </c>
      <c r="B365" s="42">
        <v>102</v>
      </c>
      <c r="C365" s="43">
        <v>45834</v>
      </c>
      <c r="D365" s="42">
        <v>0</v>
      </c>
      <c r="E365" s="43">
        <v>0</v>
      </c>
      <c r="F365" s="45" t="s">
        <v>380</v>
      </c>
      <c r="G365" s="82" t="s">
        <v>381</v>
      </c>
      <c r="H365" s="76" t="s">
        <v>16</v>
      </c>
      <c r="I365" s="46"/>
      <c r="J365" s="43"/>
      <c r="K365" s="73">
        <v>370</v>
      </c>
      <c r="L365" s="62">
        <f t="shared" si="15"/>
        <v>370</v>
      </c>
      <c r="M365" s="48">
        <f t="shared" si="17"/>
        <v>219491</v>
      </c>
      <c r="N365" s="48">
        <v>593.21891891891892</v>
      </c>
      <c r="O365" s="50"/>
      <c r="P365" s="50"/>
      <c r="Q365" s="51">
        <f t="shared" si="16"/>
        <v>219491</v>
      </c>
      <c r="R365" s="48">
        <v>0</v>
      </c>
      <c r="S365" s="64">
        <v>236719</v>
      </c>
      <c r="T365" s="43">
        <v>45834</v>
      </c>
      <c r="U365" s="24" t="s">
        <v>109</v>
      </c>
      <c r="V365" s="46" t="s">
        <v>25</v>
      </c>
      <c r="W365" s="54"/>
    </row>
    <row r="366" spans="1:23" s="27" customFormat="1" ht="34.950000000000003" customHeight="1" x14ac:dyDescent="0.25">
      <c r="A366" s="12">
        <f>SUBTOTAL(3,$B$2:B366)</f>
        <v>365</v>
      </c>
      <c r="B366" s="42">
        <v>102</v>
      </c>
      <c r="C366" s="43">
        <v>45834</v>
      </c>
      <c r="D366" s="42">
        <v>0</v>
      </c>
      <c r="E366" s="43">
        <v>0</v>
      </c>
      <c r="F366" s="45" t="s">
        <v>380</v>
      </c>
      <c r="G366" s="82" t="s">
        <v>398</v>
      </c>
      <c r="H366" s="76" t="s">
        <v>16</v>
      </c>
      <c r="I366" s="46"/>
      <c r="J366" s="43"/>
      <c r="K366" s="73">
        <v>116</v>
      </c>
      <c r="L366" s="62">
        <f t="shared" si="15"/>
        <v>116</v>
      </c>
      <c r="M366" s="48">
        <f t="shared" si="17"/>
        <v>135024</v>
      </c>
      <c r="N366" s="48">
        <v>1164</v>
      </c>
      <c r="O366" s="50"/>
      <c r="P366" s="50"/>
      <c r="Q366" s="51">
        <f t="shared" si="16"/>
        <v>135024</v>
      </c>
      <c r="R366" s="48">
        <v>0</v>
      </c>
      <c r="S366" s="64">
        <v>236719</v>
      </c>
      <c r="T366" s="43">
        <v>45834</v>
      </c>
      <c r="U366" s="24" t="s">
        <v>109</v>
      </c>
      <c r="V366" s="46" t="s">
        <v>25</v>
      </c>
      <c r="W366" s="54"/>
    </row>
    <row r="367" spans="1:23" s="27" customFormat="1" ht="34.950000000000003" customHeight="1" x14ac:dyDescent="0.25">
      <c r="A367" s="12">
        <f>SUBTOTAL(3,$B$2:B367)</f>
        <v>366</v>
      </c>
      <c r="B367" s="13">
        <v>103</v>
      </c>
      <c r="C367" s="14">
        <v>45834</v>
      </c>
      <c r="D367" s="13">
        <v>0</v>
      </c>
      <c r="E367" s="14">
        <v>0</v>
      </c>
      <c r="F367" s="15" t="s">
        <v>481</v>
      </c>
      <c r="G367" s="77" t="s">
        <v>482</v>
      </c>
      <c r="H367" s="78" t="s">
        <v>16</v>
      </c>
      <c r="I367" s="16"/>
      <c r="J367" s="14"/>
      <c r="K367" s="75">
        <v>20</v>
      </c>
      <c r="L367" s="21">
        <f t="shared" si="15"/>
        <v>20</v>
      </c>
      <c r="M367" s="20">
        <f t="shared" si="17"/>
        <v>3800</v>
      </c>
      <c r="N367" s="20">
        <v>190</v>
      </c>
      <c r="O367" s="22"/>
      <c r="P367" s="22"/>
      <c r="Q367" s="23">
        <f t="shared" si="16"/>
        <v>3800</v>
      </c>
      <c r="R367" s="20">
        <v>350</v>
      </c>
      <c r="S367" s="85" t="s">
        <v>483</v>
      </c>
      <c r="T367" s="14">
        <v>45834</v>
      </c>
      <c r="U367" s="18" t="s">
        <v>484</v>
      </c>
      <c r="V367" s="16" t="s">
        <v>18</v>
      </c>
      <c r="W367" s="61" t="s">
        <v>34</v>
      </c>
    </row>
    <row r="368" spans="1:23" s="27" customFormat="1" ht="34.950000000000003" customHeight="1" x14ac:dyDescent="0.25">
      <c r="A368" s="12">
        <f>SUBTOTAL(3,$B$2:B368)</f>
        <v>367</v>
      </c>
      <c r="B368" s="42">
        <v>104</v>
      </c>
      <c r="C368" s="43">
        <v>45835</v>
      </c>
      <c r="D368" s="42">
        <v>82507310010</v>
      </c>
      <c r="E368" s="44">
        <v>45869</v>
      </c>
      <c r="F368" s="45" t="s">
        <v>35</v>
      </c>
      <c r="G368" s="71" t="s">
        <v>485</v>
      </c>
      <c r="H368" s="76" t="s">
        <v>37</v>
      </c>
      <c r="I368" s="46" t="s">
        <v>38</v>
      </c>
      <c r="J368" s="43">
        <v>45733</v>
      </c>
      <c r="K368" s="55">
        <v>7</v>
      </c>
      <c r="L368" s="49">
        <f t="shared" si="15"/>
        <v>7</v>
      </c>
      <c r="M368" s="48">
        <f t="shared" si="17"/>
        <v>34406.75</v>
      </c>
      <c r="N368" s="48">
        <v>4915.25</v>
      </c>
      <c r="O368" s="50">
        <v>9</v>
      </c>
      <c r="P368" s="50">
        <v>9</v>
      </c>
      <c r="Q368" s="51">
        <f t="shared" si="16"/>
        <v>40599.964999999997</v>
      </c>
      <c r="R368" s="48"/>
      <c r="S368" s="64" t="s">
        <v>486</v>
      </c>
      <c r="T368" s="43">
        <v>45835</v>
      </c>
      <c r="U368" s="24" t="s">
        <v>230</v>
      </c>
      <c r="V368" s="46" t="s">
        <v>33</v>
      </c>
      <c r="W368" s="54" t="s">
        <v>34</v>
      </c>
    </row>
    <row r="369" spans="1:23" s="27" customFormat="1" ht="34.950000000000003" customHeight="1" x14ac:dyDescent="0.35">
      <c r="A369" s="12">
        <f>SUBTOTAL(3,$B$2:B369)</f>
        <v>368</v>
      </c>
      <c r="B369" s="42">
        <v>105</v>
      </c>
      <c r="C369" s="43">
        <v>45835</v>
      </c>
      <c r="D369" s="42">
        <v>82507310011</v>
      </c>
      <c r="E369" s="44">
        <v>45869</v>
      </c>
      <c r="F369" s="45" t="s">
        <v>35</v>
      </c>
      <c r="G369" s="53" t="s">
        <v>485</v>
      </c>
      <c r="H369" s="72" t="s">
        <v>37</v>
      </c>
      <c r="I369" s="46" t="s">
        <v>38</v>
      </c>
      <c r="J369" s="43">
        <v>45733</v>
      </c>
      <c r="K369" s="55">
        <v>7</v>
      </c>
      <c r="L369" s="49">
        <f t="shared" si="15"/>
        <v>7</v>
      </c>
      <c r="M369" s="48">
        <f t="shared" si="17"/>
        <v>34406.75</v>
      </c>
      <c r="N369" s="48">
        <v>4915.25</v>
      </c>
      <c r="O369" s="50">
        <v>9</v>
      </c>
      <c r="P369" s="50">
        <v>9</v>
      </c>
      <c r="Q369" s="51">
        <f t="shared" si="16"/>
        <v>40599.964999999997</v>
      </c>
      <c r="R369" s="48"/>
      <c r="S369" s="64" t="s">
        <v>487</v>
      </c>
      <c r="T369" s="43">
        <v>45835</v>
      </c>
      <c r="U369" s="24" t="s">
        <v>97</v>
      </c>
      <c r="V369" s="46" t="s">
        <v>33</v>
      </c>
      <c r="W369" s="54" t="s">
        <v>34</v>
      </c>
    </row>
    <row r="370" spans="1:23" s="27" customFormat="1" ht="34.950000000000003" customHeight="1" x14ac:dyDescent="0.25">
      <c r="A370" s="12">
        <f>SUBTOTAL(3,$B$2:B370)</f>
        <v>369</v>
      </c>
      <c r="B370" s="42">
        <v>106</v>
      </c>
      <c r="C370" s="43">
        <v>45835</v>
      </c>
      <c r="D370" s="42">
        <v>82507310012</v>
      </c>
      <c r="E370" s="44">
        <v>45869</v>
      </c>
      <c r="F370" s="45" t="s">
        <v>35</v>
      </c>
      <c r="G370" s="71" t="s">
        <v>485</v>
      </c>
      <c r="H370" s="76" t="s">
        <v>37</v>
      </c>
      <c r="I370" s="46" t="s">
        <v>38</v>
      </c>
      <c r="J370" s="43">
        <v>45733</v>
      </c>
      <c r="K370" s="55">
        <v>7</v>
      </c>
      <c r="L370" s="49">
        <f t="shared" si="15"/>
        <v>7</v>
      </c>
      <c r="M370" s="48">
        <f t="shared" si="17"/>
        <v>34406.75</v>
      </c>
      <c r="N370" s="48">
        <v>4915.25</v>
      </c>
      <c r="O370" s="50">
        <v>9</v>
      </c>
      <c r="P370" s="50">
        <v>9</v>
      </c>
      <c r="Q370" s="51">
        <f t="shared" si="16"/>
        <v>40599.964999999997</v>
      </c>
      <c r="R370" s="48"/>
      <c r="S370" s="64" t="s">
        <v>488</v>
      </c>
      <c r="T370" s="43">
        <v>45835</v>
      </c>
      <c r="U370" s="24" t="s">
        <v>99</v>
      </c>
      <c r="V370" s="46" t="s">
        <v>33</v>
      </c>
      <c r="W370" s="54" t="s">
        <v>34</v>
      </c>
    </row>
    <row r="371" spans="1:23" s="27" customFormat="1" ht="34.950000000000003" customHeight="1" x14ac:dyDescent="0.35">
      <c r="A371" s="12">
        <f>SUBTOTAL(3,$B$2:B371)</f>
        <v>370</v>
      </c>
      <c r="B371" s="42">
        <v>107</v>
      </c>
      <c r="C371" s="43">
        <v>45835</v>
      </c>
      <c r="D371" s="42">
        <v>82507310013</v>
      </c>
      <c r="E371" s="44">
        <v>45869</v>
      </c>
      <c r="F371" s="45" t="s">
        <v>35</v>
      </c>
      <c r="G371" s="71" t="s">
        <v>485</v>
      </c>
      <c r="H371" s="72" t="s">
        <v>37</v>
      </c>
      <c r="I371" s="46" t="s">
        <v>38</v>
      </c>
      <c r="J371" s="43">
        <v>45733</v>
      </c>
      <c r="K371" s="55">
        <v>7</v>
      </c>
      <c r="L371" s="49">
        <f t="shared" si="15"/>
        <v>7</v>
      </c>
      <c r="M371" s="48">
        <f t="shared" si="17"/>
        <v>34406.75</v>
      </c>
      <c r="N371" s="48">
        <v>4915.25</v>
      </c>
      <c r="O371" s="50">
        <v>9</v>
      </c>
      <c r="P371" s="50">
        <v>9</v>
      </c>
      <c r="Q371" s="51">
        <f t="shared" si="16"/>
        <v>40599.964999999997</v>
      </c>
      <c r="R371" s="48"/>
      <c r="S371" s="64" t="s">
        <v>489</v>
      </c>
      <c r="T371" s="43">
        <v>45835</v>
      </c>
      <c r="U371" s="24" t="s">
        <v>228</v>
      </c>
      <c r="V371" s="46" t="s">
        <v>33</v>
      </c>
      <c r="W371" s="54" t="s">
        <v>34</v>
      </c>
    </row>
    <row r="372" spans="1:23" s="27" customFormat="1" ht="34.950000000000003" customHeight="1" x14ac:dyDescent="0.25">
      <c r="A372" s="12">
        <f>SUBTOTAL(3,$B$2:B372)</f>
        <v>371</v>
      </c>
      <c r="B372" s="42">
        <v>108</v>
      </c>
      <c r="C372" s="43">
        <v>45835</v>
      </c>
      <c r="D372" s="42">
        <v>82507310014</v>
      </c>
      <c r="E372" s="44">
        <v>45869</v>
      </c>
      <c r="F372" s="45" t="s">
        <v>35</v>
      </c>
      <c r="G372" s="52" t="s">
        <v>485</v>
      </c>
      <c r="H372" s="46" t="s">
        <v>37</v>
      </c>
      <c r="I372" s="46" t="s">
        <v>38</v>
      </c>
      <c r="J372" s="43">
        <v>45733</v>
      </c>
      <c r="K372" s="55">
        <v>7</v>
      </c>
      <c r="L372" s="49">
        <f t="shared" si="15"/>
        <v>7</v>
      </c>
      <c r="M372" s="48">
        <f t="shared" si="17"/>
        <v>34406.75</v>
      </c>
      <c r="N372" s="48">
        <v>4915.25</v>
      </c>
      <c r="O372" s="50">
        <v>9</v>
      </c>
      <c r="P372" s="50">
        <v>9</v>
      </c>
      <c r="Q372" s="51">
        <f t="shared" si="16"/>
        <v>40599.964999999997</v>
      </c>
      <c r="R372" s="48"/>
      <c r="S372" s="64" t="s">
        <v>490</v>
      </c>
      <c r="T372" s="43">
        <v>45835</v>
      </c>
      <c r="U372" s="24" t="s">
        <v>101</v>
      </c>
      <c r="V372" s="46" t="s">
        <v>33</v>
      </c>
      <c r="W372" s="54" t="s">
        <v>34</v>
      </c>
    </row>
    <row r="373" spans="1:23" s="27" customFormat="1" ht="34.950000000000003" customHeight="1" x14ac:dyDescent="0.35">
      <c r="A373" s="12">
        <f>SUBTOTAL(3,$B$2:B373)</f>
        <v>372</v>
      </c>
      <c r="B373" s="42">
        <v>109</v>
      </c>
      <c r="C373" s="43">
        <v>45835</v>
      </c>
      <c r="D373" s="42">
        <v>82507310015</v>
      </c>
      <c r="E373" s="44">
        <v>45869</v>
      </c>
      <c r="F373" s="45" t="s">
        <v>35</v>
      </c>
      <c r="G373" s="53" t="s">
        <v>485</v>
      </c>
      <c r="H373" s="72" t="s">
        <v>37</v>
      </c>
      <c r="I373" s="46" t="s">
        <v>38</v>
      </c>
      <c r="J373" s="43">
        <v>45733</v>
      </c>
      <c r="K373" s="104">
        <v>7</v>
      </c>
      <c r="L373" s="49">
        <f t="shared" si="15"/>
        <v>7</v>
      </c>
      <c r="M373" s="48">
        <f t="shared" si="17"/>
        <v>34406.75</v>
      </c>
      <c r="N373" s="48">
        <v>4915.25</v>
      </c>
      <c r="O373" s="50">
        <v>9</v>
      </c>
      <c r="P373" s="50">
        <v>9</v>
      </c>
      <c r="Q373" s="51">
        <f t="shared" si="16"/>
        <v>40599.964999999997</v>
      </c>
      <c r="R373" s="48"/>
      <c r="S373" s="64" t="s">
        <v>491</v>
      </c>
      <c r="T373" s="43">
        <v>45835</v>
      </c>
      <c r="U373" s="24" t="s">
        <v>492</v>
      </c>
      <c r="V373" s="46" t="s">
        <v>33</v>
      </c>
      <c r="W373" s="54" t="s">
        <v>34</v>
      </c>
    </row>
    <row r="374" spans="1:23" s="27" customFormat="1" ht="34.950000000000003" customHeight="1" x14ac:dyDescent="0.25">
      <c r="A374" s="12">
        <f>SUBTOTAL(3,$B$2:B374)</f>
        <v>373</v>
      </c>
      <c r="B374" s="42">
        <v>110</v>
      </c>
      <c r="C374" s="43">
        <v>45835</v>
      </c>
      <c r="D374" s="42">
        <v>82507310016</v>
      </c>
      <c r="E374" s="44">
        <v>45869</v>
      </c>
      <c r="F374" s="45" t="s">
        <v>35</v>
      </c>
      <c r="G374" s="71" t="s">
        <v>485</v>
      </c>
      <c r="H374" s="76" t="s">
        <v>37</v>
      </c>
      <c r="I374" s="46" t="s">
        <v>38</v>
      </c>
      <c r="J374" s="43">
        <v>45733</v>
      </c>
      <c r="K374" s="104">
        <v>7</v>
      </c>
      <c r="L374" s="49">
        <f t="shared" si="15"/>
        <v>7</v>
      </c>
      <c r="M374" s="48">
        <f t="shared" si="17"/>
        <v>34406.75</v>
      </c>
      <c r="N374" s="48">
        <v>4915.25</v>
      </c>
      <c r="O374" s="50">
        <v>9</v>
      </c>
      <c r="P374" s="50">
        <v>9</v>
      </c>
      <c r="Q374" s="51">
        <f t="shared" si="16"/>
        <v>40599.964999999997</v>
      </c>
      <c r="R374" s="48"/>
      <c r="S374" s="64" t="s">
        <v>493</v>
      </c>
      <c r="T374" s="43">
        <v>45835</v>
      </c>
      <c r="U374" s="24" t="s">
        <v>97</v>
      </c>
      <c r="V374" s="46" t="s">
        <v>33</v>
      </c>
      <c r="W374" s="54" t="s">
        <v>34</v>
      </c>
    </row>
    <row r="375" spans="1:23" s="27" customFormat="1" ht="34.950000000000003" customHeight="1" x14ac:dyDescent="0.35">
      <c r="A375" s="12">
        <f>SUBTOTAL(3,$B$2:B375)</f>
        <v>374</v>
      </c>
      <c r="B375" s="42">
        <v>111</v>
      </c>
      <c r="C375" s="43">
        <v>45835</v>
      </c>
      <c r="D375" s="42">
        <v>82507310017</v>
      </c>
      <c r="E375" s="44">
        <v>45869</v>
      </c>
      <c r="F375" s="45" t="s">
        <v>35</v>
      </c>
      <c r="G375" s="53" t="s">
        <v>485</v>
      </c>
      <c r="H375" s="72" t="s">
        <v>37</v>
      </c>
      <c r="I375" s="46" t="s">
        <v>38</v>
      </c>
      <c r="J375" s="43">
        <v>45733</v>
      </c>
      <c r="K375" s="104">
        <v>7</v>
      </c>
      <c r="L375" s="49">
        <f t="shared" si="15"/>
        <v>7</v>
      </c>
      <c r="M375" s="48">
        <f t="shared" si="17"/>
        <v>34406.75</v>
      </c>
      <c r="N375" s="48">
        <v>4915.25</v>
      </c>
      <c r="O375" s="50">
        <v>9</v>
      </c>
      <c r="P375" s="50">
        <v>9</v>
      </c>
      <c r="Q375" s="51">
        <f t="shared" si="16"/>
        <v>40599.964999999997</v>
      </c>
      <c r="R375" s="48"/>
      <c r="S375" s="64" t="s">
        <v>494</v>
      </c>
      <c r="T375" s="43">
        <v>45835</v>
      </c>
      <c r="U375" s="24" t="s">
        <v>99</v>
      </c>
      <c r="V375" s="46" t="s">
        <v>33</v>
      </c>
      <c r="W375" s="54" t="s">
        <v>34</v>
      </c>
    </row>
    <row r="376" spans="1:23" s="27" customFormat="1" ht="34.950000000000003" customHeight="1" x14ac:dyDescent="0.25">
      <c r="A376" s="12">
        <f>SUBTOTAL(3,$B$2:B376)</f>
        <v>375</v>
      </c>
      <c r="B376" s="42">
        <v>112</v>
      </c>
      <c r="C376" s="43">
        <v>45835</v>
      </c>
      <c r="D376" s="42">
        <v>82507310018</v>
      </c>
      <c r="E376" s="44">
        <v>45869</v>
      </c>
      <c r="F376" s="45" t="s">
        <v>35</v>
      </c>
      <c r="G376" s="71" t="s">
        <v>485</v>
      </c>
      <c r="H376" s="76" t="s">
        <v>37</v>
      </c>
      <c r="I376" s="46" t="s">
        <v>38</v>
      </c>
      <c r="J376" s="43">
        <v>45733</v>
      </c>
      <c r="K376" s="104">
        <v>2.5</v>
      </c>
      <c r="L376" s="49">
        <f t="shared" si="15"/>
        <v>2.5</v>
      </c>
      <c r="M376" s="48">
        <f t="shared" si="17"/>
        <v>12288.125</v>
      </c>
      <c r="N376" s="48">
        <v>4915.25</v>
      </c>
      <c r="O376" s="50">
        <v>9</v>
      </c>
      <c r="P376" s="50">
        <v>9</v>
      </c>
      <c r="Q376" s="51">
        <f t="shared" si="16"/>
        <v>14499.987499999999</v>
      </c>
      <c r="R376" s="48"/>
      <c r="S376" s="64" t="s">
        <v>495</v>
      </c>
      <c r="T376" s="43">
        <v>45835</v>
      </c>
      <c r="U376" s="24" t="s">
        <v>101</v>
      </c>
      <c r="V376" s="46" t="s">
        <v>33</v>
      </c>
      <c r="W376" s="54" t="s">
        <v>34</v>
      </c>
    </row>
    <row r="377" spans="1:23" s="27" customFormat="1" ht="34.950000000000003" customHeight="1" x14ac:dyDescent="0.25">
      <c r="A377" s="12">
        <f>SUBTOTAL(3,$B$2:B377)</f>
        <v>376</v>
      </c>
      <c r="B377" s="42">
        <v>113</v>
      </c>
      <c r="C377" s="43">
        <v>45841</v>
      </c>
      <c r="D377" s="42">
        <v>82507310019</v>
      </c>
      <c r="E377" s="44">
        <v>45869</v>
      </c>
      <c r="F377" s="45" t="s">
        <v>35</v>
      </c>
      <c r="G377" s="52" t="s">
        <v>485</v>
      </c>
      <c r="H377" s="46" t="s">
        <v>37</v>
      </c>
      <c r="I377" s="12" t="s">
        <v>38</v>
      </c>
      <c r="J377" s="43">
        <v>45733</v>
      </c>
      <c r="K377" s="63">
        <v>1</v>
      </c>
      <c r="L377" s="49">
        <f t="shared" si="15"/>
        <v>1</v>
      </c>
      <c r="M377" s="48">
        <f t="shared" si="17"/>
        <v>4915.25</v>
      </c>
      <c r="N377" s="48">
        <v>4915.25</v>
      </c>
      <c r="O377" s="50">
        <v>9</v>
      </c>
      <c r="P377" s="50">
        <v>9</v>
      </c>
      <c r="Q377" s="51">
        <f t="shared" si="16"/>
        <v>5799.9949999999999</v>
      </c>
      <c r="R377" s="48"/>
      <c r="S377" s="24" t="s">
        <v>496</v>
      </c>
      <c r="T377" s="43">
        <v>45841</v>
      </c>
      <c r="U377" s="43" t="s">
        <v>101</v>
      </c>
      <c r="V377" s="46" t="s">
        <v>33</v>
      </c>
      <c r="W377" s="54" t="s">
        <v>34</v>
      </c>
    </row>
    <row r="378" spans="1:23" s="27" customFormat="1" ht="34.950000000000003" customHeight="1" x14ac:dyDescent="0.25">
      <c r="A378" s="12">
        <f>SUBTOTAL(3,$B$2:B378)</f>
        <v>377</v>
      </c>
      <c r="B378" s="13">
        <v>114</v>
      </c>
      <c r="C378" s="14">
        <v>45843</v>
      </c>
      <c r="D378" s="13">
        <v>0</v>
      </c>
      <c r="E378" s="14">
        <v>0</v>
      </c>
      <c r="F378" s="15" t="s">
        <v>250</v>
      </c>
      <c r="G378" s="25" t="s">
        <v>497</v>
      </c>
      <c r="H378" s="16" t="s">
        <v>16</v>
      </c>
      <c r="I378" s="17"/>
      <c r="J378" s="14"/>
      <c r="K378" s="19">
        <v>1</v>
      </c>
      <c r="L378" s="21">
        <f t="shared" si="15"/>
        <v>1</v>
      </c>
      <c r="M378" s="20">
        <f t="shared" si="17"/>
        <v>1500</v>
      </c>
      <c r="N378" s="20">
        <v>1500</v>
      </c>
      <c r="O378" s="22"/>
      <c r="P378" s="22"/>
      <c r="Q378" s="23">
        <f t="shared" si="16"/>
        <v>1500</v>
      </c>
      <c r="R378" s="20"/>
      <c r="S378" s="18">
        <v>81</v>
      </c>
      <c r="T378" s="14">
        <v>45840</v>
      </c>
      <c r="U378" s="14" t="s">
        <v>423</v>
      </c>
      <c r="V378" s="16" t="s">
        <v>18</v>
      </c>
      <c r="W378" s="61" t="s">
        <v>367</v>
      </c>
    </row>
    <row r="379" spans="1:23" s="27" customFormat="1" ht="34.950000000000003" customHeight="1" x14ac:dyDescent="0.25">
      <c r="A379" s="12">
        <f>SUBTOTAL(3,$B$2:B379)</f>
        <v>378</v>
      </c>
      <c r="B379" s="13">
        <v>114</v>
      </c>
      <c r="C379" s="14">
        <v>45843</v>
      </c>
      <c r="D379" s="13">
        <v>0</v>
      </c>
      <c r="E379" s="14">
        <v>0</v>
      </c>
      <c r="F379" s="15" t="s">
        <v>250</v>
      </c>
      <c r="G379" s="25" t="s">
        <v>498</v>
      </c>
      <c r="H379" s="16" t="s">
        <v>16</v>
      </c>
      <c r="I379" s="17"/>
      <c r="J379" s="14"/>
      <c r="K379" s="19">
        <v>1</v>
      </c>
      <c r="L379" s="21">
        <f t="shared" si="15"/>
        <v>1</v>
      </c>
      <c r="M379" s="20">
        <f t="shared" si="17"/>
        <v>1500</v>
      </c>
      <c r="N379" s="20">
        <v>1500</v>
      </c>
      <c r="O379" s="22"/>
      <c r="P379" s="22"/>
      <c r="Q379" s="23">
        <f t="shared" si="16"/>
        <v>1500</v>
      </c>
      <c r="R379" s="20"/>
      <c r="S379" s="18">
        <v>81</v>
      </c>
      <c r="T379" s="14">
        <v>45840</v>
      </c>
      <c r="U379" s="14" t="s">
        <v>423</v>
      </c>
      <c r="V379" s="16" t="s">
        <v>18</v>
      </c>
      <c r="W379" s="61" t="s">
        <v>367</v>
      </c>
    </row>
    <row r="380" spans="1:23" s="27" customFormat="1" ht="34.950000000000003" customHeight="1" x14ac:dyDescent="0.25">
      <c r="A380" s="12">
        <f>SUBTOTAL(3,$B$2:B380)</f>
        <v>379</v>
      </c>
      <c r="B380" s="13">
        <v>114</v>
      </c>
      <c r="C380" s="14">
        <v>45843</v>
      </c>
      <c r="D380" s="13">
        <v>0</v>
      </c>
      <c r="E380" s="14">
        <v>0</v>
      </c>
      <c r="F380" s="15" t="s">
        <v>250</v>
      </c>
      <c r="G380" s="15" t="s">
        <v>499</v>
      </c>
      <c r="H380" s="16" t="s">
        <v>16</v>
      </c>
      <c r="I380" s="105"/>
      <c r="J380" s="14"/>
      <c r="K380" s="106">
        <v>1</v>
      </c>
      <c r="L380" s="21">
        <f t="shared" si="15"/>
        <v>1</v>
      </c>
      <c r="M380" s="20">
        <f t="shared" si="17"/>
        <v>2500</v>
      </c>
      <c r="N380" s="20">
        <v>2500</v>
      </c>
      <c r="O380" s="22"/>
      <c r="P380" s="22"/>
      <c r="Q380" s="23">
        <f t="shared" si="16"/>
        <v>2500</v>
      </c>
      <c r="R380" s="20"/>
      <c r="S380" s="18">
        <v>81</v>
      </c>
      <c r="T380" s="14">
        <v>45840</v>
      </c>
      <c r="U380" s="14" t="s">
        <v>423</v>
      </c>
      <c r="V380" s="16" t="s">
        <v>18</v>
      </c>
      <c r="W380" s="61" t="s">
        <v>367</v>
      </c>
    </row>
    <row r="381" spans="1:23" s="27" customFormat="1" ht="34.950000000000003" customHeight="1" x14ac:dyDescent="0.25">
      <c r="A381" s="12">
        <f>SUBTOTAL(3,$B$2:B381)</f>
        <v>380</v>
      </c>
      <c r="B381" s="13">
        <v>115</v>
      </c>
      <c r="C381" s="14">
        <v>45843</v>
      </c>
      <c r="D381" s="13">
        <v>0</v>
      </c>
      <c r="E381" s="14">
        <v>0</v>
      </c>
      <c r="F381" s="15" t="s">
        <v>358</v>
      </c>
      <c r="G381" s="25" t="s">
        <v>221</v>
      </c>
      <c r="H381" s="16" t="s">
        <v>243</v>
      </c>
      <c r="I381" s="17"/>
      <c r="J381" s="14"/>
      <c r="K381" s="60">
        <v>2</v>
      </c>
      <c r="L381" s="21">
        <f t="shared" si="15"/>
        <v>2</v>
      </c>
      <c r="M381" s="20">
        <f t="shared" si="17"/>
        <v>200</v>
      </c>
      <c r="N381" s="20">
        <v>100</v>
      </c>
      <c r="O381" s="22"/>
      <c r="P381" s="22"/>
      <c r="Q381" s="23">
        <f t="shared" si="16"/>
        <v>200</v>
      </c>
      <c r="R381" s="20"/>
      <c r="S381" s="18">
        <v>294</v>
      </c>
      <c r="T381" s="14">
        <v>45843</v>
      </c>
      <c r="U381" s="14" t="s">
        <v>423</v>
      </c>
      <c r="V381" s="16" t="s">
        <v>18</v>
      </c>
      <c r="W381" s="61" t="s">
        <v>34</v>
      </c>
    </row>
    <row r="382" spans="1:23" s="27" customFormat="1" ht="34.950000000000003" customHeight="1" x14ac:dyDescent="0.25">
      <c r="A382" s="12">
        <f>SUBTOTAL(3,$B$2:B382)</f>
        <v>381</v>
      </c>
      <c r="B382" s="13">
        <v>115</v>
      </c>
      <c r="C382" s="14">
        <v>45843</v>
      </c>
      <c r="D382" s="13">
        <v>0</v>
      </c>
      <c r="E382" s="14">
        <v>0</v>
      </c>
      <c r="F382" s="15" t="s">
        <v>358</v>
      </c>
      <c r="G382" s="25" t="s">
        <v>500</v>
      </c>
      <c r="H382" s="16" t="s">
        <v>16</v>
      </c>
      <c r="I382" s="17"/>
      <c r="J382" s="14"/>
      <c r="K382" s="60">
        <v>4</v>
      </c>
      <c r="L382" s="21">
        <f t="shared" si="15"/>
        <v>4</v>
      </c>
      <c r="M382" s="20">
        <f t="shared" si="17"/>
        <v>120</v>
      </c>
      <c r="N382" s="20">
        <v>30</v>
      </c>
      <c r="O382" s="22"/>
      <c r="P382" s="22"/>
      <c r="Q382" s="23">
        <f t="shared" si="16"/>
        <v>120</v>
      </c>
      <c r="R382" s="20"/>
      <c r="S382" s="18">
        <v>294</v>
      </c>
      <c r="T382" s="14">
        <v>45843</v>
      </c>
      <c r="U382" s="14" t="s">
        <v>423</v>
      </c>
      <c r="V382" s="16" t="s">
        <v>18</v>
      </c>
      <c r="W382" s="61" t="s">
        <v>34</v>
      </c>
    </row>
    <row r="383" spans="1:23" s="27" customFormat="1" ht="34.950000000000003" customHeight="1" x14ac:dyDescent="0.25">
      <c r="A383" s="12">
        <f>SUBTOTAL(3,$B$2:B383)</f>
        <v>382</v>
      </c>
      <c r="B383" s="13">
        <v>115</v>
      </c>
      <c r="C383" s="14">
        <v>45843</v>
      </c>
      <c r="D383" s="13">
        <v>0</v>
      </c>
      <c r="E383" s="14">
        <v>0</v>
      </c>
      <c r="F383" s="15" t="s">
        <v>358</v>
      </c>
      <c r="G383" s="25" t="s">
        <v>501</v>
      </c>
      <c r="H383" s="16" t="s">
        <v>16</v>
      </c>
      <c r="I383" s="17"/>
      <c r="J383" s="14"/>
      <c r="K383" s="19">
        <v>5</v>
      </c>
      <c r="L383" s="21">
        <f t="shared" si="15"/>
        <v>5</v>
      </c>
      <c r="M383" s="20">
        <f t="shared" si="17"/>
        <v>200</v>
      </c>
      <c r="N383" s="20">
        <v>40</v>
      </c>
      <c r="O383" s="22"/>
      <c r="P383" s="22"/>
      <c r="Q383" s="23">
        <f t="shared" si="16"/>
        <v>200</v>
      </c>
      <c r="R383" s="20"/>
      <c r="S383" s="18">
        <v>294</v>
      </c>
      <c r="T383" s="14">
        <v>45843</v>
      </c>
      <c r="U383" s="14" t="s">
        <v>423</v>
      </c>
      <c r="V383" s="16" t="s">
        <v>18</v>
      </c>
      <c r="W383" s="61" t="s">
        <v>367</v>
      </c>
    </row>
    <row r="384" spans="1:23" s="27" customFormat="1" ht="34.950000000000003" customHeight="1" x14ac:dyDescent="0.25">
      <c r="A384" s="12">
        <f>SUBTOTAL(3,$B$2:B384)</f>
        <v>383</v>
      </c>
      <c r="B384" s="13">
        <v>116</v>
      </c>
      <c r="C384" s="14">
        <v>45847</v>
      </c>
      <c r="D384" s="13">
        <v>0</v>
      </c>
      <c r="E384" s="14">
        <v>0</v>
      </c>
      <c r="F384" s="15" t="s">
        <v>358</v>
      </c>
      <c r="G384" s="25" t="s">
        <v>502</v>
      </c>
      <c r="H384" s="16" t="s">
        <v>16</v>
      </c>
      <c r="I384" s="17"/>
      <c r="J384" s="14"/>
      <c r="K384" s="19">
        <v>2</v>
      </c>
      <c r="L384" s="21">
        <f t="shared" si="15"/>
        <v>2</v>
      </c>
      <c r="M384" s="20">
        <f t="shared" si="17"/>
        <v>320</v>
      </c>
      <c r="N384" s="20">
        <v>160</v>
      </c>
      <c r="O384" s="22"/>
      <c r="P384" s="22"/>
      <c r="Q384" s="23">
        <f t="shared" si="16"/>
        <v>320</v>
      </c>
      <c r="R384" s="20"/>
      <c r="S384" s="18">
        <v>290</v>
      </c>
      <c r="T384" s="14">
        <v>45847</v>
      </c>
      <c r="U384" s="14" t="s">
        <v>423</v>
      </c>
      <c r="V384" s="16" t="s">
        <v>18</v>
      </c>
      <c r="W384" s="61" t="s">
        <v>34</v>
      </c>
    </row>
    <row r="385" spans="1:23" s="27" customFormat="1" ht="34.950000000000003" customHeight="1" x14ac:dyDescent="0.25">
      <c r="A385" s="12">
        <f>SUBTOTAL(3,$B$2:B385)</f>
        <v>384</v>
      </c>
      <c r="B385" s="42">
        <v>117</v>
      </c>
      <c r="C385" s="43">
        <v>45848</v>
      </c>
      <c r="D385" s="42">
        <v>82507210001</v>
      </c>
      <c r="E385" s="44">
        <v>45859</v>
      </c>
      <c r="F385" s="45" t="s">
        <v>35</v>
      </c>
      <c r="G385" s="52" t="s">
        <v>485</v>
      </c>
      <c r="H385" s="46" t="s">
        <v>37</v>
      </c>
      <c r="I385" s="12" t="s">
        <v>38</v>
      </c>
      <c r="J385" s="43">
        <v>45733</v>
      </c>
      <c r="K385" s="63">
        <v>7</v>
      </c>
      <c r="L385" s="49">
        <f t="shared" si="15"/>
        <v>7</v>
      </c>
      <c r="M385" s="48">
        <f t="shared" si="17"/>
        <v>34406.75</v>
      </c>
      <c r="N385" s="48">
        <v>4915.25</v>
      </c>
      <c r="O385" s="50">
        <v>9</v>
      </c>
      <c r="P385" s="50">
        <v>9</v>
      </c>
      <c r="Q385" s="51">
        <f t="shared" si="16"/>
        <v>40599.964999999997</v>
      </c>
      <c r="R385" s="48"/>
      <c r="S385" s="24" t="s">
        <v>503</v>
      </c>
      <c r="T385" s="43">
        <v>45848</v>
      </c>
      <c r="U385" s="43" t="s">
        <v>40</v>
      </c>
      <c r="V385" s="46" t="s">
        <v>33</v>
      </c>
      <c r="W385" s="54" t="s">
        <v>34</v>
      </c>
    </row>
    <row r="386" spans="1:23" s="27" customFormat="1" ht="34.950000000000003" customHeight="1" x14ac:dyDescent="0.25">
      <c r="A386" s="12">
        <f>SUBTOTAL(3,$B$2:B386)</f>
        <v>385</v>
      </c>
      <c r="B386" s="42">
        <v>118</v>
      </c>
      <c r="C386" s="43">
        <v>45848</v>
      </c>
      <c r="D386" s="42">
        <v>82507310020</v>
      </c>
      <c r="E386" s="44">
        <v>45869</v>
      </c>
      <c r="F386" s="45" t="s">
        <v>35</v>
      </c>
      <c r="G386" s="52" t="s">
        <v>485</v>
      </c>
      <c r="H386" s="57" t="s">
        <v>37</v>
      </c>
      <c r="I386" s="46" t="s">
        <v>38</v>
      </c>
      <c r="J386" s="43">
        <v>45733</v>
      </c>
      <c r="K386" s="63">
        <v>7</v>
      </c>
      <c r="L386" s="49">
        <f t="shared" ref="L386:L449" si="18">K386</f>
        <v>7</v>
      </c>
      <c r="M386" s="48">
        <f t="shared" si="17"/>
        <v>34406.75</v>
      </c>
      <c r="N386" s="48">
        <v>4915.25</v>
      </c>
      <c r="O386" s="50">
        <v>9</v>
      </c>
      <c r="P386" s="50">
        <v>9</v>
      </c>
      <c r="Q386" s="51">
        <f t="shared" ref="Q386:Q449" si="19">IF(M386="","",M386*(1+(O386+P386)/100))</f>
        <v>40599.964999999997</v>
      </c>
      <c r="R386" s="48"/>
      <c r="S386" s="24" t="s">
        <v>504</v>
      </c>
      <c r="T386" s="43">
        <v>45848</v>
      </c>
      <c r="U386" s="43" t="s">
        <v>492</v>
      </c>
      <c r="V386" s="46" t="s">
        <v>33</v>
      </c>
      <c r="W386" s="54" t="s">
        <v>34</v>
      </c>
    </row>
    <row r="387" spans="1:23" s="27" customFormat="1" ht="34.950000000000003" customHeight="1" x14ac:dyDescent="0.25">
      <c r="A387" s="12">
        <f>SUBTOTAL(3,$B$2:B387)</f>
        <v>386</v>
      </c>
      <c r="B387" s="42">
        <v>119</v>
      </c>
      <c r="C387" s="43">
        <v>45848</v>
      </c>
      <c r="D387" s="42">
        <v>82507210002</v>
      </c>
      <c r="E387" s="44">
        <v>45859</v>
      </c>
      <c r="F387" s="45" t="s">
        <v>35</v>
      </c>
      <c r="G387" s="52" t="s">
        <v>485</v>
      </c>
      <c r="H387" s="46" t="s">
        <v>37</v>
      </c>
      <c r="I387" s="12" t="s">
        <v>38</v>
      </c>
      <c r="J387" s="43">
        <v>45733</v>
      </c>
      <c r="K387" s="63">
        <v>7</v>
      </c>
      <c r="L387" s="49">
        <f t="shared" si="18"/>
        <v>7</v>
      </c>
      <c r="M387" s="48">
        <f t="shared" si="17"/>
        <v>34406.75</v>
      </c>
      <c r="N387" s="48">
        <v>4915.25</v>
      </c>
      <c r="O387" s="50">
        <v>9</v>
      </c>
      <c r="P387" s="50">
        <v>9</v>
      </c>
      <c r="Q387" s="51">
        <f t="shared" si="19"/>
        <v>40599.964999999997</v>
      </c>
      <c r="R387" s="48"/>
      <c r="S387" s="24" t="s">
        <v>505</v>
      </c>
      <c r="T387" s="43">
        <v>45848</v>
      </c>
      <c r="U387" s="43" t="s">
        <v>506</v>
      </c>
      <c r="V387" s="46" t="s">
        <v>33</v>
      </c>
      <c r="W387" s="54" t="s">
        <v>34</v>
      </c>
    </row>
    <row r="388" spans="1:23" s="27" customFormat="1" ht="34.950000000000003" customHeight="1" x14ac:dyDescent="0.25">
      <c r="A388" s="12">
        <f>SUBTOTAL(3,$B$2:B388)</f>
        <v>387</v>
      </c>
      <c r="B388" s="42">
        <v>120</v>
      </c>
      <c r="C388" s="43">
        <v>45848</v>
      </c>
      <c r="D388" s="42">
        <v>82507310021</v>
      </c>
      <c r="E388" s="44">
        <v>45869</v>
      </c>
      <c r="F388" s="45" t="s">
        <v>35</v>
      </c>
      <c r="G388" s="52" t="s">
        <v>485</v>
      </c>
      <c r="H388" s="46" t="s">
        <v>37</v>
      </c>
      <c r="I388" s="12" t="s">
        <v>38</v>
      </c>
      <c r="J388" s="43">
        <v>45733</v>
      </c>
      <c r="K388" s="55">
        <v>7</v>
      </c>
      <c r="L388" s="49">
        <f t="shared" si="18"/>
        <v>7</v>
      </c>
      <c r="M388" s="48">
        <f t="shared" ref="M388:M451" si="20">L388*N388</f>
        <v>34406.75</v>
      </c>
      <c r="N388" s="48">
        <v>4915.25</v>
      </c>
      <c r="O388" s="50">
        <v>9</v>
      </c>
      <c r="P388" s="50">
        <v>9</v>
      </c>
      <c r="Q388" s="51">
        <f t="shared" si="19"/>
        <v>40599.964999999997</v>
      </c>
      <c r="R388" s="48"/>
      <c r="S388" s="24" t="s">
        <v>507</v>
      </c>
      <c r="T388" s="43">
        <v>45848</v>
      </c>
      <c r="U388" s="43" t="s">
        <v>101</v>
      </c>
      <c r="V388" s="46" t="s">
        <v>33</v>
      </c>
      <c r="W388" s="54" t="s">
        <v>34</v>
      </c>
    </row>
    <row r="389" spans="1:23" s="27" customFormat="1" ht="34.950000000000003" customHeight="1" x14ac:dyDescent="0.25">
      <c r="A389" s="12">
        <f>SUBTOTAL(3,$B$2:B389)</f>
        <v>388</v>
      </c>
      <c r="B389" s="42">
        <v>121</v>
      </c>
      <c r="C389" s="43">
        <v>45848</v>
      </c>
      <c r="D389" s="42">
        <v>82507210003</v>
      </c>
      <c r="E389" s="44">
        <v>45859</v>
      </c>
      <c r="F389" s="45" t="s">
        <v>35</v>
      </c>
      <c r="G389" s="52" t="s">
        <v>485</v>
      </c>
      <c r="H389" s="46" t="s">
        <v>37</v>
      </c>
      <c r="I389" s="12" t="s">
        <v>38</v>
      </c>
      <c r="J389" s="43">
        <v>45733</v>
      </c>
      <c r="K389" s="55">
        <v>7</v>
      </c>
      <c r="L389" s="49">
        <f t="shared" si="18"/>
        <v>7</v>
      </c>
      <c r="M389" s="48">
        <f t="shared" si="20"/>
        <v>34406.75</v>
      </c>
      <c r="N389" s="48">
        <v>4915.25</v>
      </c>
      <c r="O389" s="50">
        <v>9</v>
      </c>
      <c r="P389" s="50">
        <v>9</v>
      </c>
      <c r="Q389" s="51">
        <f t="shared" si="19"/>
        <v>40599.964999999997</v>
      </c>
      <c r="R389" s="48"/>
      <c r="S389" s="24" t="s">
        <v>508</v>
      </c>
      <c r="T389" s="43">
        <v>45848</v>
      </c>
      <c r="U389" s="43" t="s">
        <v>230</v>
      </c>
      <c r="V389" s="46" t="s">
        <v>33</v>
      </c>
      <c r="W389" s="54" t="s">
        <v>34</v>
      </c>
    </row>
    <row r="390" spans="1:23" s="27" customFormat="1" ht="34.950000000000003" customHeight="1" x14ac:dyDescent="0.25">
      <c r="A390" s="12">
        <f>SUBTOTAL(3,$B$2:B390)</f>
        <v>389</v>
      </c>
      <c r="B390" s="42">
        <v>122</v>
      </c>
      <c r="C390" s="43">
        <v>45848</v>
      </c>
      <c r="D390" s="42">
        <v>82507310022</v>
      </c>
      <c r="E390" s="44">
        <v>45869</v>
      </c>
      <c r="F390" s="45" t="s">
        <v>35</v>
      </c>
      <c r="G390" s="52" t="s">
        <v>485</v>
      </c>
      <c r="H390" s="46" t="s">
        <v>37</v>
      </c>
      <c r="I390" s="12" t="s">
        <v>38</v>
      </c>
      <c r="J390" s="43">
        <v>45733</v>
      </c>
      <c r="K390" s="55">
        <v>7</v>
      </c>
      <c r="L390" s="49">
        <f t="shared" si="18"/>
        <v>7</v>
      </c>
      <c r="M390" s="48">
        <f t="shared" si="20"/>
        <v>34406.75</v>
      </c>
      <c r="N390" s="48">
        <v>4915.25</v>
      </c>
      <c r="O390" s="50">
        <v>9</v>
      </c>
      <c r="P390" s="50">
        <v>9</v>
      </c>
      <c r="Q390" s="51">
        <f t="shared" si="19"/>
        <v>40599.964999999997</v>
      </c>
      <c r="R390" s="48"/>
      <c r="S390" s="24" t="s">
        <v>509</v>
      </c>
      <c r="T390" s="43">
        <v>45848</v>
      </c>
      <c r="U390" s="43" t="s">
        <v>99</v>
      </c>
      <c r="V390" s="46" t="s">
        <v>33</v>
      </c>
      <c r="W390" s="54" t="s">
        <v>34</v>
      </c>
    </row>
    <row r="391" spans="1:23" s="27" customFormat="1" ht="34.950000000000003" customHeight="1" x14ac:dyDescent="0.25">
      <c r="A391" s="12">
        <f>SUBTOTAL(3,$B$2:B391)</f>
        <v>390</v>
      </c>
      <c r="B391" s="42">
        <v>123</v>
      </c>
      <c r="C391" s="43">
        <v>45848</v>
      </c>
      <c r="D391" s="42">
        <v>82507310023</v>
      </c>
      <c r="E391" s="44">
        <v>45869</v>
      </c>
      <c r="F391" s="45" t="s">
        <v>35</v>
      </c>
      <c r="G391" s="52" t="s">
        <v>485</v>
      </c>
      <c r="H391" s="46" t="s">
        <v>37</v>
      </c>
      <c r="I391" s="12" t="s">
        <v>38</v>
      </c>
      <c r="J391" s="43">
        <v>45733</v>
      </c>
      <c r="K391" s="63">
        <v>7</v>
      </c>
      <c r="L391" s="49">
        <f t="shared" si="18"/>
        <v>7</v>
      </c>
      <c r="M391" s="48">
        <f t="shared" si="20"/>
        <v>34406.75</v>
      </c>
      <c r="N391" s="48">
        <v>4915.25</v>
      </c>
      <c r="O391" s="50">
        <v>9</v>
      </c>
      <c r="P391" s="50">
        <v>9</v>
      </c>
      <c r="Q391" s="51">
        <f t="shared" si="19"/>
        <v>40599.964999999997</v>
      </c>
      <c r="R391" s="48"/>
      <c r="S391" s="24" t="s">
        <v>510</v>
      </c>
      <c r="T391" s="43">
        <v>45848</v>
      </c>
      <c r="U391" s="43" t="s">
        <v>40</v>
      </c>
      <c r="V391" s="46" t="s">
        <v>33</v>
      </c>
      <c r="W391" s="54" t="s">
        <v>34</v>
      </c>
    </row>
    <row r="392" spans="1:23" s="27" customFormat="1" ht="34.950000000000003" customHeight="1" x14ac:dyDescent="0.25">
      <c r="A392" s="12">
        <f>SUBTOTAL(3,$B$2:B392)</f>
        <v>391</v>
      </c>
      <c r="B392" s="42">
        <v>124</v>
      </c>
      <c r="C392" s="43">
        <v>45848</v>
      </c>
      <c r="D392" s="42">
        <v>82507310024</v>
      </c>
      <c r="E392" s="44">
        <v>45869</v>
      </c>
      <c r="F392" s="45" t="s">
        <v>35</v>
      </c>
      <c r="G392" s="52" t="s">
        <v>485</v>
      </c>
      <c r="H392" s="46" t="s">
        <v>37</v>
      </c>
      <c r="I392" s="12" t="s">
        <v>38</v>
      </c>
      <c r="J392" s="43">
        <v>45733</v>
      </c>
      <c r="K392" s="63">
        <v>7</v>
      </c>
      <c r="L392" s="49">
        <f t="shared" si="18"/>
        <v>7</v>
      </c>
      <c r="M392" s="48">
        <f t="shared" si="20"/>
        <v>34406.75</v>
      </c>
      <c r="N392" s="48">
        <v>4915.25</v>
      </c>
      <c r="O392" s="50">
        <v>9</v>
      </c>
      <c r="P392" s="50">
        <v>9</v>
      </c>
      <c r="Q392" s="51">
        <f t="shared" si="19"/>
        <v>40599.964999999997</v>
      </c>
      <c r="R392" s="48"/>
      <c r="S392" s="24" t="s">
        <v>511</v>
      </c>
      <c r="T392" s="43">
        <v>45848</v>
      </c>
      <c r="U392" s="43" t="s">
        <v>492</v>
      </c>
      <c r="V392" s="46" t="s">
        <v>33</v>
      </c>
      <c r="W392" s="54" t="s">
        <v>34</v>
      </c>
    </row>
    <row r="393" spans="1:23" s="27" customFormat="1" ht="34.950000000000003" customHeight="1" x14ac:dyDescent="0.25">
      <c r="A393" s="12">
        <f>SUBTOTAL(3,$B$2:B393)</f>
        <v>392</v>
      </c>
      <c r="B393" s="42">
        <v>125</v>
      </c>
      <c r="C393" s="43">
        <v>45848</v>
      </c>
      <c r="D393" s="42">
        <v>82507310025</v>
      </c>
      <c r="E393" s="44">
        <v>45869</v>
      </c>
      <c r="F393" s="45" t="s">
        <v>35</v>
      </c>
      <c r="G393" s="52" t="s">
        <v>485</v>
      </c>
      <c r="H393" s="46" t="s">
        <v>37</v>
      </c>
      <c r="I393" s="12" t="s">
        <v>38</v>
      </c>
      <c r="J393" s="43">
        <v>45733</v>
      </c>
      <c r="K393" s="63">
        <v>7</v>
      </c>
      <c r="L393" s="49">
        <f t="shared" si="18"/>
        <v>7</v>
      </c>
      <c r="M393" s="48">
        <f t="shared" si="20"/>
        <v>34406.75</v>
      </c>
      <c r="N393" s="48">
        <v>4915.25</v>
      </c>
      <c r="O393" s="50">
        <v>9</v>
      </c>
      <c r="P393" s="50">
        <v>9</v>
      </c>
      <c r="Q393" s="51">
        <f t="shared" si="19"/>
        <v>40599.964999999997</v>
      </c>
      <c r="R393" s="48"/>
      <c r="S393" s="24" t="s">
        <v>512</v>
      </c>
      <c r="T393" s="43">
        <v>45848</v>
      </c>
      <c r="U393" s="43" t="s">
        <v>506</v>
      </c>
      <c r="V393" s="46" t="s">
        <v>33</v>
      </c>
      <c r="W393" s="54" t="s">
        <v>34</v>
      </c>
    </row>
    <row r="394" spans="1:23" s="27" customFormat="1" ht="34.950000000000003" customHeight="1" x14ac:dyDescent="0.25">
      <c r="A394" s="12">
        <f>SUBTOTAL(3,$B$2:B394)</f>
        <v>393</v>
      </c>
      <c r="B394" s="42">
        <v>126</v>
      </c>
      <c r="C394" s="43">
        <v>45848</v>
      </c>
      <c r="D394" s="42">
        <v>82507310026</v>
      </c>
      <c r="E394" s="44">
        <v>45869</v>
      </c>
      <c r="F394" s="45" t="s">
        <v>35</v>
      </c>
      <c r="G394" s="52" t="s">
        <v>485</v>
      </c>
      <c r="H394" s="46" t="s">
        <v>37</v>
      </c>
      <c r="I394" s="12" t="s">
        <v>38</v>
      </c>
      <c r="J394" s="43">
        <v>45733</v>
      </c>
      <c r="K394" s="63">
        <v>7</v>
      </c>
      <c r="L394" s="49">
        <f t="shared" si="18"/>
        <v>7</v>
      </c>
      <c r="M394" s="48">
        <f t="shared" si="20"/>
        <v>34406.75</v>
      </c>
      <c r="N394" s="48">
        <v>4915.25</v>
      </c>
      <c r="O394" s="50">
        <v>9</v>
      </c>
      <c r="P394" s="50">
        <v>9</v>
      </c>
      <c r="Q394" s="51">
        <f t="shared" si="19"/>
        <v>40599.964999999997</v>
      </c>
      <c r="R394" s="48"/>
      <c r="S394" s="24" t="s">
        <v>513</v>
      </c>
      <c r="T394" s="43">
        <v>45848</v>
      </c>
      <c r="U394" s="43" t="s">
        <v>514</v>
      </c>
      <c r="V394" s="46" t="s">
        <v>33</v>
      </c>
      <c r="W394" s="54" t="s">
        <v>34</v>
      </c>
    </row>
    <row r="395" spans="1:23" s="27" customFormat="1" ht="34.950000000000003" customHeight="1" x14ac:dyDescent="0.25">
      <c r="A395" s="12">
        <f>SUBTOTAL(3,$B$2:B395)</f>
        <v>394</v>
      </c>
      <c r="B395" s="42">
        <v>127</v>
      </c>
      <c r="C395" s="43">
        <v>45848</v>
      </c>
      <c r="D395" s="42">
        <v>82507310027</v>
      </c>
      <c r="E395" s="44">
        <v>45869</v>
      </c>
      <c r="F395" s="45" t="s">
        <v>35</v>
      </c>
      <c r="G395" s="52" t="s">
        <v>485</v>
      </c>
      <c r="H395" s="46" t="s">
        <v>37</v>
      </c>
      <c r="I395" s="12" t="s">
        <v>38</v>
      </c>
      <c r="J395" s="43">
        <v>45733</v>
      </c>
      <c r="K395" s="63">
        <v>4</v>
      </c>
      <c r="L395" s="49">
        <f t="shared" si="18"/>
        <v>4</v>
      </c>
      <c r="M395" s="48">
        <f t="shared" si="20"/>
        <v>19661</v>
      </c>
      <c r="N395" s="48">
        <v>4915.25</v>
      </c>
      <c r="O395" s="50">
        <v>9</v>
      </c>
      <c r="P395" s="50">
        <v>9</v>
      </c>
      <c r="Q395" s="51">
        <f t="shared" si="19"/>
        <v>23199.98</v>
      </c>
      <c r="R395" s="48"/>
      <c r="S395" s="24" t="s">
        <v>515</v>
      </c>
      <c r="T395" s="43">
        <v>45848</v>
      </c>
      <c r="U395" s="43" t="s">
        <v>101</v>
      </c>
      <c r="V395" s="46" t="s">
        <v>33</v>
      </c>
      <c r="W395" s="54" t="s">
        <v>34</v>
      </c>
    </row>
    <row r="396" spans="1:23" s="27" customFormat="1" ht="34.950000000000003" customHeight="1" x14ac:dyDescent="0.25">
      <c r="A396" s="12">
        <f>SUBTOTAL(3,$B$2:B396)</f>
        <v>395</v>
      </c>
      <c r="B396" s="13">
        <v>128</v>
      </c>
      <c r="C396" s="14">
        <v>45853</v>
      </c>
      <c r="D396" s="13">
        <v>0</v>
      </c>
      <c r="E396" s="14">
        <v>0</v>
      </c>
      <c r="F396" s="15" t="s">
        <v>358</v>
      </c>
      <c r="G396" s="25" t="s">
        <v>516</v>
      </c>
      <c r="H396" s="16" t="s">
        <v>478</v>
      </c>
      <c r="I396" s="17"/>
      <c r="J396" s="14"/>
      <c r="K396" s="60">
        <v>2</v>
      </c>
      <c r="L396" s="21">
        <f t="shared" si="18"/>
        <v>2</v>
      </c>
      <c r="M396" s="20">
        <f t="shared" si="20"/>
        <v>300</v>
      </c>
      <c r="N396" s="20">
        <v>150</v>
      </c>
      <c r="O396" s="22"/>
      <c r="P396" s="22"/>
      <c r="Q396" s="23">
        <f t="shared" si="19"/>
        <v>300</v>
      </c>
      <c r="R396" s="20"/>
      <c r="S396" s="18">
        <v>302</v>
      </c>
      <c r="T396" s="14">
        <v>45853</v>
      </c>
      <c r="U396" s="14" t="s">
        <v>91</v>
      </c>
      <c r="V396" s="16" t="s">
        <v>18</v>
      </c>
      <c r="W396" s="61" t="s">
        <v>34</v>
      </c>
    </row>
    <row r="397" spans="1:23" s="27" customFormat="1" ht="34.950000000000003" customHeight="1" x14ac:dyDescent="0.25">
      <c r="A397" s="12">
        <f>SUBTOTAL(3,$B$2:B397)</f>
        <v>396</v>
      </c>
      <c r="B397" s="13">
        <v>128</v>
      </c>
      <c r="C397" s="14">
        <v>45853</v>
      </c>
      <c r="D397" s="13">
        <v>0</v>
      </c>
      <c r="E397" s="14">
        <v>0</v>
      </c>
      <c r="F397" s="15" t="s">
        <v>358</v>
      </c>
      <c r="G397" s="102" t="s">
        <v>517</v>
      </c>
      <c r="H397" s="16" t="s">
        <v>478</v>
      </c>
      <c r="I397" s="103"/>
      <c r="J397" s="14"/>
      <c r="K397" s="19">
        <v>2</v>
      </c>
      <c r="L397" s="21">
        <f t="shared" si="18"/>
        <v>2</v>
      </c>
      <c r="M397" s="20">
        <f t="shared" si="20"/>
        <v>200</v>
      </c>
      <c r="N397" s="20">
        <v>100</v>
      </c>
      <c r="O397" s="22"/>
      <c r="P397" s="22"/>
      <c r="Q397" s="23">
        <f t="shared" si="19"/>
        <v>200</v>
      </c>
      <c r="R397" s="20"/>
      <c r="S397" s="85">
        <v>302</v>
      </c>
      <c r="T397" s="14">
        <v>45853</v>
      </c>
      <c r="U397" s="14" t="s">
        <v>91</v>
      </c>
      <c r="V397" s="16" t="s">
        <v>18</v>
      </c>
      <c r="W397" s="61" t="s">
        <v>34</v>
      </c>
    </row>
    <row r="398" spans="1:23" s="27" customFormat="1" ht="34.950000000000003" customHeight="1" x14ac:dyDescent="0.25">
      <c r="A398" s="12">
        <f>SUBTOTAL(3,$B$2:B398)</f>
        <v>397</v>
      </c>
      <c r="B398" s="42">
        <v>129</v>
      </c>
      <c r="C398" s="43">
        <v>45853</v>
      </c>
      <c r="D398" s="42">
        <v>82508230002</v>
      </c>
      <c r="E398" s="43">
        <v>45892</v>
      </c>
      <c r="F398" s="45" t="s">
        <v>518</v>
      </c>
      <c r="G398" s="52" t="s">
        <v>519</v>
      </c>
      <c r="H398" s="46" t="s">
        <v>16</v>
      </c>
      <c r="I398" s="67"/>
      <c r="J398" s="43"/>
      <c r="K398" s="80">
        <v>2</v>
      </c>
      <c r="L398" s="49">
        <f t="shared" si="18"/>
        <v>2</v>
      </c>
      <c r="M398" s="48">
        <f t="shared" si="20"/>
        <v>100</v>
      </c>
      <c r="N398" s="48">
        <v>50</v>
      </c>
      <c r="O398" s="50"/>
      <c r="P398" s="50"/>
      <c r="Q398" s="51">
        <f t="shared" si="19"/>
        <v>100</v>
      </c>
      <c r="R398" s="48"/>
      <c r="S398" s="64" t="s">
        <v>520</v>
      </c>
      <c r="T398" s="43">
        <v>45853</v>
      </c>
      <c r="U398" s="43" t="s">
        <v>91</v>
      </c>
      <c r="V398" s="46" t="s">
        <v>247</v>
      </c>
      <c r="W398" s="54" t="s">
        <v>34</v>
      </c>
    </row>
    <row r="399" spans="1:23" s="27" customFormat="1" ht="34.950000000000003" customHeight="1" x14ac:dyDescent="0.25">
      <c r="A399" s="12">
        <f>SUBTOTAL(3,$B$2:B399)</f>
        <v>398</v>
      </c>
      <c r="B399" s="13">
        <v>130</v>
      </c>
      <c r="C399" s="14">
        <v>45854</v>
      </c>
      <c r="D399" s="13">
        <v>0</v>
      </c>
      <c r="E399" s="14">
        <v>0</v>
      </c>
      <c r="F399" s="15" t="s">
        <v>358</v>
      </c>
      <c r="G399" s="25" t="s">
        <v>516</v>
      </c>
      <c r="H399" s="16" t="s">
        <v>478</v>
      </c>
      <c r="I399" s="17"/>
      <c r="J399" s="14"/>
      <c r="K399" s="19">
        <v>20</v>
      </c>
      <c r="L399" s="21">
        <f t="shared" si="18"/>
        <v>20</v>
      </c>
      <c r="M399" s="20">
        <f t="shared" si="20"/>
        <v>2800</v>
      </c>
      <c r="N399" s="20">
        <v>140</v>
      </c>
      <c r="O399" s="22"/>
      <c r="P399" s="22"/>
      <c r="Q399" s="23">
        <f t="shared" si="19"/>
        <v>2800</v>
      </c>
      <c r="R399" s="20"/>
      <c r="S399" s="18">
        <v>317</v>
      </c>
      <c r="T399" s="14">
        <v>45854</v>
      </c>
      <c r="U399" s="14" t="s">
        <v>91</v>
      </c>
      <c r="V399" s="16" t="s">
        <v>18</v>
      </c>
      <c r="W399" s="61" t="s">
        <v>34</v>
      </c>
    </row>
    <row r="400" spans="1:23" s="27" customFormat="1" ht="34.950000000000003" customHeight="1" x14ac:dyDescent="0.25">
      <c r="A400" s="12">
        <f>SUBTOTAL(3,$B$2:B400)</f>
        <v>399</v>
      </c>
      <c r="B400" s="42">
        <v>131</v>
      </c>
      <c r="C400" s="43">
        <v>45854</v>
      </c>
      <c r="D400" s="42">
        <v>82508230003</v>
      </c>
      <c r="E400" s="43">
        <v>45892</v>
      </c>
      <c r="F400" s="45" t="s">
        <v>518</v>
      </c>
      <c r="G400" s="52" t="s">
        <v>519</v>
      </c>
      <c r="H400" s="46" t="s">
        <v>16</v>
      </c>
      <c r="I400" s="12"/>
      <c r="J400" s="43"/>
      <c r="K400" s="47">
        <v>3</v>
      </c>
      <c r="L400" s="49">
        <f t="shared" si="18"/>
        <v>3</v>
      </c>
      <c r="M400" s="48">
        <f t="shared" si="20"/>
        <v>150</v>
      </c>
      <c r="N400" s="48">
        <v>50</v>
      </c>
      <c r="O400" s="50"/>
      <c r="P400" s="50"/>
      <c r="Q400" s="51">
        <f t="shared" si="19"/>
        <v>150</v>
      </c>
      <c r="R400" s="48"/>
      <c r="S400" s="24">
        <v>317</v>
      </c>
      <c r="T400" s="43">
        <v>45854</v>
      </c>
      <c r="U400" s="43" t="s">
        <v>91</v>
      </c>
      <c r="V400" s="46" t="s">
        <v>247</v>
      </c>
      <c r="W400" s="54" t="s">
        <v>34</v>
      </c>
    </row>
    <row r="401" spans="1:23" s="27" customFormat="1" ht="34.950000000000003" customHeight="1" x14ac:dyDescent="0.25">
      <c r="A401" s="12">
        <f>SUBTOTAL(3,$B$2:B401)</f>
        <v>400</v>
      </c>
      <c r="B401" s="13">
        <v>132</v>
      </c>
      <c r="C401" s="14">
        <v>45855</v>
      </c>
      <c r="D401" s="13">
        <v>0</v>
      </c>
      <c r="E401" s="14">
        <v>0</v>
      </c>
      <c r="F401" s="15" t="s">
        <v>358</v>
      </c>
      <c r="G401" s="25" t="s">
        <v>65</v>
      </c>
      <c r="H401" s="16" t="s">
        <v>16</v>
      </c>
      <c r="I401" s="16"/>
      <c r="J401" s="14"/>
      <c r="K401" s="75">
        <v>50</v>
      </c>
      <c r="L401" s="21">
        <f t="shared" si="18"/>
        <v>50</v>
      </c>
      <c r="M401" s="20">
        <f t="shared" si="20"/>
        <v>2250</v>
      </c>
      <c r="N401" s="20">
        <v>45</v>
      </c>
      <c r="O401" s="22"/>
      <c r="P401" s="22"/>
      <c r="Q401" s="23">
        <f t="shared" si="19"/>
        <v>2250</v>
      </c>
      <c r="R401" s="20"/>
      <c r="S401" s="18">
        <v>314</v>
      </c>
      <c r="T401" s="14">
        <v>45855</v>
      </c>
      <c r="U401" s="14" t="s">
        <v>91</v>
      </c>
      <c r="V401" s="16" t="s">
        <v>18</v>
      </c>
      <c r="W401" s="61" t="s">
        <v>34</v>
      </c>
    </row>
    <row r="402" spans="1:23" s="27" customFormat="1" ht="34.950000000000003" customHeight="1" x14ac:dyDescent="0.35">
      <c r="A402" s="12">
        <f>SUBTOTAL(3,$B$2:B402)</f>
        <v>401</v>
      </c>
      <c r="B402" s="13">
        <v>133</v>
      </c>
      <c r="C402" s="14">
        <v>45857</v>
      </c>
      <c r="D402" s="13">
        <v>0</v>
      </c>
      <c r="E402" s="14">
        <v>0</v>
      </c>
      <c r="F402" s="15" t="s">
        <v>518</v>
      </c>
      <c r="G402" s="77" t="s">
        <v>57</v>
      </c>
      <c r="H402" s="74" t="s">
        <v>16</v>
      </c>
      <c r="I402" s="16"/>
      <c r="J402" s="14"/>
      <c r="K402" s="75">
        <v>50</v>
      </c>
      <c r="L402" s="21">
        <f t="shared" si="18"/>
        <v>50</v>
      </c>
      <c r="M402" s="20">
        <f t="shared" si="20"/>
        <v>450</v>
      </c>
      <c r="N402" s="20">
        <v>9</v>
      </c>
      <c r="O402" s="22"/>
      <c r="P402" s="22"/>
      <c r="Q402" s="23">
        <f t="shared" si="19"/>
        <v>450</v>
      </c>
      <c r="R402" s="20"/>
      <c r="S402" s="18" t="s">
        <v>521</v>
      </c>
      <c r="T402" s="14">
        <v>45857</v>
      </c>
      <c r="U402" s="14" t="s">
        <v>91</v>
      </c>
      <c r="V402" s="16" t="s">
        <v>18</v>
      </c>
      <c r="W402" s="61" t="s">
        <v>52</v>
      </c>
    </row>
    <row r="403" spans="1:23" s="27" customFormat="1" ht="34.950000000000003" customHeight="1" x14ac:dyDescent="0.35">
      <c r="A403" s="12">
        <f>SUBTOTAL(3,$B$2:B403)</f>
        <v>402</v>
      </c>
      <c r="B403" s="13">
        <v>133</v>
      </c>
      <c r="C403" s="14">
        <v>45857</v>
      </c>
      <c r="D403" s="13">
        <v>0</v>
      </c>
      <c r="E403" s="14">
        <v>0</v>
      </c>
      <c r="F403" s="15" t="s">
        <v>518</v>
      </c>
      <c r="G403" s="26" t="s">
        <v>357</v>
      </c>
      <c r="H403" s="74" t="s">
        <v>16</v>
      </c>
      <c r="I403" s="16"/>
      <c r="J403" s="14"/>
      <c r="K403" s="75">
        <v>5</v>
      </c>
      <c r="L403" s="21">
        <f t="shared" si="18"/>
        <v>5</v>
      </c>
      <c r="M403" s="20">
        <f t="shared" si="20"/>
        <v>200</v>
      </c>
      <c r="N403" s="20">
        <v>40</v>
      </c>
      <c r="O403" s="22"/>
      <c r="P403" s="22"/>
      <c r="Q403" s="23">
        <f t="shared" si="19"/>
        <v>200</v>
      </c>
      <c r="R403" s="20"/>
      <c r="S403" s="18" t="s">
        <v>521</v>
      </c>
      <c r="T403" s="14">
        <v>45857</v>
      </c>
      <c r="U403" s="14" t="s">
        <v>91</v>
      </c>
      <c r="V403" s="16" t="s">
        <v>18</v>
      </c>
      <c r="W403" s="61" t="s">
        <v>34</v>
      </c>
    </row>
    <row r="404" spans="1:23" s="27" customFormat="1" ht="34.950000000000003" customHeight="1" x14ac:dyDescent="0.35">
      <c r="A404" s="12">
        <f>SUBTOTAL(3,$B$2:B404)</f>
        <v>403</v>
      </c>
      <c r="B404" s="13">
        <v>134</v>
      </c>
      <c r="C404" s="14">
        <v>45859</v>
      </c>
      <c r="D404" s="13">
        <v>0</v>
      </c>
      <c r="E404" s="14">
        <v>0</v>
      </c>
      <c r="F404" s="15" t="s">
        <v>358</v>
      </c>
      <c r="G404" s="26" t="s">
        <v>57</v>
      </c>
      <c r="H404" s="74" t="s">
        <v>16</v>
      </c>
      <c r="I404" s="16"/>
      <c r="J404" s="14"/>
      <c r="K404" s="75">
        <v>40</v>
      </c>
      <c r="L404" s="21">
        <f t="shared" si="18"/>
        <v>40</v>
      </c>
      <c r="M404" s="20">
        <f t="shared" si="20"/>
        <v>400</v>
      </c>
      <c r="N404" s="20">
        <v>10</v>
      </c>
      <c r="O404" s="22"/>
      <c r="P404" s="22"/>
      <c r="Q404" s="23">
        <f t="shared" si="19"/>
        <v>400</v>
      </c>
      <c r="R404" s="20"/>
      <c r="S404" s="18">
        <v>333</v>
      </c>
      <c r="T404" s="14">
        <v>45859</v>
      </c>
      <c r="U404" s="14" t="s">
        <v>91</v>
      </c>
      <c r="V404" s="16" t="s">
        <v>18</v>
      </c>
      <c r="W404" s="61" t="s">
        <v>52</v>
      </c>
    </row>
    <row r="405" spans="1:23" s="27" customFormat="1" ht="34.950000000000003" customHeight="1" x14ac:dyDescent="0.25">
      <c r="A405" s="12">
        <f>SUBTOTAL(3,$B$2:B405)</f>
        <v>404</v>
      </c>
      <c r="B405" s="13">
        <v>134</v>
      </c>
      <c r="C405" s="14">
        <v>45859</v>
      </c>
      <c r="D405" s="13">
        <v>0</v>
      </c>
      <c r="E405" s="14">
        <v>0</v>
      </c>
      <c r="F405" s="15" t="s">
        <v>358</v>
      </c>
      <c r="G405" s="77" t="s">
        <v>357</v>
      </c>
      <c r="H405" s="78" t="s">
        <v>16</v>
      </c>
      <c r="I405" s="16"/>
      <c r="J405" s="14"/>
      <c r="K405" s="75">
        <v>2</v>
      </c>
      <c r="L405" s="21">
        <f t="shared" si="18"/>
        <v>2</v>
      </c>
      <c r="M405" s="20">
        <f t="shared" si="20"/>
        <v>100</v>
      </c>
      <c r="N405" s="20">
        <v>50</v>
      </c>
      <c r="O405" s="22"/>
      <c r="P405" s="22"/>
      <c r="Q405" s="23">
        <f t="shared" si="19"/>
        <v>100</v>
      </c>
      <c r="R405" s="20"/>
      <c r="S405" s="18">
        <v>333</v>
      </c>
      <c r="T405" s="14">
        <v>45859</v>
      </c>
      <c r="U405" s="14" t="s">
        <v>91</v>
      </c>
      <c r="V405" s="16" t="s">
        <v>18</v>
      </c>
      <c r="W405" s="61" t="s">
        <v>34</v>
      </c>
    </row>
    <row r="406" spans="1:23" s="27" customFormat="1" ht="34.950000000000003" customHeight="1" x14ac:dyDescent="0.35">
      <c r="A406" s="12">
        <f>SUBTOTAL(3,$B$2:B406)</f>
        <v>405</v>
      </c>
      <c r="B406" s="13">
        <v>134</v>
      </c>
      <c r="C406" s="14">
        <v>45859</v>
      </c>
      <c r="D406" s="13">
        <v>0</v>
      </c>
      <c r="E406" s="14">
        <v>0</v>
      </c>
      <c r="F406" s="15" t="s">
        <v>358</v>
      </c>
      <c r="G406" s="26" t="s">
        <v>502</v>
      </c>
      <c r="H406" s="74" t="s">
        <v>16</v>
      </c>
      <c r="I406" s="16"/>
      <c r="J406" s="14"/>
      <c r="K406" s="75">
        <v>1</v>
      </c>
      <c r="L406" s="21">
        <f t="shared" si="18"/>
        <v>1</v>
      </c>
      <c r="M406" s="20">
        <f t="shared" si="20"/>
        <v>160</v>
      </c>
      <c r="N406" s="20">
        <v>160</v>
      </c>
      <c r="O406" s="22"/>
      <c r="P406" s="22"/>
      <c r="Q406" s="23">
        <f t="shared" si="19"/>
        <v>160</v>
      </c>
      <c r="R406" s="20"/>
      <c r="S406" s="18">
        <v>333</v>
      </c>
      <c r="T406" s="14">
        <v>45859</v>
      </c>
      <c r="U406" s="14" t="s">
        <v>91</v>
      </c>
      <c r="V406" s="16" t="s">
        <v>18</v>
      </c>
      <c r="W406" s="61" t="s">
        <v>34</v>
      </c>
    </row>
    <row r="407" spans="1:23" s="27" customFormat="1" ht="34.950000000000003" customHeight="1" x14ac:dyDescent="0.35">
      <c r="A407" s="12">
        <f>SUBTOTAL(3,$B$2:B407)</f>
        <v>406</v>
      </c>
      <c r="B407" s="42">
        <v>135</v>
      </c>
      <c r="C407" s="43">
        <v>45866</v>
      </c>
      <c r="D407" s="42">
        <v>82507310028</v>
      </c>
      <c r="E407" s="44">
        <v>45869</v>
      </c>
      <c r="F407" s="45" t="s">
        <v>35</v>
      </c>
      <c r="G407" s="53" t="s">
        <v>485</v>
      </c>
      <c r="H407" s="72" t="s">
        <v>37</v>
      </c>
      <c r="I407" s="12" t="s">
        <v>38</v>
      </c>
      <c r="J407" s="43">
        <v>45733</v>
      </c>
      <c r="K407" s="55">
        <v>7</v>
      </c>
      <c r="L407" s="49">
        <f t="shared" si="18"/>
        <v>7</v>
      </c>
      <c r="M407" s="48">
        <f t="shared" si="20"/>
        <v>34406.75</v>
      </c>
      <c r="N407" s="48">
        <v>4915.25</v>
      </c>
      <c r="O407" s="50">
        <v>9</v>
      </c>
      <c r="P407" s="50">
        <v>9</v>
      </c>
      <c r="Q407" s="51">
        <f t="shared" si="19"/>
        <v>40599.964999999997</v>
      </c>
      <c r="R407" s="48"/>
      <c r="S407" s="24" t="s">
        <v>522</v>
      </c>
      <c r="T407" s="43">
        <v>45866</v>
      </c>
      <c r="U407" s="43" t="s">
        <v>492</v>
      </c>
      <c r="V407" s="46" t="s">
        <v>33</v>
      </c>
      <c r="W407" s="54" t="s">
        <v>34</v>
      </c>
    </row>
    <row r="408" spans="1:23" s="27" customFormat="1" ht="34.950000000000003" customHeight="1" x14ac:dyDescent="0.35">
      <c r="A408" s="12">
        <f>SUBTOTAL(3,$B$2:B408)</f>
        <v>407</v>
      </c>
      <c r="B408" s="42">
        <v>136</v>
      </c>
      <c r="C408" s="43">
        <v>45866</v>
      </c>
      <c r="D408" s="42">
        <v>82507310029</v>
      </c>
      <c r="E408" s="44">
        <v>45869</v>
      </c>
      <c r="F408" s="45" t="s">
        <v>35</v>
      </c>
      <c r="G408" s="53" t="s">
        <v>485</v>
      </c>
      <c r="H408" s="72" t="s">
        <v>37</v>
      </c>
      <c r="I408" s="12" t="s">
        <v>38</v>
      </c>
      <c r="J408" s="43">
        <v>45733</v>
      </c>
      <c r="K408" s="55">
        <v>7</v>
      </c>
      <c r="L408" s="49">
        <f t="shared" si="18"/>
        <v>7</v>
      </c>
      <c r="M408" s="48">
        <f t="shared" si="20"/>
        <v>34406.75</v>
      </c>
      <c r="N408" s="48">
        <v>4915.25</v>
      </c>
      <c r="O408" s="50">
        <v>9</v>
      </c>
      <c r="P408" s="50">
        <v>9</v>
      </c>
      <c r="Q408" s="51">
        <f t="shared" si="19"/>
        <v>40599.964999999997</v>
      </c>
      <c r="R408" s="48"/>
      <c r="S408" s="24" t="s">
        <v>523</v>
      </c>
      <c r="T408" s="43">
        <v>45866</v>
      </c>
      <c r="U408" s="43" t="s">
        <v>99</v>
      </c>
      <c r="V408" s="46" t="s">
        <v>33</v>
      </c>
      <c r="W408" s="54" t="s">
        <v>34</v>
      </c>
    </row>
    <row r="409" spans="1:23" s="27" customFormat="1" ht="34.950000000000003" customHeight="1" x14ac:dyDescent="0.25">
      <c r="A409" s="12">
        <f>SUBTOTAL(3,$B$2:B409)</f>
        <v>408</v>
      </c>
      <c r="B409" s="42">
        <v>137</v>
      </c>
      <c r="C409" s="43">
        <v>45866</v>
      </c>
      <c r="D409" s="42">
        <v>82507310030</v>
      </c>
      <c r="E409" s="44">
        <v>45869</v>
      </c>
      <c r="F409" s="45" t="s">
        <v>35</v>
      </c>
      <c r="G409" s="71" t="s">
        <v>485</v>
      </c>
      <c r="H409" s="76" t="s">
        <v>37</v>
      </c>
      <c r="I409" s="12" t="s">
        <v>38</v>
      </c>
      <c r="J409" s="43">
        <v>45733</v>
      </c>
      <c r="K409" s="55">
        <v>7</v>
      </c>
      <c r="L409" s="49">
        <f t="shared" si="18"/>
        <v>7</v>
      </c>
      <c r="M409" s="48">
        <f t="shared" si="20"/>
        <v>34406.75</v>
      </c>
      <c r="N409" s="48">
        <v>4915.25</v>
      </c>
      <c r="O409" s="50">
        <v>9</v>
      </c>
      <c r="P409" s="50">
        <v>9</v>
      </c>
      <c r="Q409" s="51">
        <f t="shared" si="19"/>
        <v>40599.964999999997</v>
      </c>
      <c r="R409" s="48"/>
      <c r="S409" s="24" t="s">
        <v>524</v>
      </c>
      <c r="T409" s="43">
        <v>45866</v>
      </c>
      <c r="U409" s="43" t="s">
        <v>230</v>
      </c>
      <c r="V409" s="46" t="s">
        <v>33</v>
      </c>
      <c r="W409" s="54" t="s">
        <v>34</v>
      </c>
    </row>
    <row r="410" spans="1:23" s="27" customFormat="1" ht="34.950000000000003" customHeight="1" x14ac:dyDescent="0.25">
      <c r="A410" s="12">
        <f>SUBTOTAL(3,$B$2:B410)</f>
        <v>409</v>
      </c>
      <c r="B410" s="42">
        <v>138</v>
      </c>
      <c r="C410" s="43">
        <v>45866</v>
      </c>
      <c r="D410" s="42">
        <v>82507310031</v>
      </c>
      <c r="E410" s="44">
        <v>45869</v>
      </c>
      <c r="F410" s="45" t="s">
        <v>35</v>
      </c>
      <c r="G410" s="71" t="s">
        <v>485</v>
      </c>
      <c r="H410" s="76" t="s">
        <v>37</v>
      </c>
      <c r="I410" s="12" t="s">
        <v>38</v>
      </c>
      <c r="J410" s="43">
        <v>45733</v>
      </c>
      <c r="K410" s="55">
        <v>4.5</v>
      </c>
      <c r="L410" s="49">
        <f t="shared" si="18"/>
        <v>4.5</v>
      </c>
      <c r="M410" s="48">
        <f t="shared" si="20"/>
        <v>22118.625</v>
      </c>
      <c r="N410" s="48">
        <v>4915.25</v>
      </c>
      <c r="O410" s="50">
        <v>9</v>
      </c>
      <c r="P410" s="50">
        <v>9</v>
      </c>
      <c r="Q410" s="51">
        <f t="shared" si="19"/>
        <v>26099.977499999997</v>
      </c>
      <c r="R410" s="48"/>
      <c r="S410" s="24" t="s">
        <v>525</v>
      </c>
      <c r="T410" s="43">
        <v>45866</v>
      </c>
      <c r="U410" s="43" t="s">
        <v>225</v>
      </c>
      <c r="V410" s="46" t="s">
        <v>33</v>
      </c>
      <c r="W410" s="54" t="s">
        <v>34</v>
      </c>
    </row>
    <row r="411" spans="1:23" s="27" customFormat="1" ht="34.950000000000003" customHeight="1" x14ac:dyDescent="0.25">
      <c r="A411" s="12">
        <f>SUBTOTAL(3,$B$2:B411)</f>
        <v>410</v>
      </c>
      <c r="B411" s="13">
        <v>139</v>
      </c>
      <c r="C411" s="14">
        <v>45867</v>
      </c>
      <c r="D411" s="13">
        <v>0</v>
      </c>
      <c r="E411" s="14">
        <v>0</v>
      </c>
      <c r="F411" s="15" t="s">
        <v>526</v>
      </c>
      <c r="G411" s="77" t="s">
        <v>527</v>
      </c>
      <c r="H411" s="78" t="s">
        <v>16</v>
      </c>
      <c r="I411" s="16"/>
      <c r="J411" s="14"/>
      <c r="K411" s="75">
        <v>50</v>
      </c>
      <c r="L411" s="21">
        <f t="shared" si="18"/>
        <v>50</v>
      </c>
      <c r="M411" s="20">
        <f t="shared" si="20"/>
        <v>13500</v>
      </c>
      <c r="N411" s="20">
        <v>270</v>
      </c>
      <c r="O411" s="22">
        <v>0</v>
      </c>
      <c r="P411" s="22">
        <v>0</v>
      </c>
      <c r="Q411" s="23">
        <f t="shared" si="19"/>
        <v>13500</v>
      </c>
      <c r="R411" s="20">
        <v>300</v>
      </c>
      <c r="S411" s="18" t="s">
        <v>528</v>
      </c>
      <c r="T411" s="14">
        <v>45867</v>
      </c>
      <c r="U411" s="14" t="s">
        <v>529</v>
      </c>
      <c r="V411" s="16" t="s">
        <v>18</v>
      </c>
      <c r="W411" s="61" t="s">
        <v>34</v>
      </c>
    </row>
    <row r="412" spans="1:23" s="27" customFormat="1" ht="34.950000000000003" customHeight="1" x14ac:dyDescent="0.25">
      <c r="A412" s="12">
        <f>SUBTOTAL(3,$B$2:B412)</f>
        <v>411</v>
      </c>
      <c r="B412" s="42">
        <v>140</v>
      </c>
      <c r="C412" s="43">
        <v>45870</v>
      </c>
      <c r="D412" s="42">
        <v>82508010001</v>
      </c>
      <c r="E412" s="44">
        <v>45870</v>
      </c>
      <c r="F412" s="45" t="s">
        <v>35</v>
      </c>
      <c r="G412" s="71" t="s">
        <v>485</v>
      </c>
      <c r="H412" s="76" t="s">
        <v>37</v>
      </c>
      <c r="I412" s="12" t="s">
        <v>38</v>
      </c>
      <c r="J412" s="43">
        <v>45733</v>
      </c>
      <c r="K412" s="55">
        <v>7</v>
      </c>
      <c r="L412" s="49">
        <f t="shared" si="18"/>
        <v>7</v>
      </c>
      <c r="M412" s="48">
        <f t="shared" si="20"/>
        <v>35296.589999999997</v>
      </c>
      <c r="N412" s="48">
        <v>5042.37</v>
      </c>
      <c r="O412" s="50">
        <v>9</v>
      </c>
      <c r="P412" s="50">
        <v>9</v>
      </c>
      <c r="Q412" s="51">
        <f t="shared" si="19"/>
        <v>41649.97619999999</v>
      </c>
      <c r="R412" s="48"/>
      <c r="S412" s="24" t="s">
        <v>530</v>
      </c>
      <c r="T412" s="43">
        <v>45870</v>
      </c>
      <c r="U412" s="43" t="s">
        <v>40</v>
      </c>
      <c r="V412" s="46" t="s">
        <v>33</v>
      </c>
      <c r="W412" s="54" t="s">
        <v>34</v>
      </c>
    </row>
    <row r="413" spans="1:23" s="27" customFormat="1" ht="34.950000000000003" customHeight="1" x14ac:dyDescent="0.25">
      <c r="A413" s="12">
        <f>SUBTOTAL(3,$B$2:B413)</f>
        <v>412</v>
      </c>
      <c r="B413" s="42">
        <v>141</v>
      </c>
      <c r="C413" s="43">
        <v>45870</v>
      </c>
      <c r="D413" s="42">
        <v>82508010002</v>
      </c>
      <c r="E413" s="44">
        <v>45870</v>
      </c>
      <c r="F413" s="45" t="s">
        <v>35</v>
      </c>
      <c r="G413" s="71" t="s">
        <v>485</v>
      </c>
      <c r="H413" s="76" t="s">
        <v>37</v>
      </c>
      <c r="I413" s="12" t="s">
        <v>38</v>
      </c>
      <c r="J413" s="43">
        <v>45733</v>
      </c>
      <c r="K413" s="55">
        <v>7</v>
      </c>
      <c r="L413" s="49">
        <f t="shared" si="18"/>
        <v>7</v>
      </c>
      <c r="M413" s="48">
        <f t="shared" si="20"/>
        <v>35296.589999999997</v>
      </c>
      <c r="N413" s="48">
        <v>5042.37</v>
      </c>
      <c r="O413" s="50">
        <v>9</v>
      </c>
      <c r="P413" s="50">
        <v>9</v>
      </c>
      <c r="Q413" s="51">
        <f t="shared" si="19"/>
        <v>41649.97619999999</v>
      </c>
      <c r="R413" s="48"/>
      <c r="S413" s="24" t="s">
        <v>531</v>
      </c>
      <c r="T413" s="43">
        <v>45870</v>
      </c>
      <c r="U413" s="43" t="s">
        <v>99</v>
      </c>
      <c r="V413" s="46" t="s">
        <v>33</v>
      </c>
      <c r="W413" s="54" t="s">
        <v>34</v>
      </c>
    </row>
    <row r="414" spans="1:23" s="27" customFormat="1" ht="34.950000000000003" customHeight="1" x14ac:dyDescent="0.25">
      <c r="A414" s="12">
        <f>SUBTOTAL(3,$B$2:B414)</f>
        <v>413</v>
      </c>
      <c r="B414" s="42">
        <v>142</v>
      </c>
      <c r="C414" s="43">
        <v>45870</v>
      </c>
      <c r="D414" s="42">
        <v>82508010003</v>
      </c>
      <c r="E414" s="44">
        <v>45870</v>
      </c>
      <c r="F414" s="45" t="s">
        <v>35</v>
      </c>
      <c r="G414" s="71" t="s">
        <v>485</v>
      </c>
      <c r="H414" s="76" t="s">
        <v>37</v>
      </c>
      <c r="I414" s="12" t="s">
        <v>38</v>
      </c>
      <c r="J414" s="43">
        <v>45733</v>
      </c>
      <c r="K414" s="55">
        <v>7</v>
      </c>
      <c r="L414" s="49">
        <f t="shared" si="18"/>
        <v>7</v>
      </c>
      <c r="M414" s="48">
        <f t="shared" si="20"/>
        <v>35296.589999999997</v>
      </c>
      <c r="N414" s="48">
        <v>5042.37</v>
      </c>
      <c r="O414" s="50">
        <v>9</v>
      </c>
      <c r="P414" s="50">
        <v>9</v>
      </c>
      <c r="Q414" s="51">
        <f t="shared" si="19"/>
        <v>41649.97619999999</v>
      </c>
      <c r="R414" s="48"/>
      <c r="S414" s="24" t="s">
        <v>532</v>
      </c>
      <c r="T414" s="43">
        <v>45870</v>
      </c>
      <c r="U414" s="43" t="s">
        <v>97</v>
      </c>
      <c r="V414" s="46" t="s">
        <v>33</v>
      </c>
      <c r="W414" s="54" t="s">
        <v>34</v>
      </c>
    </row>
    <row r="415" spans="1:23" s="27" customFormat="1" ht="34.950000000000003" customHeight="1" x14ac:dyDescent="0.25">
      <c r="A415" s="12">
        <f>SUBTOTAL(3,$B$2:B415)</f>
        <v>414</v>
      </c>
      <c r="B415" s="42">
        <v>143</v>
      </c>
      <c r="C415" s="43">
        <v>45870</v>
      </c>
      <c r="D415" s="42">
        <v>82508010004</v>
      </c>
      <c r="E415" s="44">
        <v>45870</v>
      </c>
      <c r="F415" s="45" t="s">
        <v>35</v>
      </c>
      <c r="G415" s="71" t="s">
        <v>485</v>
      </c>
      <c r="H415" s="76" t="s">
        <v>37</v>
      </c>
      <c r="I415" s="12" t="s">
        <v>38</v>
      </c>
      <c r="J415" s="43">
        <v>45733</v>
      </c>
      <c r="K415" s="55">
        <v>7</v>
      </c>
      <c r="L415" s="49">
        <f t="shared" si="18"/>
        <v>7</v>
      </c>
      <c r="M415" s="48">
        <f t="shared" si="20"/>
        <v>35296.589999999997</v>
      </c>
      <c r="N415" s="48">
        <v>5042.37</v>
      </c>
      <c r="O415" s="50">
        <v>9</v>
      </c>
      <c r="P415" s="50">
        <v>9</v>
      </c>
      <c r="Q415" s="51">
        <f t="shared" si="19"/>
        <v>41649.97619999999</v>
      </c>
      <c r="R415" s="48"/>
      <c r="S415" s="24" t="s">
        <v>533</v>
      </c>
      <c r="T415" s="43">
        <v>45870</v>
      </c>
      <c r="U415" s="43" t="s">
        <v>492</v>
      </c>
      <c r="V415" s="46" t="s">
        <v>33</v>
      </c>
      <c r="W415" s="54" t="s">
        <v>34</v>
      </c>
    </row>
    <row r="416" spans="1:23" s="27" customFormat="1" ht="34.950000000000003" customHeight="1" x14ac:dyDescent="0.25">
      <c r="A416" s="12">
        <f>SUBTOTAL(3,$B$2:B416)</f>
        <v>415</v>
      </c>
      <c r="B416" s="42">
        <v>144</v>
      </c>
      <c r="C416" s="43">
        <v>45870</v>
      </c>
      <c r="D416" s="42">
        <v>82508010005</v>
      </c>
      <c r="E416" s="44">
        <v>45870</v>
      </c>
      <c r="F416" s="45" t="s">
        <v>35</v>
      </c>
      <c r="G416" s="71" t="s">
        <v>485</v>
      </c>
      <c r="H416" s="76" t="s">
        <v>37</v>
      </c>
      <c r="I416" s="12" t="s">
        <v>38</v>
      </c>
      <c r="J416" s="43">
        <v>45733</v>
      </c>
      <c r="K416" s="55">
        <v>7</v>
      </c>
      <c r="L416" s="49">
        <f t="shared" si="18"/>
        <v>7</v>
      </c>
      <c r="M416" s="48">
        <f t="shared" si="20"/>
        <v>35296.589999999997</v>
      </c>
      <c r="N416" s="48">
        <v>5042.37</v>
      </c>
      <c r="O416" s="50">
        <v>9</v>
      </c>
      <c r="P416" s="50">
        <v>9</v>
      </c>
      <c r="Q416" s="51">
        <f t="shared" si="19"/>
        <v>41649.97619999999</v>
      </c>
      <c r="R416" s="48"/>
      <c r="S416" s="24" t="s">
        <v>534</v>
      </c>
      <c r="T416" s="43">
        <v>45870</v>
      </c>
      <c r="U416" s="43" t="s">
        <v>230</v>
      </c>
      <c r="V416" s="46" t="s">
        <v>33</v>
      </c>
      <c r="W416" s="54" t="s">
        <v>34</v>
      </c>
    </row>
    <row r="417" spans="1:23" s="27" customFormat="1" ht="34.950000000000003" customHeight="1" x14ac:dyDescent="0.25">
      <c r="A417" s="12">
        <f>SUBTOTAL(3,$B$2:B417)</f>
        <v>416</v>
      </c>
      <c r="B417" s="42">
        <v>145</v>
      </c>
      <c r="C417" s="43">
        <v>45870</v>
      </c>
      <c r="D417" s="42">
        <v>82508010006</v>
      </c>
      <c r="E417" s="44">
        <v>45870</v>
      </c>
      <c r="F417" s="45" t="s">
        <v>35</v>
      </c>
      <c r="G417" s="71" t="s">
        <v>485</v>
      </c>
      <c r="H417" s="76" t="s">
        <v>37</v>
      </c>
      <c r="I417" s="12" t="s">
        <v>38</v>
      </c>
      <c r="J417" s="43">
        <v>45733</v>
      </c>
      <c r="K417" s="55">
        <v>7</v>
      </c>
      <c r="L417" s="49">
        <f t="shared" si="18"/>
        <v>7</v>
      </c>
      <c r="M417" s="48">
        <f t="shared" si="20"/>
        <v>35296.589999999997</v>
      </c>
      <c r="N417" s="48">
        <v>5042.37</v>
      </c>
      <c r="O417" s="50">
        <v>9</v>
      </c>
      <c r="P417" s="50">
        <v>9</v>
      </c>
      <c r="Q417" s="51">
        <f t="shared" si="19"/>
        <v>41649.97619999999</v>
      </c>
      <c r="R417" s="48"/>
      <c r="S417" s="24" t="s">
        <v>535</v>
      </c>
      <c r="T417" s="43">
        <v>45870</v>
      </c>
      <c r="U417" s="43" t="s">
        <v>228</v>
      </c>
      <c r="V417" s="46" t="s">
        <v>33</v>
      </c>
      <c r="W417" s="54" t="s">
        <v>34</v>
      </c>
    </row>
    <row r="418" spans="1:23" s="27" customFormat="1" ht="34.950000000000003" customHeight="1" x14ac:dyDescent="0.25">
      <c r="A418" s="12">
        <f>SUBTOTAL(3,$B$2:B418)</f>
        <v>417</v>
      </c>
      <c r="B418" s="42">
        <v>146</v>
      </c>
      <c r="C418" s="43">
        <v>45870</v>
      </c>
      <c r="D418" s="42">
        <v>82508010007</v>
      </c>
      <c r="E418" s="44">
        <v>45870</v>
      </c>
      <c r="F418" s="45" t="s">
        <v>35</v>
      </c>
      <c r="G418" s="71" t="s">
        <v>485</v>
      </c>
      <c r="H418" s="76" t="s">
        <v>37</v>
      </c>
      <c r="I418" s="12" t="s">
        <v>38</v>
      </c>
      <c r="J418" s="43">
        <v>45733</v>
      </c>
      <c r="K418" s="55">
        <v>7</v>
      </c>
      <c r="L418" s="49">
        <f t="shared" si="18"/>
        <v>7</v>
      </c>
      <c r="M418" s="48">
        <f t="shared" si="20"/>
        <v>35296.589999999997</v>
      </c>
      <c r="N418" s="48">
        <v>5042.37</v>
      </c>
      <c r="O418" s="50">
        <v>9</v>
      </c>
      <c r="P418" s="50">
        <v>9</v>
      </c>
      <c r="Q418" s="51">
        <f t="shared" si="19"/>
        <v>41649.97619999999</v>
      </c>
      <c r="R418" s="48"/>
      <c r="S418" s="24" t="s">
        <v>536</v>
      </c>
      <c r="T418" s="43">
        <v>45870</v>
      </c>
      <c r="U418" s="43" t="s">
        <v>40</v>
      </c>
      <c r="V418" s="46" t="s">
        <v>33</v>
      </c>
      <c r="W418" s="54" t="s">
        <v>34</v>
      </c>
    </row>
    <row r="419" spans="1:23" s="27" customFormat="1" ht="34.950000000000003" customHeight="1" x14ac:dyDescent="0.25">
      <c r="A419" s="12">
        <f>SUBTOTAL(3,$B$2:B419)</f>
        <v>418</v>
      </c>
      <c r="B419" s="42">
        <v>147</v>
      </c>
      <c r="C419" s="43">
        <v>45870</v>
      </c>
      <c r="D419" s="42">
        <v>82508010008</v>
      </c>
      <c r="E419" s="44">
        <v>45870</v>
      </c>
      <c r="F419" s="45" t="s">
        <v>35</v>
      </c>
      <c r="G419" s="71" t="s">
        <v>485</v>
      </c>
      <c r="H419" s="76" t="s">
        <v>37</v>
      </c>
      <c r="I419" s="12" t="s">
        <v>38</v>
      </c>
      <c r="J419" s="43">
        <v>45733</v>
      </c>
      <c r="K419" s="55">
        <v>7</v>
      </c>
      <c r="L419" s="49">
        <f t="shared" si="18"/>
        <v>7</v>
      </c>
      <c r="M419" s="48">
        <f t="shared" si="20"/>
        <v>35296.589999999997</v>
      </c>
      <c r="N419" s="48">
        <v>5042.37</v>
      </c>
      <c r="O419" s="50">
        <v>9</v>
      </c>
      <c r="P419" s="50">
        <v>9</v>
      </c>
      <c r="Q419" s="51">
        <f t="shared" si="19"/>
        <v>41649.97619999999</v>
      </c>
      <c r="R419" s="48"/>
      <c r="S419" s="24" t="s">
        <v>537</v>
      </c>
      <c r="T419" s="43">
        <v>45870</v>
      </c>
      <c r="U419" s="43" t="s">
        <v>99</v>
      </c>
      <c r="V419" s="46" t="s">
        <v>33</v>
      </c>
      <c r="W419" s="54" t="s">
        <v>34</v>
      </c>
    </row>
    <row r="420" spans="1:23" s="27" customFormat="1" ht="34.950000000000003" customHeight="1" x14ac:dyDescent="0.25">
      <c r="A420" s="12">
        <f>SUBTOTAL(3,$B$2:B420)</f>
        <v>419</v>
      </c>
      <c r="B420" s="42">
        <v>148</v>
      </c>
      <c r="C420" s="43">
        <v>45870</v>
      </c>
      <c r="D420" s="42">
        <v>82508010009</v>
      </c>
      <c r="E420" s="44">
        <v>45870</v>
      </c>
      <c r="F420" s="45" t="s">
        <v>35</v>
      </c>
      <c r="G420" s="71" t="s">
        <v>485</v>
      </c>
      <c r="H420" s="76" t="s">
        <v>37</v>
      </c>
      <c r="I420" s="12" t="s">
        <v>38</v>
      </c>
      <c r="J420" s="43">
        <v>45733</v>
      </c>
      <c r="K420" s="55">
        <v>7</v>
      </c>
      <c r="L420" s="49">
        <f t="shared" si="18"/>
        <v>7</v>
      </c>
      <c r="M420" s="48">
        <f t="shared" si="20"/>
        <v>35296.589999999997</v>
      </c>
      <c r="N420" s="48">
        <v>5042.37</v>
      </c>
      <c r="O420" s="50">
        <v>9</v>
      </c>
      <c r="P420" s="50">
        <v>9</v>
      </c>
      <c r="Q420" s="51">
        <f t="shared" si="19"/>
        <v>41649.97619999999</v>
      </c>
      <c r="R420" s="48"/>
      <c r="S420" s="24" t="s">
        <v>538</v>
      </c>
      <c r="T420" s="43">
        <v>45870</v>
      </c>
      <c r="U420" s="43" t="s">
        <v>97</v>
      </c>
      <c r="V420" s="46" t="s">
        <v>33</v>
      </c>
      <c r="W420" s="54" t="s">
        <v>34</v>
      </c>
    </row>
    <row r="421" spans="1:23" s="27" customFormat="1" ht="34.950000000000003" customHeight="1" x14ac:dyDescent="0.25">
      <c r="A421" s="12">
        <f>SUBTOTAL(3,$B$2:B421)</f>
        <v>420</v>
      </c>
      <c r="B421" s="42">
        <v>149</v>
      </c>
      <c r="C421" s="43">
        <v>45870</v>
      </c>
      <c r="D421" s="42">
        <v>82508010010</v>
      </c>
      <c r="E421" s="44">
        <v>45870</v>
      </c>
      <c r="F421" s="45" t="s">
        <v>35</v>
      </c>
      <c r="G421" s="71" t="s">
        <v>485</v>
      </c>
      <c r="H421" s="76" t="s">
        <v>37</v>
      </c>
      <c r="I421" s="12" t="s">
        <v>38</v>
      </c>
      <c r="J421" s="43">
        <v>45733</v>
      </c>
      <c r="K421" s="55">
        <v>7</v>
      </c>
      <c r="L421" s="49">
        <f t="shared" si="18"/>
        <v>7</v>
      </c>
      <c r="M421" s="48">
        <f t="shared" si="20"/>
        <v>35296.589999999997</v>
      </c>
      <c r="N421" s="48">
        <v>5042.37</v>
      </c>
      <c r="O421" s="50">
        <v>9</v>
      </c>
      <c r="P421" s="50">
        <v>9</v>
      </c>
      <c r="Q421" s="51">
        <f t="shared" si="19"/>
        <v>41649.97619999999</v>
      </c>
      <c r="R421" s="48"/>
      <c r="S421" s="24" t="s">
        <v>539</v>
      </c>
      <c r="T421" s="43">
        <v>45870</v>
      </c>
      <c r="U421" s="43" t="s">
        <v>492</v>
      </c>
      <c r="V421" s="46" t="s">
        <v>33</v>
      </c>
      <c r="W421" s="54" t="s">
        <v>34</v>
      </c>
    </row>
    <row r="422" spans="1:23" s="27" customFormat="1" ht="34.950000000000003" customHeight="1" x14ac:dyDescent="0.25">
      <c r="A422" s="12">
        <f>SUBTOTAL(3,$B$2:B422)</f>
        <v>421</v>
      </c>
      <c r="B422" s="42">
        <v>150</v>
      </c>
      <c r="C422" s="43">
        <v>45870</v>
      </c>
      <c r="D422" s="42">
        <v>82508010011</v>
      </c>
      <c r="E422" s="44">
        <v>45870</v>
      </c>
      <c r="F422" s="45" t="s">
        <v>35</v>
      </c>
      <c r="G422" s="71" t="s">
        <v>485</v>
      </c>
      <c r="H422" s="76" t="s">
        <v>37</v>
      </c>
      <c r="I422" s="12" t="s">
        <v>38</v>
      </c>
      <c r="J422" s="43">
        <v>45733</v>
      </c>
      <c r="K422" s="55">
        <v>7</v>
      </c>
      <c r="L422" s="49">
        <f t="shared" si="18"/>
        <v>7</v>
      </c>
      <c r="M422" s="48">
        <f t="shared" si="20"/>
        <v>35296.589999999997</v>
      </c>
      <c r="N422" s="48">
        <v>5042.37</v>
      </c>
      <c r="O422" s="50">
        <v>9</v>
      </c>
      <c r="P422" s="50">
        <v>9</v>
      </c>
      <c r="Q422" s="51">
        <f t="shared" si="19"/>
        <v>41649.97619999999</v>
      </c>
      <c r="R422" s="48"/>
      <c r="S422" s="24" t="s">
        <v>540</v>
      </c>
      <c r="T422" s="43">
        <v>45870</v>
      </c>
      <c r="U422" s="43" t="s">
        <v>230</v>
      </c>
      <c r="V422" s="46" t="s">
        <v>33</v>
      </c>
      <c r="W422" s="54" t="s">
        <v>34</v>
      </c>
    </row>
    <row r="423" spans="1:23" s="27" customFormat="1" ht="34.950000000000003" customHeight="1" x14ac:dyDescent="0.25">
      <c r="A423" s="12">
        <f>SUBTOTAL(3,$B$2:B423)</f>
        <v>422</v>
      </c>
      <c r="B423" s="42">
        <v>151</v>
      </c>
      <c r="C423" s="43">
        <v>45870</v>
      </c>
      <c r="D423" s="42">
        <v>82508010012</v>
      </c>
      <c r="E423" s="44">
        <v>45870</v>
      </c>
      <c r="F423" s="45" t="s">
        <v>35</v>
      </c>
      <c r="G423" s="71" t="s">
        <v>485</v>
      </c>
      <c r="H423" s="76" t="s">
        <v>37</v>
      </c>
      <c r="I423" s="12" t="s">
        <v>38</v>
      </c>
      <c r="J423" s="43">
        <v>45733</v>
      </c>
      <c r="K423" s="55">
        <v>7</v>
      </c>
      <c r="L423" s="49">
        <f t="shared" si="18"/>
        <v>7</v>
      </c>
      <c r="M423" s="48">
        <f t="shared" si="20"/>
        <v>35296.589999999997</v>
      </c>
      <c r="N423" s="48">
        <v>5042.37</v>
      </c>
      <c r="O423" s="50">
        <v>9</v>
      </c>
      <c r="P423" s="50">
        <v>9</v>
      </c>
      <c r="Q423" s="51">
        <f t="shared" si="19"/>
        <v>41649.97619999999</v>
      </c>
      <c r="R423" s="48"/>
      <c r="S423" s="24" t="s">
        <v>541</v>
      </c>
      <c r="T423" s="43">
        <v>45870</v>
      </c>
      <c r="U423" s="43" t="s">
        <v>542</v>
      </c>
      <c r="V423" s="46" t="s">
        <v>33</v>
      </c>
      <c r="W423" s="54" t="s">
        <v>34</v>
      </c>
    </row>
    <row r="424" spans="1:23" s="27" customFormat="1" ht="34.950000000000003" customHeight="1" x14ac:dyDescent="0.25">
      <c r="A424" s="12">
        <f>SUBTOTAL(3,$B$2:B424)</f>
        <v>423</v>
      </c>
      <c r="B424" s="42">
        <v>152</v>
      </c>
      <c r="C424" s="43">
        <v>45870</v>
      </c>
      <c r="D424" s="42">
        <v>82508010013</v>
      </c>
      <c r="E424" s="44">
        <v>45870</v>
      </c>
      <c r="F424" s="45" t="s">
        <v>35</v>
      </c>
      <c r="G424" s="71" t="s">
        <v>485</v>
      </c>
      <c r="H424" s="76" t="s">
        <v>37</v>
      </c>
      <c r="I424" s="12" t="s">
        <v>38</v>
      </c>
      <c r="J424" s="43">
        <v>45733</v>
      </c>
      <c r="K424" s="55">
        <v>7</v>
      </c>
      <c r="L424" s="49">
        <f t="shared" si="18"/>
        <v>7</v>
      </c>
      <c r="M424" s="48">
        <f t="shared" si="20"/>
        <v>35296.589999999997</v>
      </c>
      <c r="N424" s="48">
        <v>5042.37</v>
      </c>
      <c r="O424" s="50">
        <v>9</v>
      </c>
      <c r="P424" s="50">
        <v>9</v>
      </c>
      <c r="Q424" s="51">
        <f t="shared" si="19"/>
        <v>41649.97619999999</v>
      </c>
      <c r="R424" s="48"/>
      <c r="S424" s="24" t="s">
        <v>543</v>
      </c>
      <c r="T424" s="43">
        <v>45870</v>
      </c>
      <c r="U424" s="43" t="s">
        <v>40</v>
      </c>
      <c r="V424" s="46" t="s">
        <v>33</v>
      </c>
      <c r="W424" s="54" t="s">
        <v>34</v>
      </c>
    </row>
    <row r="425" spans="1:23" s="27" customFormat="1" ht="34.950000000000003" customHeight="1" x14ac:dyDescent="0.25">
      <c r="A425" s="12">
        <f>SUBTOTAL(3,$B$2:B425)</f>
        <v>424</v>
      </c>
      <c r="B425" s="42">
        <v>153</v>
      </c>
      <c r="C425" s="43">
        <v>45870</v>
      </c>
      <c r="D425" s="42">
        <v>82508010014</v>
      </c>
      <c r="E425" s="44">
        <v>45870</v>
      </c>
      <c r="F425" s="45" t="s">
        <v>35</v>
      </c>
      <c r="G425" s="71" t="s">
        <v>485</v>
      </c>
      <c r="H425" s="76" t="s">
        <v>37</v>
      </c>
      <c r="I425" s="12" t="s">
        <v>38</v>
      </c>
      <c r="J425" s="43">
        <v>45733</v>
      </c>
      <c r="K425" s="55">
        <v>7</v>
      </c>
      <c r="L425" s="49">
        <f t="shared" si="18"/>
        <v>7</v>
      </c>
      <c r="M425" s="48">
        <f t="shared" si="20"/>
        <v>35296.589999999997</v>
      </c>
      <c r="N425" s="48">
        <v>5042.37</v>
      </c>
      <c r="O425" s="50">
        <v>9</v>
      </c>
      <c r="P425" s="50">
        <v>9</v>
      </c>
      <c r="Q425" s="51">
        <f t="shared" si="19"/>
        <v>41649.97619999999</v>
      </c>
      <c r="R425" s="48"/>
      <c r="S425" s="24" t="s">
        <v>544</v>
      </c>
      <c r="T425" s="43">
        <v>45870</v>
      </c>
      <c r="U425" s="43" t="s">
        <v>506</v>
      </c>
      <c r="V425" s="46" t="s">
        <v>33</v>
      </c>
      <c r="W425" s="54" t="s">
        <v>34</v>
      </c>
    </row>
    <row r="426" spans="1:23" s="27" customFormat="1" ht="34.950000000000003" customHeight="1" x14ac:dyDescent="0.25">
      <c r="A426" s="12">
        <f>SUBTOTAL(3,$B$2:B426)</f>
        <v>425</v>
      </c>
      <c r="B426" s="42">
        <v>154</v>
      </c>
      <c r="C426" s="43">
        <v>45870</v>
      </c>
      <c r="D426" s="42">
        <v>82508010015</v>
      </c>
      <c r="E426" s="44">
        <v>45870</v>
      </c>
      <c r="F426" s="45" t="s">
        <v>35</v>
      </c>
      <c r="G426" s="71" t="s">
        <v>485</v>
      </c>
      <c r="H426" s="76" t="s">
        <v>37</v>
      </c>
      <c r="I426" s="12" t="s">
        <v>38</v>
      </c>
      <c r="J426" s="43">
        <v>45733</v>
      </c>
      <c r="K426" s="55">
        <v>7</v>
      </c>
      <c r="L426" s="49">
        <f t="shared" si="18"/>
        <v>7</v>
      </c>
      <c r="M426" s="48">
        <f t="shared" si="20"/>
        <v>35296.589999999997</v>
      </c>
      <c r="N426" s="48">
        <v>5042.37</v>
      </c>
      <c r="O426" s="50">
        <v>9</v>
      </c>
      <c r="P426" s="50">
        <v>9</v>
      </c>
      <c r="Q426" s="51">
        <f t="shared" si="19"/>
        <v>41649.97619999999</v>
      </c>
      <c r="R426" s="48"/>
      <c r="S426" s="24" t="s">
        <v>545</v>
      </c>
      <c r="T426" s="43">
        <v>45870</v>
      </c>
      <c r="U426" s="43" t="s">
        <v>99</v>
      </c>
      <c r="V426" s="46" t="s">
        <v>33</v>
      </c>
      <c r="W426" s="54" t="s">
        <v>34</v>
      </c>
    </row>
    <row r="427" spans="1:23" s="27" customFormat="1" ht="34.950000000000003" customHeight="1" x14ac:dyDescent="0.25">
      <c r="A427" s="12">
        <f>SUBTOTAL(3,$B$2:B427)</f>
        <v>426</v>
      </c>
      <c r="B427" s="42">
        <v>155</v>
      </c>
      <c r="C427" s="43">
        <v>45870</v>
      </c>
      <c r="D427" s="42">
        <v>82508010016</v>
      </c>
      <c r="E427" s="44">
        <v>45870</v>
      </c>
      <c r="F427" s="45" t="s">
        <v>35</v>
      </c>
      <c r="G427" s="71" t="s">
        <v>485</v>
      </c>
      <c r="H427" s="76" t="s">
        <v>37</v>
      </c>
      <c r="I427" s="12" t="s">
        <v>38</v>
      </c>
      <c r="J427" s="43">
        <v>45733</v>
      </c>
      <c r="K427" s="55">
        <v>7</v>
      </c>
      <c r="L427" s="49">
        <f t="shared" si="18"/>
        <v>7</v>
      </c>
      <c r="M427" s="48">
        <f t="shared" si="20"/>
        <v>35296.589999999997</v>
      </c>
      <c r="N427" s="48">
        <v>5042.37</v>
      </c>
      <c r="O427" s="50">
        <v>9</v>
      </c>
      <c r="P427" s="50">
        <v>9</v>
      </c>
      <c r="Q427" s="51">
        <f t="shared" si="19"/>
        <v>41649.97619999999</v>
      </c>
      <c r="R427" s="48"/>
      <c r="S427" s="24" t="s">
        <v>546</v>
      </c>
      <c r="T427" s="43">
        <v>45870</v>
      </c>
      <c r="U427" s="43" t="s">
        <v>492</v>
      </c>
      <c r="V427" s="46" t="s">
        <v>33</v>
      </c>
      <c r="W427" s="54" t="s">
        <v>34</v>
      </c>
    </row>
    <row r="428" spans="1:23" s="27" customFormat="1" ht="34.950000000000003" customHeight="1" x14ac:dyDescent="0.35">
      <c r="A428" s="12">
        <f>SUBTOTAL(3,$B$2:B428)</f>
        <v>427</v>
      </c>
      <c r="B428" s="42">
        <v>156</v>
      </c>
      <c r="C428" s="43">
        <v>45870</v>
      </c>
      <c r="D428" s="42">
        <v>82508010017</v>
      </c>
      <c r="E428" s="44">
        <v>45870</v>
      </c>
      <c r="F428" s="65" t="s">
        <v>35</v>
      </c>
      <c r="G428" s="66" t="s">
        <v>485</v>
      </c>
      <c r="H428" s="46" t="s">
        <v>37</v>
      </c>
      <c r="I428" s="12" t="s">
        <v>38</v>
      </c>
      <c r="J428" s="43">
        <v>45733</v>
      </c>
      <c r="K428" s="55">
        <v>7</v>
      </c>
      <c r="L428" s="49">
        <f t="shared" si="18"/>
        <v>7</v>
      </c>
      <c r="M428" s="48">
        <f t="shared" si="20"/>
        <v>35296.589999999997</v>
      </c>
      <c r="N428" s="48">
        <v>5042.37</v>
      </c>
      <c r="O428" s="50">
        <v>9</v>
      </c>
      <c r="P428" s="50">
        <v>9</v>
      </c>
      <c r="Q428" s="51">
        <f t="shared" si="19"/>
        <v>41649.97619999999</v>
      </c>
      <c r="R428" s="48"/>
      <c r="S428" s="24" t="s">
        <v>547</v>
      </c>
      <c r="T428" s="43">
        <v>45870</v>
      </c>
      <c r="U428" s="43" t="s">
        <v>97</v>
      </c>
      <c r="V428" s="46" t="s">
        <v>33</v>
      </c>
      <c r="W428" s="54" t="s">
        <v>34</v>
      </c>
    </row>
    <row r="429" spans="1:23" s="27" customFormat="1" ht="34.950000000000003" customHeight="1" x14ac:dyDescent="0.35">
      <c r="A429" s="12">
        <f>SUBTOTAL(3,$B$2:B429)</f>
        <v>428</v>
      </c>
      <c r="B429" s="42">
        <v>157</v>
      </c>
      <c r="C429" s="43">
        <v>45870</v>
      </c>
      <c r="D429" s="42">
        <v>82508010018</v>
      </c>
      <c r="E429" s="44">
        <v>45870</v>
      </c>
      <c r="F429" s="65" t="s">
        <v>35</v>
      </c>
      <c r="G429" s="66" t="s">
        <v>485</v>
      </c>
      <c r="H429" s="46" t="s">
        <v>37</v>
      </c>
      <c r="I429" s="12" t="s">
        <v>38</v>
      </c>
      <c r="J429" s="43">
        <v>45733</v>
      </c>
      <c r="K429" s="55">
        <v>7</v>
      </c>
      <c r="L429" s="49">
        <f t="shared" si="18"/>
        <v>7</v>
      </c>
      <c r="M429" s="48">
        <f t="shared" si="20"/>
        <v>35296.589999999997</v>
      </c>
      <c r="N429" s="48">
        <v>5042.37</v>
      </c>
      <c r="O429" s="50">
        <v>9</v>
      </c>
      <c r="P429" s="50">
        <v>9</v>
      </c>
      <c r="Q429" s="51">
        <f t="shared" si="19"/>
        <v>41649.97619999999</v>
      </c>
      <c r="R429" s="48"/>
      <c r="S429" s="24" t="s">
        <v>548</v>
      </c>
      <c r="T429" s="43">
        <v>45870</v>
      </c>
      <c r="U429" s="43" t="s">
        <v>101</v>
      </c>
      <c r="V429" s="46" t="s">
        <v>33</v>
      </c>
      <c r="W429" s="54" t="s">
        <v>34</v>
      </c>
    </row>
    <row r="430" spans="1:23" s="27" customFormat="1" ht="34.950000000000003" customHeight="1" x14ac:dyDescent="0.25">
      <c r="A430" s="12">
        <f>SUBTOTAL(3,$B$2:B430)</f>
        <v>429</v>
      </c>
      <c r="B430" s="42">
        <v>158</v>
      </c>
      <c r="C430" s="43">
        <v>45870</v>
      </c>
      <c r="D430" s="42">
        <v>82508010019</v>
      </c>
      <c r="E430" s="44">
        <v>45870</v>
      </c>
      <c r="F430" s="45" t="s">
        <v>35</v>
      </c>
      <c r="G430" s="52" t="s">
        <v>485</v>
      </c>
      <c r="H430" s="46" t="s">
        <v>37</v>
      </c>
      <c r="I430" s="12" t="s">
        <v>38</v>
      </c>
      <c r="J430" s="43">
        <v>45733</v>
      </c>
      <c r="K430" s="63">
        <v>7</v>
      </c>
      <c r="L430" s="49">
        <f t="shared" si="18"/>
        <v>7</v>
      </c>
      <c r="M430" s="48">
        <f t="shared" si="20"/>
        <v>35296.589999999997</v>
      </c>
      <c r="N430" s="48">
        <v>5042.37</v>
      </c>
      <c r="O430" s="50">
        <v>9</v>
      </c>
      <c r="P430" s="50">
        <v>9</v>
      </c>
      <c r="Q430" s="51">
        <f t="shared" si="19"/>
        <v>41649.97619999999</v>
      </c>
      <c r="R430" s="48"/>
      <c r="S430" s="24" t="s">
        <v>549</v>
      </c>
      <c r="T430" s="43">
        <v>45870</v>
      </c>
      <c r="U430" s="43" t="s">
        <v>542</v>
      </c>
      <c r="V430" s="46" t="s">
        <v>33</v>
      </c>
      <c r="W430" s="54" t="s">
        <v>34</v>
      </c>
    </row>
    <row r="431" spans="1:23" s="27" customFormat="1" ht="34.950000000000003" customHeight="1" x14ac:dyDescent="0.25">
      <c r="A431" s="12">
        <f>SUBTOTAL(3,$B$2:B431)</f>
        <v>430</v>
      </c>
      <c r="B431" s="42">
        <v>159</v>
      </c>
      <c r="C431" s="43">
        <v>45870</v>
      </c>
      <c r="D431" s="42">
        <v>82508010020</v>
      </c>
      <c r="E431" s="44">
        <v>45870</v>
      </c>
      <c r="F431" s="45" t="s">
        <v>35</v>
      </c>
      <c r="G431" s="52" t="s">
        <v>485</v>
      </c>
      <c r="H431" s="46" t="s">
        <v>37</v>
      </c>
      <c r="I431" s="12" t="s">
        <v>38</v>
      </c>
      <c r="J431" s="43">
        <v>45733</v>
      </c>
      <c r="K431" s="55">
        <v>7</v>
      </c>
      <c r="L431" s="49">
        <f t="shared" si="18"/>
        <v>7</v>
      </c>
      <c r="M431" s="48">
        <f t="shared" si="20"/>
        <v>35296.589999999997</v>
      </c>
      <c r="N431" s="48">
        <v>5042.37</v>
      </c>
      <c r="O431" s="50">
        <v>9</v>
      </c>
      <c r="P431" s="50">
        <v>9</v>
      </c>
      <c r="Q431" s="51">
        <f t="shared" si="19"/>
        <v>41649.97619999999</v>
      </c>
      <c r="R431" s="48"/>
      <c r="S431" s="24" t="s">
        <v>550</v>
      </c>
      <c r="T431" s="43">
        <v>45870</v>
      </c>
      <c r="U431" s="43" t="s">
        <v>230</v>
      </c>
      <c r="V431" s="46" t="s">
        <v>33</v>
      </c>
      <c r="W431" s="54" t="s">
        <v>34</v>
      </c>
    </row>
    <row r="432" spans="1:23" s="27" customFormat="1" ht="34.950000000000003" customHeight="1" x14ac:dyDescent="0.25">
      <c r="A432" s="12">
        <f>SUBTOTAL(3,$B$2:B432)</f>
        <v>431</v>
      </c>
      <c r="B432" s="42">
        <v>160</v>
      </c>
      <c r="C432" s="43">
        <v>45870</v>
      </c>
      <c r="D432" s="42">
        <v>82508010021</v>
      </c>
      <c r="E432" s="44">
        <v>45870</v>
      </c>
      <c r="F432" s="45" t="s">
        <v>35</v>
      </c>
      <c r="G432" s="52" t="s">
        <v>485</v>
      </c>
      <c r="H432" s="46" t="s">
        <v>37</v>
      </c>
      <c r="I432" s="12" t="s">
        <v>38</v>
      </c>
      <c r="J432" s="43">
        <v>45733</v>
      </c>
      <c r="K432" s="55">
        <v>7</v>
      </c>
      <c r="L432" s="49">
        <f t="shared" si="18"/>
        <v>7</v>
      </c>
      <c r="M432" s="48">
        <f t="shared" si="20"/>
        <v>35296.589999999997</v>
      </c>
      <c r="N432" s="48">
        <v>5042.37</v>
      </c>
      <c r="O432" s="50">
        <v>9</v>
      </c>
      <c r="P432" s="50">
        <v>9</v>
      </c>
      <c r="Q432" s="51">
        <f t="shared" si="19"/>
        <v>41649.97619999999</v>
      </c>
      <c r="R432" s="48"/>
      <c r="S432" s="24" t="s">
        <v>551</v>
      </c>
      <c r="T432" s="43">
        <v>45870</v>
      </c>
      <c r="U432" s="43" t="s">
        <v>40</v>
      </c>
      <c r="V432" s="46" t="s">
        <v>33</v>
      </c>
      <c r="W432" s="54" t="s">
        <v>34</v>
      </c>
    </row>
    <row r="433" spans="1:23" s="27" customFormat="1" ht="34.950000000000003" customHeight="1" x14ac:dyDescent="0.25">
      <c r="A433" s="12">
        <f>SUBTOTAL(3,$B$2:B433)</f>
        <v>432</v>
      </c>
      <c r="B433" s="42">
        <v>161</v>
      </c>
      <c r="C433" s="43">
        <v>45870</v>
      </c>
      <c r="D433" s="42">
        <v>82508010022</v>
      </c>
      <c r="E433" s="44">
        <v>45870</v>
      </c>
      <c r="F433" s="45" t="s">
        <v>35</v>
      </c>
      <c r="G433" s="52" t="s">
        <v>485</v>
      </c>
      <c r="H433" s="46" t="s">
        <v>37</v>
      </c>
      <c r="I433" s="12" t="s">
        <v>38</v>
      </c>
      <c r="J433" s="43">
        <v>45733</v>
      </c>
      <c r="K433" s="55">
        <v>7</v>
      </c>
      <c r="L433" s="49">
        <f t="shared" si="18"/>
        <v>7</v>
      </c>
      <c r="M433" s="48">
        <f t="shared" si="20"/>
        <v>35296.589999999997</v>
      </c>
      <c r="N433" s="48">
        <v>5042.37</v>
      </c>
      <c r="O433" s="50">
        <v>9</v>
      </c>
      <c r="P433" s="50">
        <v>9</v>
      </c>
      <c r="Q433" s="51">
        <f t="shared" si="19"/>
        <v>41649.97619999999</v>
      </c>
      <c r="R433" s="48"/>
      <c r="S433" s="24" t="s">
        <v>552</v>
      </c>
      <c r="T433" s="43">
        <v>45870</v>
      </c>
      <c r="U433" s="43" t="s">
        <v>506</v>
      </c>
      <c r="V433" s="46" t="s">
        <v>33</v>
      </c>
      <c r="W433" s="54" t="s">
        <v>34</v>
      </c>
    </row>
    <row r="434" spans="1:23" s="27" customFormat="1" ht="34.950000000000003" customHeight="1" x14ac:dyDescent="0.25">
      <c r="A434" s="12">
        <f>SUBTOTAL(3,$B$2:B434)</f>
        <v>433</v>
      </c>
      <c r="B434" s="42">
        <v>162</v>
      </c>
      <c r="C434" s="43">
        <v>45870</v>
      </c>
      <c r="D434" s="42">
        <v>82508010023</v>
      </c>
      <c r="E434" s="44">
        <v>45870</v>
      </c>
      <c r="F434" s="45" t="s">
        <v>35</v>
      </c>
      <c r="G434" s="52" t="s">
        <v>485</v>
      </c>
      <c r="H434" s="46" t="s">
        <v>37</v>
      </c>
      <c r="I434" s="12" t="s">
        <v>38</v>
      </c>
      <c r="J434" s="43">
        <v>45733</v>
      </c>
      <c r="K434" s="55">
        <v>7</v>
      </c>
      <c r="L434" s="49">
        <f t="shared" si="18"/>
        <v>7</v>
      </c>
      <c r="M434" s="48">
        <f t="shared" si="20"/>
        <v>35296.589999999997</v>
      </c>
      <c r="N434" s="48">
        <v>5042.37</v>
      </c>
      <c r="O434" s="50">
        <v>9</v>
      </c>
      <c r="P434" s="50">
        <v>9</v>
      </c>
      <c r="Q434" s="51">
        <f t="shared" si="19"/>
        <v>41649.97619999999</v>
      </c>
      <c r="R434" s="48"/>
      <c r="S434" s="24" t="s">
        <v>553</v>
      </c>
      <c r="T434" s="43">
        <v>45870</v>
      </c>
      <c r="U434" s="43" t="s">
        <v>99</v>
      </c>
      <c r="V434" s="46" t="s">
        <v>33</v>
      </c>
      <c r="W434" s="54" t="s">
        <v>34</v>
      </c>
    </row>
    <row r="435" spans="1:23" s="27" customFormat="1" ht="34.950000000000003" customHeight="1" x14ac:dyDescent="0.25">
      <c r="A435" s="12">
        <f>SUBTOTAL(3,$B$2:B435)</f>
        <v>434</v>
      </c>
      <c r="B435" s="42">
        <v>163</v>
      </c>
      <c r="C435" s="43">
        <v>45870</v>
      </c>
      <c r="D435" s="42">
        <v>82508010024</v>
      </c>
      <c r="E435" s="44">
        <v>45870</v>
      </c>
      <c r="F435" s="45" t="s">
        <v>35</v>
      </c>
      <c r="G435" s="52" t="s">
        <v>485</v>
      </c>
      <c r="H435" s="46" t="s">
        <v>37</v>
      </c>
      <c r="I435" s="12" t="s">
        <v>38</v>
      </c>
      <c r="J435" s="43">
        <v>45733</v>
      </c>
      <c r="K435" s="55">
        <v>7</v>
      </c>
      <c r="L435" s="49">
        <f t="shared" si="18"/>
        <v>7</v>
      </c>
      <c r="M435" s="48">
        <f t="shared" si="20"/>
        <v>35296.589999999997</v>
      </c>
      <c r="N435" s="48">
        <v>5042.37</v>
      </c>
      <c r="O435" s="50">
        <v>9</v>
      </c>
      <c r="P435" s="50">
        <v>9</v>
      </c>
      <c r="Q435" s="51">
        <f t="shared" si="19"/>
        <v>41649.97619999999</v>
      </c>
      <c r="R435" s="48"/>
      <c r="S435" s="24" t="s">
        <v>554</v>
      </c>
      <c r="T435" s="43">
        <v>45870</v>
      </c>
      <c r="U435" s="43" t="s">
        <v>97</v>
      </c>
      <c r="V435" s="46" t="s">
        <v>33</v>
      </c>
      <c r="W435" s="54" t="s">
        <v>34</v>
      </c>
    </row>
    <row r="436" spans="1:23" s="27" customFormat="1" ht="34.950000000000003" customHeight="1" x14ac:dyDescent="0.25">
      <c r="A436" s="12">
        <f>SUBTOTAL(3,$B$2:B436)</f>
        <v>435</v>
      </c>
      <c r="B436" s="42">
        <v>164</v>
      </c>
      <c r="C436" s="43">
        <v>45870</v>
      </c>
      <c r="D436" s="42">
        <v>82508010025</v>
      </c>
      <c r="E436" s="44">
        <v>45870</v>
      </c>
      <c r="F436" s="45" t="s">
        <v>35</v>
      </c>
      <c r="G436" s="52" t="s">
        <v>485</v>
      </c>
      <c r="H436" s="46" t="s">
        <v>37</v>
      </c>
      <c r="I436" s="12" t="s">
        <v>38</v>
      </c>
      <c r="J436" s="43">
        <v>45733</v>
      </c>
      <c r="K436" s="63">
        <v>7</v>
      </c>
      <c r="L436" s="49">
        <f t="shared" si="18"/>
        <v>7</v>
      </c>
      <c r="M436" s="48">
        <f t="shared" si="20"/>
        <v>35296.589999999997</v>
      </c>
      <c r="N436" s="48">
        <v>5042.37</v>
      </c>
      <c r="O436" s="50">
        <v>9</v>
      </c>
      <c r="P436" s="50">
        <v>9</v>
      </c>
      <c r="Q436" s="51">
        <f t="shared" si="19"/>
        <v>41649.97619999999</v>
      </c>
      <c r="R436" s="48"/>
      <c r="S436" s="24" t="s">
        <v>555</v>
      </c>
      <c r="T436" s="43">
        <v>45870</v>
      </c>
      <c r="U436" s="43" t="s">
        <v>492</v>
      </c>
      <c r="V436" s="46" t="s">
        <v>33</v>
      </c>
      <c r="W436" s="54" t="s">
        <v>34</v>
      </c>
    </row>
    <row r="437" spans="1:23" s="27" customFormat="1" ht="34.950000000000003" customHeight="1" x14ac:dyDescent="0.25">
      <c r="A437" s="12">
        <f>SUBTOTAL(3,$B$2:B437)</f>
        <v>436</v>
      </c>
      <c r="B437" s="42">
        <v>165</v>
      </c>
      <c r="C437" s="43">
        <v>45870</v>
      </c>
      <c r="D437" s="42">
        <v>82508010026</v>
      </c>
      <c r="E437" s="44">
        <v>45870</v>
      </c>
      <c r="F437" s="45" t="s">
        <v>35</v>
      </c>
      <c r="G437" s="52" t="s">
        <v>485</v>
      </c>
      <c r="H437" s="46" t="s">
        <v>37</v>
      </c>
      <c r="I437" s="12" t="s">
        <v>38</v>
      </c>
      <c r="J437" s="43">
        <v>45733</v>
      </c>
      <c r="K437" s="63">
        <v>7</v>
      </c>
      <c r="L437" s="49">
        <f t="shared" si="18"/>
        <v>7</v>
      </c>
      <c r="M437" s="48">
        <f t="shared" si="20"/>
        <v>35296.589999999997</v>
      </c>
      <c r="N437" s="48">
        <v>5042.37</v>
      </c>
      <c r="O437" s="50">
        <v>9</v>
      </c>
      <c r="P437" s="50">
        <v>9</v>
      </c>
      <c r="Q437" s="51">
        <f t="shared" si="19"/>
        <v>41649.97619999999</v>
      </c>
      <c r="R437" s="48"/>
      <c r="S437" s="24" t="s">
        <v>556</v>
      </c>
      <c r="T437" s="43">
        <v>45870</v>
      </c>
      <c r="U437" s="43" t="s">
        <v>101</v>
      </c>
      <c r="V437" s="46" t="s">
        <v>33</v>
      </c>
      <c r="W437" s="54" t="s">
        <v>34</v>
      </c>
    </row>
    <row r="438" spans="1:23" s="27" customFormat="1" ht="34.950000000000003" customHeight="1" x14ac:dyDescent="0.25">
      <c r="A438" s="12">
        <f>SUBTOTAL(3,$B$2:B438)</f>
        <v>437</v>
      </c>
      <c r="B438" s="42">
        <v>166</v>
      </c>
      <c r="C438" s="43">
        <v>45870</v>
      </c>
      <c r="D438" s="42">
        <v>82508010027</v>
      </c>
      <c r="E438" s="44">
        <v>45870</v>
      </c>
      <c r="F438" s="45" t="s">
        <v>35</v>
      </c>
      <c r="G438" s="52" t="s">
        <v>485</v>
      </c>
      <c r="H438" s="46" t="s">
        <v>37</v>
      </c>
      <c r="I438" s="12" t="s">
        <v>38</v>
      </c>
      <c r="J438" s="43">
        <v>45733</v>
      </c>
      <c r="K438" s="63">
        <v>7</v>
      </c>
      <c r="L438" s="49">
        <f t="shared" si="18"/>
        <v>7</v>
      </c>
      <c r="M438" s="48">
        <f t="shared" si="20"/>
        <v>35296.589999999997</v>
      </c>
      <c r="N438" s="48">
        <v>5042.37</v>
      </c>
      <c r="O438" s="50">
        <v>9</v>
      </c>
      <c r="P438" s="50">
        <v>9</v>
      </c>
      <c r="Q438" s="51">
        <f t="shared" si="19"/>
        <v>41649.97619999999</v>
      </c>
      <c r="R438" s="48"/>
      <c r="S438" s="24" t="s">
        <v>557</v>
      </c>
      <c r="T438" s="43">
        <v>45870</v>
      </c>
      <c r="U438" s="43" t="s">
        <v>230</v>
      </c>
      <c r="V438" s="46" t="s">
        <v>33</v>
      </c>
      <c r="W438" s="54" t="s">
        <v>34</v>
      </c>
    </row>
    <row r="439" spans="1:23" s="27" customFormat="1" ht="34.950000000000003" customHeight="1" x14ac:dyDescent="0.25">
      <c r="A439" s="12">
        <f>SUBTOTAL(3,$B$2:B439)</f>
        <v>438</v>
      </c>
      <c r="B439" s="42">
        <v>167</v>
      </c>
      <c r="C439" s="43">
        <v>45870</v>
      </c>
      <c r="D439" s="42">
        <v>82508010028</v>
      </c>
      <c r="E439" s="44">
        <v>45870</v>
      </c>
      <c r="F439" s="45" t="s">
        <v>35</v>
      </c>
      <c r="G439" s="52" t="s">
        <v>485</v>
      </c>
      <c r="H439" s="46" t="s">
        <v>37</v>
      </c>
      <c r="I439" s="12" t="s">
        <v>38</v>
      </c>
      <c r="J439" s="43">
        <v>45733</v>
      </c>
      <c r="K439" s="63">
        <v>7</v>
      </c>
      <c r="L439" s="49">
        <f t="shared" si="18"/>
        <v>7</v>
      </c>
      <c r="M439" s="48">
        <f t="shared" si="20"/>
        <v>35296.589999999997</v>
      </c>
      <c r="N439" s="48">
        <v>5042.37</v>
      </c>
      <c r="O439" s="50">
        <v>9</v>
      </c>
      <c r="P439" s="50">
        <v>9</v>
      </c>
      <c r="Q439" s="51">
        <f t="shared" si="19"/>
        <v>41649.97619999999</v>
      </c>
      <c r="R439" s="48"/>
      <c r="S439" s="24" t="s">
        <v>558</v>
      </c>
      <c r="T439" s="43">
        <v>45870</v>
      </c>
      <c r="U439" s="43" t="s">
        <v>542</v>
      </c>
      <c r="V439" s="46" t="s">
        <v>33</v>
      </c>
      <c r="W439" s="54" t="s">
        <v>34</v>
      </c>
    </row>
    <row r="440" spans="1:23" s="27" customFormat="1" ht="34.950000000000003" customHeight="1" x14ac:dyDescent="0.35">
      <c r="A440" s="12">
        <f>SUBTOTAL(3,$B$2:B440)</f>
        <v>439</v>
      </c>
      <c r="B440" s="42">
        <v>168</v>
      </c>
      <c r="C440" s="43">
        <v>45870</v>
      </c>
      <c r="D440" s="42">
        <v>82508010029</v>
      </c>
      <c r="E440" s="44">
        <v>45870</v>
      </c>
      <c r="F440" s="65" t="s">
        <v>35</v>
      </c>
      <c r="G440" s="66" t="s">
        <v>485</v>
      </c>
      <c r="H440" s="46" t="s">
        <v>37</v>
      </c>
      <c r="I440" s="12" t="s">
        <v>38</v>
      </c>
      <c r="J440" s="43">
        <v>45733</v>
      </c>
      <c r="K440" s="55">
        <v>7</v>
      </c>
      <c r="L440" s="49">
        <f t="shared" si="18"/>
        <v>7</v>
      </c>
      <c r="M440" s="48">
        <f t="shared" si="20"/>
        <v>35296.589999999997</v>
      </c>
      <c r="N440" s="48">
        <v>5042.37</v>
      </c>
      <c r="O440" s="50">
        <v>9</v>
      </c>
      <c r="P440" s="50">
        <v>9</v>
      </c>
      <c r="Q440" s="51">
        <f t="shared" si="19"/>
        <v>41649.97619999999</v>
      </c>
      <c r="R440" s="48"/>
      <c r="S440" s="24" t="s">
        <v>559</v>
      </c>
      <c r="T440" s="43">
        <v>45870</v>
      </c>
      <c r="U440" s="43" t="s">
        <v>40</v>
      </c>
      <c r="V440" s="46" t="s">
        <v>33</v>
      </c>
      <c r="W440" s="54" t="s">
        <v>34</v>
      </c>
    </row>
    <row r="441" spans="1:23" s="27" customFormat="1" ht="34.950000000000003" customHeight="1" x14ac:dyDescent="0.35">
      <c r="A441" s="12">
        <f>SUBTOTAL(3,$B$2:B441)</f>
        <v>440</v>
      </c>
      <c r="B441" s="42">
        <v>169</v>
      </c>
      <c r="C441" s="43">
        <v>45870</v>
      </c>
      <c r="D441" s="42">
        <v>82508010030</v>
      </c>
      <c r="E441" s="44">
        <v>45870</v>
      </c>
      <c r="F441" s="65" t="s">
        <v>35</v>
      </c>
      <c r="G441" s="66" t="s">
        <v>485</v>
      </c>
      <c r="H441" s="46" t="s">
        <v>37</v>
      </c>
      <c r="I441" s="12" t="s">
        <v>38</v>
      </c>
      <c r="J441" s="43">
        <v>45733</v>
      </c>
      <c r="K441" s="104">
        <v>7</v>
      </c>
      <c r="L441" s="49">
        <f t="shared" si="18"/>
        <v>7</v>
      </c>
      <c r="M441" s="48">
        <f t="shared" si="20"/>
        <v>35296.589999999997</v>
      </c>
      <c r="N441" s="48">
        <v>5042.37</v>
      </c>
      <c r="O441" s="50">
        <v>9</v>
      </c>
      <c r="P441" s="50">
        <v>9</v>
      </c>
      <c r="Q441" s="51">
        <f t="shared" si="19"/>
        <v>41649.97619999999</v>
      </c>
      <c r="R441" s="48"/>
      <c r="S441" s="24" t="s">
        <v>560</v>
      </c>
      <c r="T441" s="43">
        <v>45870</v>
      </c>
      <c r="U441" s="43" t="s">
        <v>99</v>
      </c>
      <c r="V441" s="46" t="s">
        <v>33</v>
      </c>
      <c r="W441" s="54" t="s">
        <v>34</v>
      </c>
    </row>
    <row r="442" spans="1:23" s="27" customFormat="1" ht="34.950000000000003" customHeight="1" x14ac:dyDescent="0.35">
      <c r="A442" s="12">
        <f>SUBTOTAL(3,$B$2:B442)</f>
        <v>441</v>
      </c>
      <c r="B442" s="42">
        <v>170</v>
      </c>
      <c r="C442" s="43">
        <v>45870</v>
      </c>
      <c r="D442" s="42">
        <v>82508010031</v>
      </c>
      <c r="E442" s="44">
        <v>45870</v>
      </c>
      <c r="F442" s="65" t="s">
        <v>35</v>
      </c>
      <c r="G442" s="66" t="s">
        <v>485</v>
      </c>
      <c r="H442" s="46" t="s">
        <v>37</v>
      </c>
      <c r="I442" s="12" t="s">
        <v>38</v>
      </c>
      <c r="J442" s="43">
        <v>45733</v>
      </c>
      <c r="K442" s="104">
        <v>7</v>
      </c>
      <c r="L442" s="49">
        <f t="shared" si="18"/>
        <v>7</v>
      </c>
      <c r="M442" s="48">
        <f t="shared" si="20"/>
        <v>35296.589999999997</v>
      </c>
      <c r="N442" s="48">
        <v>5042.37</v>
      </c>
      <c r="O442" s="50">
        <v>9</v>
      </c>
      <c r="P442" s="50">
        <v>9</v>
      </c>
      <c r="Q442" s="51">
        <f t="shared" si="19"/>
        <v>41649.97619999999</v>
      </c>
      <c r="R442" s="48"/>
      <c r="S442" s="24" t="s">
        <v>561</v>
      </c>
      <c r="T442" s="43">
        <v>45870</v>
      </c>
      <c r="U442" s="43" t="s">
        <v>97</v>
      </c>
      <c r="V442" s="46" t="s">
        <v>33</v>
      </c>
      <c r="W442" s="54" t="s">
        <v>34</v>
      </c>
    </row>
    <row r="443" spans="1:23" s="27" customFormat="1" ht="34.950000000000003" customHeight="1" x14ac:dyDescent="0.25">
      <c r="A443" s="12">
        <f>SUBTOTAL(3,$B$2:B443)</f>
        <v>442</v>
      </c>
      <c r="B443" s="42">
        <v>171</v>
      </c>
      <c r="C443" s="43">
        <v>45870</v>
      </c>
      <c r="D443" s="42">
        <v>82508010032</v>
      </c>
      <c r="E443" s="44">
        <v>45870</v>
      </c>
      <c r="F443" s="45" t="s">
        <v>35</v>
      </c>
      <c r="G443" s="52" t="s">
        <v>485</v>
      </c>
      <c r="H443" s="46" t="s">
        <v>37</v>
      </c>
      <c r="I443" s="12" t="s">
        <v>38</v>
      </c>
      <c r="J443" s="43">
        <v>45733</v>
      </c>
      <c r="K443" s="63">
        <v>7</v>
      </c>
      <c r="L443" s="49">
        <f t="shared" si="18"/>
        <v>7</v>
      </c>
      <c r="M443" s="48">
        <f t="shared" si="20"/>
        <v>35296.589999999997</v>
      </c>
      <c r="N443" s="48">
        <v>5042.37</v>
      </c>
      <c r="O443" s="50">
        <v>9</v>
      </c>
      <c r="P443" s="50">
        <v>9</v>
      </c>
      <c r="Q443" s="51">
        <f t="shared" si="19"/>
        <v>41649.97619999999</v>
      </c>
      <c r="R443" s="48"/>
      <c r="S443" s="24" t="s">
        <v>562</v>
      </c>
      <c r="T443" s="43">
        <v>45870</v>
      </c>
      <c r="U443" s="43" t="s">
        <v>492</v>
      </c>
      <c r="V443" s="46" t="s">
        <v>33</v>
      </c>
      <c r="W443" s="54" t="s">
        <v>34</v>
      </c>
    </row>
    <row r="444" spans="1:23" s="27" customFormat="1" ht="34.950000000000003" customHeight="1" x14ac:dyDescent="0.25">
      <c r="A444" s="12">
        <f>SUBTOTAL(3,$B$2:B444)</f>
        <v>443</v>
      </c>
      <c r="B444" s="42">
        <v>172</v>
      </c>
      <c r="C444" s="43">
        <v>45870</v>
      </c>
      <c r="D444" s="42">
        <v>82508010033</v>
      </c>
      <c r="E444" s="44">
        <v>45870</v>
      </c>
      <c r="F444" s="45" t="s">
        <v>35</v>
      </c>
      <c r="G444" s="52" t="s">
        <v>485</v>
      </c>
      <c r="H444" s="46" t="s">
        <v>37</v>
      </c>
      <c r="I444" s="12" t="s">
        <v>38</v>
      </c>
      <c r="J444" s="43">
        <v>45733</v>
      </c>
      <c r="K444" s="63">
        <v>7</v>
      </c>
      <c r="L444" s="49">
        <f t="shared" si="18"/>
        <v>7</v>
      </c>
      <c r="M444" s="48">
        <f t="shared" si="20"/>
        <v>35296.589999999997</v>
      </c>
      <c r="N444" s="48">
        <v>5042.37</v>
      </c>
      <c r="O444" s="50">
        <v>9</v>
      </c>
      <c r="P444" s="50">
        <v>9</v>
      </c>
      <c r="Q444" s="51">
        <f t="shared" si="19"/>
        <v>41649.97619999999</v>
      </c>
      <c r="R444" s="48"/>
      <c r="S444" s="24" t="s">
        <v>563</v>
      </c>
      <c r="T444" s="43">
        <v>45870</v>
      </c>
      <c r="U444" s="43" t="s">
        <v>101</v>
      </c>
      <c r="V444" s="46" t="s">
        <v>33</v>
      </c>
      <c r="W444" s="54" t="s">
        <v>34</v>
      </c>
    </row>
    <row r="445" spans="1:23" s="27" customFormat="1" ht="34.950000000000003" customHeight="1" x14ac:dyDescent="0.25">
      <c r="A445" s="12">
        <f>SUBTOTAL(3,$B$2:B445)</f>
        <v>444</v>
      </c>
      <c r="B445" s="42">
        <v>173</v>
      </c>
      <c r="C445" s="43">
        <v>45870</v>
      </c>
      <c r="D445" s="42">
        <v>82508010034</v>
      </c>
      <c r="E445" s="44">
        <v>45870</v>
      </c>
      <c r="F445" s="45" t="s">
        <v>35</v>
      </c>
      <c r="G445" s="52" t="s">
        <v>485</v>
      </c>
      <c r="H445" s="46" t="s">
        <v>37</v>
      </c>
      <c r="I445" s="12" t="s">
        <v>38</v>
      </c>
      <c r="J445" s="43">
        <v>45733</v>
      </c>
      <c r="K445" s="63">
        <v>7</v>
      </c>
      <c r="L445" s="49">
        <f t="shared" si="18"/>
        <v>7</v>
      </c>
      <c r="M445" s="48">
        <f t="shared" si="20"/>
        <v>35296.589999999997</v>
      </c>
      <c r="N445" s="48">
        <v>5042.37</v>
      </c>
      <c r="O445" s="50">
        <v>9</v>
      </c>
      <c r="P445" s="50">
        <v>9</v>
      </c>
      <c r="Q445" s="51">
        <f t="shared" si="19"/>
        <v>41649.97619999999</v>
      </c>
      <c r="R445" s="48"/>
      <c r="S445" s="24" t="s">
        <v>564</v>
      </c>
      <c r="T445" s="43">
        <v>45870</v>
      </c>
      <c r="U445" s="43" t="s">
        <v>230</v>
      </c>
      <c r="V445" s="46" t="s">
        <v>33</v>
      </c>
      <c r="W445" s="54" t="s">
        <v>34</v>
      </c>
    </row>
    <row r="446" spans="1:23" s="27" customFormat="1" ht="34.950000000000003" customHeight="1" x14ac:dyDescent="0.25">
      <c r="A446" s="12">
        <f>SUBTOTAL(3,$B$2:B446)</f>
        <v>445</v>
      </c>
      <c r="B446" s="42">
        <v>174</v>
      </c>
      <c r="C446" s="43">
        <v>45870</v>
      </c>
      <c r="D446" s="42">
        <v>82508010035</v>
      </c>
      <c r="E446" s="44">
        <v>45870</v>
      </c>
      <c r="F446" s="45" t="s">
        <v>35</v>
      </c>
      <c r="G446" s="52" t="s">
        <v>485</v>
      </c>
      <c r="H446" s="46" t="s">
        <v>37</v>
      </c>
      <c r="I446" s="12" t="s">
        <v>38</v>
      </c>
      <c r="J446" s="43">
        <v>45733</v>
      </c>
      <c r="K446" s="63">
        <v>7</v>
      </c>
      <c r="L446" s="49">
        <f t="shared" si="18"/>
        <v>7</v>
      </c>
      <c r="M446" s="48">
        <f t="shared" si="20"/>
        <v>35296.589999999997</v>
      </c>
      <c r="N446" s="48">
        <v>5042.37</v>
      </c>
      <c r="O446" s="50">
        <v>9</v>
      </c>
      <c r="P446" s="50">
        <v>9</v>
      </c>
      <c r="Q446" s="51">
        <f t="shared" si="19"/>
        <v>41649.97619999999</v>
      </c>
      <c r="R446" s="48"/>
      <c r="S446" s="24" t="s">
        <v>565</v>
      </c>
      <c r="T446" s="43">
        <v>45870</v>
      </c>
      <c r="U446" s="43" t="s">
        <v>542</v>
      </c>
      <c r="V446" s="46" t="s">
        <v>33</v>
      </c>
      <c r="W446" s="54" t="s">
        <v>34</v>
      </c>
    </row>
    <row r="447" spans="1:23" s="27" customFormat="1" ht="34.950000000000003" customHeight="1" x14ac:dyDescent="0.25">
      <c r="A447" s="12">
        <f>SUBTOTAL(3,$B$2:B447)</f>
        <v>446</v>
      </c>
      <c r="B447" s="42">
        <v>175</v>
      </c>
      <c r="C447" s="43">
        <v>45870</v>
      </c>
      <c r="D447" s="42">
        <v>82508010036</v>
      </c>
      <c r="E447" s="44">
        <v>45870</v>
      </c>
      <c r="F447" s="45" t="s">
        <v>35</v>
      </c>
      <c r="G447" s="52" t="s">
        <v>485</v>
      </c>
      <c r="H447" s="46" t="s">
        <v>37</v>
      </c>
      <c r="I447" s="12" t="s">
        <v>38</v>
      </c>
      <c r="J447" s="43">
        <v>45733</v>
      </c>
      <c r="K447" s="55">
        <v>7</v>
      </c>
      <c r="L447" s="49">
        <f t="shared" si="18"/>
        <v>7</v>
      </c>
      <c r="M447" s="48">
        <f t="shared" si="20"/>
        <v>35296.589999999997</v>
      </c>
      <c r="N447" s="48">
        <v>5042.37</v>
      </c>
      <c r="O447" s="50">
        <v>9</v>
      </c>
      <c r="P447" s="50">
        <v>9</v>
      </c>
      <c r="Q447" s="51">
        <f t="shared" si="19"/>
        <v>41649.97619999999</v>
      </c>
      <c r="R447" s="48"/>
      <c r="S447" s="24" t="s">
        <v>566</v>
      </c>
      <c r="T447" s="43">
        <v>45870</v>
      </c>
      <c r="U447" s="43" t="s">
        <v>40</v>
      </c>
      <c r="V447" s="46" t="s">
        <v>33</v>
      </c>
      <c r="W447" s="54" t="s">
        <v>34</v>
      </c>
    </row>
    <row r="448" spans="1:23" s="27" customFormat="1" ht="34.950000000000003" customHeight="1" x14ac:dyDescent="0.25">
      <c r="A448" s="12">
        <f>SUBTOTAL(3,$B$2:B448)</f>
        <v>447</v>
      </c>
      <c r="B448" s="42">
        <v>176</v>
      </c>
      <c r="C448" s="43">
        <v>45872</v>
      </c>
      <c r="D448" s="42">
        <v>82508070001</v>
      </c>
      <c r="E448" s="44">
        <v>45876</v>
      </c>
      <c r="F448" s="45" t="s">
        <v>35</v>
      </c>
      <c r="G448" s="52" t="s">
        <v>485</v>
      </c>
      <c r="H448" s="46" t="s">
        <v>37</v>
      </c>
      <c r="I448" s="12" t="s">
        <v>38</v>
      </c>
      <c r="J448" s="43">
        <v>45733</v>
      </c>
      <c r="K448" s="55">
        <v>5</v>
      </c>
      <c r="L448" s="49">
        <f t="shared" si="18"/>
        <v>5</v>
      </c>
      <c r="M448" s="48">
        <f t="shared" si="20"/>
        <v>25211.85</v>
      </c>
      <c r="N448" s="48">
        <v>5042.37</v>
      </c>
      <c r="O448" s="50">
        <v>9</v>
      </c>
      <c r="P448" s="50">
        <v>9</v>
      </c>
      <c r="Q448" s="51">
        <f t="shared" si="19"/>
        <v>29749.982999999997</v>
      </c>
      <c r="R448" s="48"/>
      <c r="S448" s="24" t="s">
        <v>567</v>
      </c>
      <c r="T448" s="43">
        <v>45872</v>
      </c>
      <c r="U448" s="43" t="s">
        <v>40</v>
      </c>
      <c r="V448" s="46" t="s">
        <v>33</v>
      </c>
      <c r="W448" s="54" t="s">
        <v>34</v>
      </c>
    </row>
    <row r="449" spans="1:23" s="27" customFormat="1" ht="34.950000000000003" customHeight="1" x14ac:dyDescent="0.25">
      <c r="A449" s="12">
        <f>SUBTOTAL(3,$B$2:B449)</f>
        <v>448</v>
      </c>
      <c r="B449" s="42">
        <v>177</v>
      </c>
      <c r="C449" s="43">
        <v>45872</v>
      </c>
      <c r="D449" s="42">
        <v>82508070002</v>
      </c>
      <c r="E449" s="44">
        <v>45876</v>
      </c>
      <c r="F449" s="45" t="s">
        <v>35</v>
      </c>
      <c r="G449" s="52" t="s">
        <v>485</v>
      </c>
      <c r="H449" s="46" t="s">
        <v>37</v>
      </c>
      <c r="I449" s="12" t="s">
        <v>38</v>
      </c>
      <c r="J449" s="43">
        <v>45733</v>
      </c>
      <c r="K449" s="55">
        <v>4.5</v>
      </c>
      <c r="L449" s="49">
        <f t="shared" si="18"/>
        <v>4.5</v>
      </c>
      <c r="M449" s="48">
        <f t="shared" si="20"/>
        <v>22690.665000000001</v>
      </c>
      <c r="N449" s="48">
        <v>5042.37</v>
      </c>
      <c r="O449" s="50">
        <v>9</v>
      </c>
      <c r="P449" s="50">
        <v>9</v>
      </c>
      <c r="Q449" s="51">
        <f t="shared" si="19"/>
        <v>26774.984700000001</v>
      </c>
      <c r="R449" s="48"/>
      <c r="S449" s="24" t="s">
        <v>568</v>
      </c>
      <c r="T449" s="43">
        <v>45872</v>
      </c>
      <c r="U449" s="43" t="s">
        <v>228</v>
      </c>
      <c r="V449" s="46" t="s">
        <v>33</v>
      </c>
      <c r="W449" s="54" t="s">
        <v>34</v>
      </c>
    </row>
    <row r="450" spans="1:23" s="27" customFormat="1" ht="34.950000000000003" customHeight="1" x14ac:dyDescent="0.25">
      <c r="A450" s="12">
        <f>SUBTOTAL(3,$B$2:B450)</f>
        <v>449</v>
      </c>
      <c r="B450" s="42">
        <v>178</v>
      </c>
      <c r="C450" s="43">
        <v>45872</v>
      </c>
      <c r="D450" s="42">
        <v>82508070003</v>
      </c>
      <c r="E450" s="44">
        <v>45876</v>
      </c>
      <c r="F450" s="45" t="s">
        <v>35</v>
      </c>
      <c r="G450" s="52" t="s">
        <v>485</v>
      </c>
      <c r="H450" s="46" t="s">
        <v>37</v>
      </c>
      <c r="I450" s="12" t="s">
        <v>38</v>
      </c>
      <c r="J450" s="43">
        <v>45733</v>
      </c>
      <c r="K450" s="55">
        <v>0.5</v>
      </c>
      <c r="L450" s="49">
        <f t="shared" ref="L450:L513" si="21">K450</f>
        <v>0.5</v>
      </c>
      <c r="M450" s="48">
        <f t="shared" si="20"/>
        <v>2521.1849999999999</v>
      </c>
      <c r="N450" s="48">
        <v>5042.37</v>
      </c>
      <c r="O450" s="50">
        <v>9</v>
      </c>
      <c r="P450" s="50">
        <v>9</v>
      </c>
      <c r="Q450" s="51">
        <f t="shared" ref="Q450:Q513" si="22">IF(M450="","",M450*(1+(O450+P450)/100))</f>
        <v>2974.9982999999997</v>
      </c>
      <c r="R450" s="48"/>
      <c r="S450" s="24" t="s">
        <v>569</v>
      </c>
      <c r="T450" s="43">
        <v>45872</v>
      </c>
      <c r="U450" s="43" t="s">
        <v>228</v>
      </c>
      <c r="V450" s="46" t="s">
        <v>33</v>
      </c>
      <c r="W450" s="54" t="s">
        <v>34</v>
      </c>
    </row>
    <row r="451" spans="1:23" s="27" customFormat="1" ht="34.950000000000003" customHeight="1" x14ac:dyDescent="0.25">
      <c r="A451" s="12">
        <f>SUBTOTAL(3,$B$2:B451)</f>
        <v>450</v>
      </c>
      <c r="B451" s="42">
        <v>179</v>
      </c>
      <c r="C451" s="43">
        <v>45872</v>
      </c>
      <c r="D451" s="42">
        <v>82509230006</v>
      </c>
      <c r="E451" s="44">
        <v>45923</v>
      </c>
      <c r="F451" s="45" t="s">
        <v>445</v>
      </c>
      <c r="G451" s="52" t="s">
        <v>450</v>
      </c>
      <c r="H451" s="46" t="s">
        <v>16</v>
      </c>
      <c r="I451" s="46" t="s">
        <v>447</v>
      </c>
      <c r="J451" s="43">
        <v>45820</v>
      </c>
      <c r="K451" s="47">
        <v>150</v>
      </c>
      <c r="L451" s="49">
        <f t="shared" si="21"/>
        <v>150</v>
      </c>
      <c r="M451" s="48">
        <f t="shared" si="20"/>
        <v>223500</v>
      </c>
      <c r="N451" s="48">
        <v>1490</v>
      </c>
      <c r="O451" s="50">
        <v>9</v>
      </c>
      <c r="P451" s="50">
        <v>9</v>
      </c>
      <c r="Q451" s="51">
        <f t="shared" si="22"/>
        <v>263730</v>
      </c>
      <c r="R451" s="48"/>
      <c r="S451" s="24" t="s">
        <v>570</v>
      </c>
      <c r="T451" s="43">
        <v>45871</v>
      </c>
      <c r="U451" s="43" t="s">
        <v>571</v>
      </c>
      <c r="V451" s="46" t="s">
        <v>33</v>
      </c>
      <c r="W451" s="54" t="s">
        <v>34</v>
      </c>
    </row>
    <row r="452" spans="1:23" s="27" customFormat="1" ht="34.950000000000003" customHeight="1" x14ac:dyDescent="0.25">
      <c r="A452" s="12">
        <f>SUBTOTAL(3,$B$2:B452)</f>
        <v>451</v>
      </c>
      <c r="B452" s="42">
        <v>180</v>
      </c>
      <c r="C452" s="43">
        <v>45873</v>
      </c>
      <c r="D452" s="42">
        <v>82508230008</v>
      </c>
      <c r="E452" s="44">
        <v>45892</v>
      </c>
      <c r="F452" s="45" t="s">
        <v>445</v>
      </c>
      <c r="G452" s="52" t="s">
        <v>446</v>
      </c>
      <c r="H452" s="46" t="s">
        <v>16</v>
      </c>
      <c r="I452" s="46" t="s">
        <v>447</v>
      </c>
      <c r="J452" s="43">
        <v>45820</v>
      </c>
      <c r="K452" s="73">
        <v>750</v>
      </c>
      <c r="L452" s="49">
        <f t="shared" si="21"/>
        <v>750</v>
      </c>
      <c r="M452" s="48">
        <f t="shared" ref="M452:M515" si="23">L452*N452</f>
        <v>123750</v>
      </c>
      <c r="N452" s="48">
        <v>165</v>
      </c>
      <c r="O452" s="50">
        <v>9</v>
      </c>
      <c r="P452" s="50">
        <v>9</v>
      </c>
      <c r="Q452" s="51">
        <f t="shared" si="22"/>
        <v>146025</v>
      </c>
      <c r="R452" s="48"/>
      <c r="S452" s="64" t="s">
        <v>572</v>
      </c>
      <c r="T452" s="43">
        <v>45873</v>
      </c>
      <c r="U452" s="24" t="s">
        <v>469</v>
      </c>
      <c r="V452" s="46" t="s">
        <v>33</v>
      </c>
      <c r="W452" s="54" t="s">
        <v>34</v>
      </c>
    </row>
    <row r="453" spans="1:23" s="27" customFormat="1" ht="34.950000000000003" customHeight="1" x14ac:dyDescent="0.25">
      <c r="A453" s="12">
        <f>SUBTOTAL(3,$B$2:B453)</f>
        <v>452</v>
      </c>
      <c r="B453" s="42">
        <v>180</v>
      </c>
      <c r="C453" s="43">
        <v>45873</v>
      </c>
      <c r="D453" s="42">
        <v>82508230008</v>
      </c>
      <c r="E453" s="44">
        <v>45892</v>
      </c>
      <c r="F453" s="45" t="s">
        <v>445</v>
      </c>
      <c r="G453" s="53" t="s">
        <v>573</v>
      </c>
      <c r="H453" s="76" t="s">
        <v>16</v>
      </c>
      <c r="I453" s="46" t="s">
        <v>447</v>
      </c>
      <c r="J453" s="43">
        <v>45820</v>
      </c>
      <c r="K453" s="73">
        <v>50</v>
      </c>
      <c r="L453" s="49">
        <f t="shared" si="21"/>
        <v>50</v>
      </c>
      <c r="M453" s="48">
        <f t="shared" si="23"/>
        <v>18750</v>
      </c>
      <c r="N453" s="48">
        <v>375</v>
      </c>
      <c r="O453" s="50">
        <v>9</v>
      </c>
      <c r="P453" s="50">
        <v>9</v>
      </c>
      <c r="Q453" s="51">
        <f t="shared" si="22"/>
        <v>22125</v>
      </c>
      <c r="R453" s="48"/>
      <c r="S453" s="64" t="s">
        <v>572</v>
      </c>
      <c r="T453" s="43">
        <v>45873</v>
      </c>
      <c r="U453" s="24" t="s">
        <v>469</v>
      </c>
      <c r="V453" s="46" t="s">
        <v>33</v>
      </c>
      <c r="W453" s="54" t="s">
        <v>34</v>
      </c>
    </row>
    <row r="454" spans="1:23" s="27" customFormat="1" ht="34.950000000000003" customHeight="1" x14ac:dyDescent="0.25">
      <c r="A454" s="12">
        <f>SUBTOTAL(3,$B$2:B454)</f>
        <v>453</v>
      </c>
      <c r="B454" s="42">
        <v>180</v>
      </c>
      <c r="C454" s="43">
        <v>45873</v>
      </c>
      <c r="D454" s="42">
        <v>82508230008</v>
      </c>
      <c r="E454" s="44">
        <v>45892</v>
      </c>
      <c r="F454" s="45" t="s">
        <v>445</v>
      </c>
      <c r="G454" s="82" t="s">
        <v>463</v>
      </c>
      <c r="H454" s="76" t="s">
        <v>94</v>
      </c>
      <c r="I454" s="46" t="s">
        <v>447</v>
      </c>
      <c r="J454" s="43">
        <v>45820</v>
      </c>
      <c r="K454" s="73">
        <v>25</v>
      </c>
      <c r="L454" s="49">
        <f t="shared" si="21"/>
        <v>25</v>
      </c>
      <c r="M454" s="48">
        <f t="shared" si="23"/>
        <v>2125</v>
      </c>
      <c r="N454" s="48">
        <v>85</v>
      </c>
      <c r="O454" s="50">
        <v>9</v>
      </c>
      <c r="P454" s="50">
        <v>9</v>
      </c>
      <c r="Q454" s="51">
        <f t="shared" si="22"/>
        <v>2507.5</v>
      </c>
      <c r="R454" s="48"/>
      <c r="S454" s="64" t="s">
        <v>572</v>
      </c>
      <c r="T454" s="43">
        <v>45873</v>
      </c>
      <c r="U454" s="24" t="s">
        <v>469</v>
      </c>
      <c r="V454" s="46" t="s">
        <v>33</v>
      </c>
      <c r="W454" s="54" t="s">
        <v>34</v>
      </c>
    </row>
    <row r="455" spans="1:23" s="27" customFormat="1" ht="34.950000000000003" customHeight="1" x14ac:dyDescent="0.25">
      <c r="A455" s="12">
        <f>SUBTOTAL(3,$B$2:B455)</f>
        <v>454</v>
      </c>
      <c r="B455" s="42">
        <v>180</v>
      </c>
      <c r="C455" s="43">
        <v>45873</v>
      </c>
      <c r="D455" s="42">
        <v>82508230008</v>
      </c>
      <c r="E455" s="44">
        <v>45892</v>
      </c>
      <c r="F455" s="45" t="s">
        <v>445</v>
      </c>
      <c r="G455" s="71" t="s">
        <v>470</v>
      </c>
      <c r="H455" s="76" t="s">
        <v>94</v>
      </c>
      <c r="I455" s="46" t="s">
        <v>447</v>
      </c>
      <c r="J455" s="43">
        <v>45820</v>
      </c>
      <c r="K455" s="73">
        <v>25</v>
      </c>
      <c r="L455" s="49">
        <f t="shared" si="21"/>
        <v>25</v>
      </c>
      <c r="M455" s="48">
        <f t="shared" si="23"/>
        <v>2125</v>
      </c>
      <c r="N455" s="48">
        <v>85</v>
      </c>
      <c r="O455" s="50">
        <v>9</v>
      </c>
      <c r="P455" s="50">
        <v>9</v>
      </c>
      <c r="Q455" s="51">
        <f t="shared" si="22"/>
        <v>2507.5</v>
      </c>
      <c r="R455" s="48"/>
      <c r="S455" s="64" t="s">
        <v>572</v>
      </c>
      <c r="T455" s="43">
        <v>45873</v>
      </c>
      <c r="U455" s="24" t="s">
        <v>469</v>
      </c>
      <c r="V455" s="46" t="s">
        <v>33</v>
      </c>
      <c r="W455" s="54" t="s">
        <v>34</v>
      </c>
    </row>
    <row r="456" spans="1:23" s="27" customFormat="1" ht="34.950000000000003" customHeight="1" x14ac:dyDescent="0.25">
      <c r="A456" s="12">
        <f>SUBTOTAL(3,$B$2:B456)</f>
        <v>455</v>
      </c>
      <c r="B456" s="42">
        <v>180</v>
      </c>
      <c r="C456" s="43">
        <v>45873</v>
      </c>
      <c r="D456" s="42">
        <v>82508230008</v>
      </c>
      <c r="E456" s="44">
        <v>45892</v>
      </c>
      <c r="F456" s="45" t="s">
        <v>445</v>
      </c>
      <c r="G456" s="71" t="s">
        <v>471</v>
      </c>
      <c r="H456" s="76" t="s">
        <v>94</v>
      </c>
      <c r="I456" s="46" t="s">
        <v>447</v>
      </c>
      <c r="J456" s="43">
        <v>45820</v>
      </c>
      <c r="K456" s="73">
        <v>25</v>
      </c>
      <c r="L456" s="49">
        <f t="shared" si="21"/>
        <v>25</v>
      </c>
      <c r="M456" s="48">
        <f t="shared" si="23"/>
        <v>2125</v>
      </c>
      <c r="N456" s="48">
        <v>85</v>
      </c>
      <c r="O456" s="50">
        <v>9</v>
      </c>
      <c r="P456" s="50">
        <v>9</v>
      </c>
      <c r="Q456" s="51">
        <f t="shared" si="22"/>
        <v>2507.5</v>
      </c>
      <c r="R456" s="48"/>
      <c r="S456" s="64" t="s">
        <v>572</v>
      </c>
      <c r="T456" s="43">
        <v>45873</v>
      </c>
      <c r="U456" s="24" t="s">
        <v>469</v>
      </c>
      <c r="V456" s="46" t="s">
        <v>33</v>
      </c>
      <c r="W456" s="54" t="s">
        <v>34</v>
      </c>
    </row>
    <row r="457" spans="1:23" s="27" customFormat="1" ht="34.950000000000003" customHeight="1" x14ac:dyDescent="0.25">
      <c r="A457" s="12">
        <f>SUBTOTAL(3,$B$2:B457)</f>
        <v>456</v>
      </c>
      <c r="B457" s="42">
        <v>180</v>
      </c>
      <c r="C457" s="43">
        <v>45873</v>
      </c>
      <c r="D457" s="42">
        <v>82508230008</v>
      </c>
      <c r="E457" s="44">
        <v>45892</v>
      </c>
      <c r="F457" s="45" t="s">
        <v>445</v>
      </c>
      <c r="G457" s="53" t="s">
        <v>461</v>
      </c>
      <c r="H457" s="76" t="s">
        <v>94</v>
      </c>
      <c r="I457" s="46" t="s">
        <v>447</v>
      </c>
      <c r="J457" s="43">
        <v>45820</v>
      </c>
      <c r="K457" s="73">
        <v>25</v>
      </c>
      <c r="L457" s="49">
        <f t="shared" si="21"/>
        <v>25</v>
      </c>
      <c r="M457" s="48">
        <f t="shared" si="23"/>
        <v>2125</v>
      </c>
      <c r="N457" s="48">
        <v>85</v>
      </c>
      <c r="O457" s="50">
        <v>9</v>
      </c>
      <c r="P457" s="50">
        <v>9</v>
      </c>
      <c r="Q457" s="51">
        <f t="shared" si="22"/>
        <v>2507.5</v>
      </c>
      <c r="R457" s="48"/>
      <c r="S457" s="64" t="s">
        <v>572</v>
      </c>
      <c r="T457" s="43">
        <v>45873</v>
      </c>
      <c r="U457" s="24" t="s">
        <v>469</v>
      </c>
      <c r="V457" s="46" t="s">
        <v>33</v>
      </c>
      <c r="W457" s="54" t="s">
        <v>34</v>
      </c>
    </row>
    <row r="458" spans="1:23" s="27" customFormat="1" ht="34.950000000000003" customHeight="1" x14ac:dyDescent="0.25">
      <c r="A458" s="12">
        <f>SUBTOTAL(3,$B$2:B458)</f>
        <v>457</v>
      </c>
      <c r="B458" s="42">
        <v>181</v>
      </c>
      <c r="C458" s="43">
        <v>45877</v>
      </c>
      <c r="D458" s="42">
        <v>82508200002</v>
      </c>
      <c r="E458" s="44">
        <v>45889</v>
      </c>
      <c r="F458" s="45" t="s">
        <v>35</v>
      </c>
      <c r="G458" s="71" t="s">
        <v>485</v>
      </c>
      <c r="H458" s="76" t="s">
        <v>37</v>
      </c>
      <c r="I458" s="12" t="s">
        <v>38</v>
      </c>
      <c r="J458" s="43">
        <v>45733</v>
      </c>
      <c r="K458" s="55">
        <v>7</v>
      </c>
      <c r="L458" s="49">
        <f t="shared" si="21"/>
        <v>7</v>
      </c>
      <c r="M458" s="48">
        <f t="shared" si="23"/>
        <v>35296.589999999997</v>
      </c>
      <c r="N458" s="48">
        <v>5042.37</v>
      </c>
      <c r="O458" s="50">
        <v>9</v>
      </c>
      <c r="P458" s="50">
        <v>9</v>
      </c>
      <c r="Q458" s="51">
        <f t="shared" si="22"/>
        <v>41649.97619999999</v>
      </c>
      <c r="R458" s="48"/>
      <c r="S458" s="64" t="s">
        <v>574</v>
      </c>
      <c r="T458" s="43">
        <v>45877</v>
      </c>
      <c r="U458" s="24" t="s">
        <v>99</v>
      </c>
      <c r="V458" s="46" t="s">
        <v>33</v>
      </c>
      <c r="W458" s="54" t="s">
        <v>34</v>
      </c>
    </row>
    <row r="459" spans="1:23" s="27" customFormat="1" ht="34.950000000000003" customHeight="1" x14ac:dyDescent="0.35">
      <c r="A459" s="12">
        <f>SUBTOTAL(3,$B$2:B459)</f>
        <v>458</v>
      </c>
      <c r="B459" s="42">
        <v>182</v>
      </c>
      <c r="C459" s="43">
        <v>45877</v>
      </c>
      <c r="D459" s="42">
        <v>82508200001</v>
      </c>
      <c r="E459" s="44">
        <v>45889</v>
      </c>
      <c r="F459" s="45" t="s">
        <v>35</v>
      </c>
      <c r="G459" s="71" t="s">
        <v>485</v>
      </c>
      <c r="H459" s="72" t="s">
        <v>37</v>
      </c>
      <c r="I459" s="12" t="s">
        <v>38</v>
      </c>
      <c r="J459" s="43">
        <v>45733</v>
      </c>
      <c r="K459" s="55">
        <v>7</v>
      </c>
      <c r="L459" s="49">
        <f t="shared" si="21"/>
        <v>7</v>
      </c>
      <c r="M459" s="48">
        <f t="shared" si="23"/>
        <v>35296.589999999997</v>
      </c>
      <c r="N459" s="48">
        <v>5042.37</v>
      </c>
      <c r="O459" s="50">
        <v>9</v>
      </c>
      <c r="P459" s="50">
        <v>9</v>
      </c>
      <c r="Q459" s="51">
        <f t="shared" si="22"/>
        <v>41649.97619999999</v>
      </c>
      <c r="R459" s="48"/>
      <c r="S459" s="64" t="s">
        <v>575</v>
      </c>
      <c r="T459" s="43">
        <v>45877</v>
      </c>
      <c r="U459" s="24" t="s">
        <v>230</v>
      </c>
      <c r="V459" s="46" t="s">
        <v>33</v>
      </c>
      <c r="W459" s="54" t="s">
        <v>34</v>
      </c>
    </row>
    <row r="460" spans="1:23" s="27" customFormat="1" ht="34.950000000000003" customHeight="1" x14ac:dyDescent="0.25">
      <c r="A460" s="12">
        <f>SUBTOTAL(3,$B$2:B460)</f>
        <v>459</v>
      </c>
      <c r="B460" s="42">
        <v>183</v>
      </c>
      <c r="C460" s="43">
        <v>45877</v>
      </c>
      <c r="D460" s="42">
        <v>82508200003</v>
      </c>
      <c r="E460" s="44">
        <v>45889</v>
      </c>
      <c r="F460" s="45" t="s">
        <v>35</v>
      </c>
      <c r="G460" s="71" t="s">
        <v>485</v>
      </c>
      <c r="H460" s="76" t="s">
        <v>37</v>
      </c>
      <c r="I460" s="12" t="s">
        <v>38</v>
      </c>
      <c r="J460" s="43">
        <v>45733</v>
      </c>
      <c r="K460" s="55">
        <v>7</v>
      </c>
      <c r="L460" s="49">
        <f t="shared" si="21"/>
        <v>7</v>
      </c>
      <c r="M460" s="48">
        <f t="shared" si="23"/>
        <v>35296.589999999997</v>
      </c>
      <c r="N460" s="48">
        <v>5042.37</v>
      </c>
      <c r="O460" s="50">
        <v>9</v>
      </c>
      <c r="P460" s="50">
        <v>9</v>
      </c>
      <c r="Q460" s="51">
        <f t="shared" si="22"/>
        <v>41649.97619999999</v>
      </c>
      <c r="R460" s="48"/>
      <c r="S460" s="64" t="s">
        <v>576</v>
      </c>
      <c r="T460" s="43">
        <v>45877</v>
      </c>
      <c r="U460" s="24" t="s">
        <v>97</v>
      </c>
      <c r="V460" s="46" t="s">
        <v>33</v>
      </c>
      <c r="W460" s="54" t="s">
        <v>34</v>
      </c>
    </row>
    <row r="461" spans="1:23" s="27" customFormat="1" ht="34.950000000000003" customHeight="1" x14ac:dyDescent="0.25">
      <c r="A461" s="12">
        <f>SUBTOTAL(3,$B$2:B461)</f>
        <v>460</v>
      </c>
      <c r="B461" s="42">
        <v>184</v>
      </c>
      <c r="C461" s="43">
        <v>45877</v>
      </c>
      <c r="D461" s="42">
        <v>82508200004</v>
      </c>
      <c r="E461" s="44">
        <v>45889</v>
      </c>
      <c r="F461" s="45" t="s">
        <v>35</v>
      </c>
      <c r="G461" s="71" t="s">
        <v>485</v>
      </c>
      <c r="H461" s="76" t="s">
        <v>37</v>
      </c>
      <c r="I461" s="12" t="s">
        <v>38</v>
      </c>
      <c r="J461" s="43">
        <v>45733</v>
      </c>
      <c r="K461" s="55">
        <v>6</v>
      </c>
      <c r="L461" s="49">
        <f t="shared" si="21"/>
        <v>6</v>
      </c>
      <c r="M461" s="48">
        <f t="shared" si="23"/>
        <v>30254.22</v>
      </c>
      <c r="N461" s="48">
        <v>5042.37</v>
      </c>
      <c r="O461" s="50">
        <v>9</v>
      </c>
      <c r="P461" s="50">
        <v>9</v>
      </c>
      <c r="Q461" s="51">
        <f t="shared" si="22"/>
        <v>35699.979599999999</v>
      </c>
      <c r="R461" s="48"/>
      <c r="S461" s="64" t="s">
        <v>577</v>
      </c>
      <c r="T461" s="43">
        <v>45877</v>
      </c>
      <c r="U461" s="24" t="s">
        <v>40</v>
      </c>
      <c r="V461" s="46" t="s">
        <v>33</v>
      </c>
      <c r="W461" s="54" t="s">
        <v>34</v>
      </c>
    </row>
    <row r="462" spans="1:23" s="27" customFormat="1" ht="34.950000000000003" customHeight="1" x14ac:dyDescent="0.25">
      <c r="A462" s="12">
        <f>SUBTOTAL(3,$B$2:B462)</f>
        <v>461</v>
      </c>
      <c r="B462" s="13">
        <v>185</v>
      </c>
      <c r="C462" s="14">
        <v>45877</v>
      </c>
      <c r="D462" s="13">
        <v>0</v>
      </c>
      <c r="E462" s="14">
        <v>0</v>
      </c>
      <c r="F462" s="15" t="s">
        <v>578</v>
      </c>
      <c r="G462" s="107" t="s">
        <v>579</v>
      </c>
      <c r="H462" s="78" t="s">
        <v>29</v>
      </c>
      <c r="I462" s="16"/>
      <c r="J462" s="14"/>
      <c r="K462" s="75">
        <v>2.9</v>
      </c>
      <c r="L462" s="21">
        <f t="shared" si="21"/>
        <v>2.9</v>
      </c>
      <c r="M462" s="20">
        <f t="shared" si="23"/>
        <v>6670</v>
      </c>
      <c r="N462" s="20">
        <v>2300</v>
      </c>
      <c r="O462" s="22"/>
      <c r="P462" s="22"/>
      <c r="Q462" s="23">
        <f t="shared" si="22"/>
        <v>6670</v>
      </c>
      <c r="R462" s="20">
        <v>850</v>
      </c>
      <c r="S462" s="85" t="s">
        <v>580</v>
      </c>
      <c r="T462" s="14">
        <v>45869</v>
      </c>
      <c r="U462" s="18" t="s">
        <v>581</v>
      </c>
      <c r="V462" s="16" t="s">
        <v>18</v>
      </c>
      <c r="W462" s="61" t="s">
        <v>34</v>
      </c>
    </row>
    <row r="463" spans="1:23" s="27" customFormat="1" ht="34.950000000000003" customHeight="1" x14ac:dyDescent="0.25">
      <c r="A463" s="12">
        <f>SUBTOTAL(3,$B$2:B463)</f>
        <v>462</v>
      </c>
      <c r="B463" s="13">
        <v>186</v>
      </c>
      <c r="C463" s="14">
        <v>45877</v>
      </c>
      <c r="D463" s="13">
        <v>0</v>
      </c>
      <c r="E463" s="14">
        <v>0</v>
      </c>
      <c r="F463" s="15" t="s">
        <v>358</v>
      </c>
      <c r="G463" s="107" t="s">
        <v>582</v>
      </c>
      <c r="H463" s="78" t="s">
        <v>16</v>
      </c>
      <c r="I463" s="16"/>
      <c r="J463" s="14"/>
      <c r="K463" s="75">
        <v>1</v>
      </c>
      <c r="L463" s="21">
        <f t="shared" si="21"/>
        <v>1</v>
      </c>
      <c r="M463" s="20">
        <f t="shared" si="23"/>
        <v>70</v>
      </c>
      <c r="N463" s="20">
        <v>70</v>
      </c>
      <c r="O463" s="22"/>
      <c r="P463" s="22"/>
      <c r="Q463" s="23">
        <f t="shared" si="22"/>
        <v>70</v>
      </c>
      <c r="R463" s="20"/>
      <c r="S463" s="85">
        <v>371</v>
      </c>
      <c r="T463" s="14">
        <v>45869</v>
      </c>
      <c r="U463" s="18" t="s">
        <v>583</v>
      </c>
      <c r="V463" s="16" t="s">
        <v>18</v>
      </c>
      <c r="W463" s="61" t="s">
        <v>34</v>
      </c>
    </row>
    <row r="464" spans="1:23" s="27" customFormat="1" ht="34.950000000000003" customHeight="1" x14ac:dyDescent="0.25">
      <c r="A464" s="12">
        <f>SUBTOTAL(3,$B$2:B464)</f>
        <v>463</v>
      </c>
      <c r="B464" s="13">
        <v>187</v>
      </c>
      <c r="C464" s="14">
        <v>45877</v>
      </c>
      <c r="D464" s="13">
        <v>0</v>
      </c>
      <c r="E464" s="14">
        <v>0</v>
      </c>
      <c r="F464" s="15" t="s">
        <v>481</v>
      </c>
      <c r="G464" s="107" t="s">
        <v>482</v>
      </c>
      <c r="H464" s="78" t="s">
        <v>16</v>
      </c>
      <c r="I464" s="16"/>
      <c r="J464" s="14"/>
      <c r="K464" s="75">
        <v>15</v>
      </c>
      <c r="L464" s="21">
        <f t="shared" si="21"/>
        <v>15</v>
      </c>
      <c r="M464" s="20">
        <f t="shared" si="23"/>
        <v>3750</v>
      </c>
      <c r="N464" s="20">
        <v>250</v>
      </c>
      <c r="O464" s="22"/>
      <c r="P464" s="22"/>
      <c r="Q464" s="23">
        <f t="shared" si="22"/>
        <v>3750</v>
      </c>
      <c r="R464" s="20"/>
      <c r="S464" s="85">
        <v>2203</v>
      </c>
      <c r="T464" s="14">
        <v>45869</v>
      </c>
      <c r="U464" s="18" t="s">
        <v>584</v>
      </c>
      <c r="V464" s="16" t="s">
        <v>18</v>
      </c>
      <c r="W464" s="61" t="s">
        <v>34</v>
      </c>
    </row>
    <row r="465" spans="1:23" s="27" customFormat="1" ht="34.950000000000003" customHeight="1" x14ac:dyDescent="0.25">
      <c r="A465" s="12">
        <f>SUBTOTAL(3,$B$2:B465)</f>
        <v>464</v>
      </c>
      <c r="B465" s="13">
        <v>188</v>
      </c>
      <c r="C465" s="14">
        <v>45877</v>
      </c>
      <c r="D465" s="13">
        <v>0</v>
      </c>
      <c r="E465" s="14">
        <v>0</v>
      </c>
      <c r="F465" s="15" t="s">
        <v>526</v>
      </c>
      <c r="G465" s="107" t="s">
        <v>527</v>
      </c>
      <c r="H465" s="78" t="s">
        <v>16</v>
      </c>
      <c r="I465" s="16"/>
      <c r="J465" s="14"/>
      <c r="K465" s="75">
        <v>50</v>
      </c>
      <c r="L465" s="21">
        <f t="shared" si="21"/>
        <v>50</v>
      </c>
      <c r="M465" s="20">
        <f t="shared" si="23"/>
        <v>6000</v>
      </c>
      <c r="N465" s="20">
        <v>120</v>
      </c>
      <c r="O465" s="22"/>
      <c r="P465" s="22"/>
      <c r="Q465" s="23">
        <f t="shared" si="22"/>
        <v>6000</v>
      </c>
      <c r="R465" s="20">
        <v>300</v>
      </c>
      <c r="S465" s="85" t="s">
        <v>585</v>
      </c>
      <c r="T465" s="14">
        <v>45869</v>
      </c>
      <c r="U465" s="18" t="s">
        <v>586</v>
      </c>
      <c r="V465" s="16" t="s">
        <v>18</v>
      </c>
      <c r="W465" s="61" t="s">
        <v>34</v>
      </c>
    </row>
    <row r="466" spans="1:23" s="27" customFormat="1" ht="34.950000000000003" customHeight="1" x14ac:dyDescent="0.25">
      <c r="A466" s="12">
        <f>SUBTOTAL(3,$B$2:B466)</f>
        <v>465</v>
      </c>
      <c r="B466" s="13">
        <v>189</v>
      </c>
      <c r="C466" s="14">
        <v>45877</v>
      </c>
      <c r="D466" s="13">
        <v>0</v>
      </c>
      <c r="E466" s="14">
        <v>0</v>
      </c>
      <c r="F466" s="15" t="s">
        <v>587</v>
      </c>
      <c r="G466" s="107" t="s">
        <v>588</v>
      </c>
      <c r="H466" s="78" t="s">
        <v>16</v>
      </c>
      <c r="I466" s="16"/>
      <c r="J466" s="14"/>
      <c r="K466" s="75">
        <v>16</v>
      </c>
      <c r="L466" s="21">
        <f t="shared" si="21"/>
        <v>16</v>
      </c>
      <c r="M466" s="20">
        <f t="shared" si="23"/>
        <v>800</v>
      </c>
      <c r="N466" s="20">
        <v>50</v>
      </c>
      <c r="O466" s="22"/>
      <c r="P466" s="22"/>
      <c r="Q466" s="23">
        <f t="shared" si="22"/>
        <v>800</v>
      </c>
      <c r="R466" s="20"/>
      <c r="S466" s="85">
        <v>4327</v>
      </c>
      <c r="T466" s="14">
        <v>45871</v>
      </c>
      <c r="U466" s="18" t="s">
        <v>91</v>
      </c>
      <c r="V466" s="16" t="s">
        <v>18</v>
      </c>
      <c r="W466" s="61" t="s">
        <v>34</v>
      </c>
    </row>
    <row r="467" spans="1:23" s="27" customFormat="1" ht="34.950000000000003" customHeight="1" x14ac:dyDescent="0.25">
      <c r="A467" s="12">
        <f>SUBTOTAL(3,$B$2:B467)</f>
        <v>466</v>
      </c>
      <c r="B467" s="13">
        <v>190</v>
      </c>
      <c r="C467" s="14">
        <v>45877</v>
      </c>
      <c r="D467" s="13">
        <v>0</v>
      </c>
      <c r="E467" s="14">
        <v>0</v>
      </c>
      <c r="F467" s="15" t="s">
        <v>589</v>
      </c>
      <c r="G467" s="107" t="s">
        <v>590</v>
      </c>
      <c r="H467" s="78" t="s">
        <v>16</v>
      </c>
      <c r="I467" s="16"/>
      <c r="J467" s="14"/>
      <c r="K467" s="75">
        <v>2</v>
      </c>
      <c r="L467" s="21">
        <f t="shared" si="21"/>
        <v>2</v>
      </c>
      <c r="M467" s="20">
        <f t="shared" si="23"/>
        <v>1600</v>
      </c>
      <c r="N467" s="20">
        <v>800</v>
      </c>
      <c r="O467" s="22"/>
      <c r="P467" s="22"/>
      <c r="Q467" s="23">
        <f t="shared" si="22"/>
        <v>1600</v>
      </c>
      <c r="R467" s="20"/>
      <c r="S467" s="85">
        <v>107</v>
      </c>
      <c r="T467" s="14">
        <v>45871</v>
      </c>
      <c r="U467" s="18" t="s">
        <v>91</v>
      </c>
      <c r="V467" s="16" t="s">
        <v>18</v>
      </c>
      <c r="W467" s="61" t="s">
        <v>34</v>
      </c>
    </row>
    <row r="468" spans="1:23" s="27" customFormat="1" ht="34.950000000000003" customHeight="1" x14ac:dyDescent="0.25">
      <c r="A468" s="12">
        <f>SUBTOTAL(3,$B$2:B468)</f>
        <v>467</v>
      </c>
      <c r="B468" s="42">
        <v>191</v>
      </c>
      <c r="C468" s="43">
        <v>45877</v>
      </c>
      <c r="D468" s="42">
        <v>82508260003</v>
      </c>
      <c r="E468" s="43">
        <v>45895</v>
      </c>
      <c r="F468" s="45" t="s">
        <v>518</v>
      </c>
      <c r="G468" s="108" t="s">
        <v>65</v>
      </c>
      <c r="H468" s="76" t="s">
        <v>16</v>
      </c>
      <c r="I468" s="46"/>
      <c r="J468" s="43"/>
      <c r="K468" s="73">
        <v>50</v>
      </c>
      <c r="L468" s="49">
        <f t="shared" si="21"/>
        <v>50</v>
      </c>
      <c r="M468" s="48">
        <f t="shared" si="23"/>
        <v>2250</v>
      </c>
      <c r="N468" s="48">
        <v>45</v>
      </c>
      <c r="O468" s="50"/>
      <c r="P468" s="50"/>
      <c r="Q468" s="51">
        <f t="shared" si="22"/>
        <v>2250</v>
      </c>
      <c r="R468" s="48"/>
      <c r="S468" s="64" t="s">
        <v>591</v>
      </c>
      <c r="T468" s="43">
        <v>45874</v>
      </c>
      <c r="U468" s="24" t="s">
        <v>91</v>
      </c>
      <c r="V468" s="46" t="s">
        <v>247</v>
      </c>
      <c r="W468" s="54" t="s">
        <v>52</v>
      </c>
    </row>
    <row r="469" spans="1:23" s="27" customFormat="1" ht="34.950000000000003" customHeight="1" x14ac:dyDescent="0.25">
      <c r="A469" s="12">
        <f>SUBTOTAL(3,$B$2:B469)</f>
        <v>468</v>
      </c>
      <c r="B469" s="42">
        <v>191</v>
      </c>
      <c r="C469" s="43">
        <v>45877</v>
      </c>
      <c r="D469" s="42">
        <v>82508260003</v>
      </c>
      <c r="E469" s="43">
        <v>45895</v>
      </c>
      <c r="F469" s="45" t="s">
        <v>518</v>
      </c>
      <c r="G469" s="71" t="s">
        <v>195</v>
      </c>
      <c r="H469" s="76" t="s">
        <v>16</v>
      </c>
      <c r="I469" s="46"/>
      <c r="J469" s="43"/>
      <c r="K469" s="73">
        <v>16</v>
      </c>
      <c r="L469" s="49">
        <f t="shared" si="21"/>
        <v>16</v>
      </c>
      <c r="M469" s="48">
        <f t="shared" si="23"/>
        <v>160</v>
      </c>
      <c r="N469" s="48">
        <v>10</v>
      </c>
      <c r="O469" s="50"/>
      <c r="P469" s="50"/>
      <c r="Q469" s="51">
        <f t="shared" si="22"/>
        <v>160</v>
      </c>
      <c r="R469" s="48"/>
      <c r="S469" s="64" t="s">
        <v>591</v>
      </c>
      <c r="T469" s="43">
        <v>45874</v>
      </c>
      <c r="U469" s="24" t="s">
        <v>91</v>
      </c>
      <c r="V469" s="46" t="s">
        <v>247</v>
      </c>
      <c r="W469" s="54" t="s">
        <v>34</v>
      </c>
    </row>
    <row r="470" spans="1:23" s="27" customFormat="1" ht="34.950000000000003" customHeight="1" x14ac:dyDescent="0.25">
      <c r="A470" s="12">
        <f>SUBTOTAL(3,$B$2:B470)</f>
        <v>469</v>
      </c>
      <c r="B470" s="42">
        <v>192</v>
      </c>
      <c r="C470" s="43">
        <v>45877</v>
      </c>
      <c r="D470" s="42">
        <v>82508220012</v>
      </c>
      <c r="E470" s="43">
        <v>45891</v>
      </c>
      <c r="F470" s="45" t="s">
        <v>592</v>
      </c>
      <c r="G470" s="71" t="s">
        <v>502</v>
      </c>
      <c r="H470" s="76" t="s">
        <v>16</v>
      </c>
      <c r="I470" s="46"/>
      <c r="J470" s="43"/>
      <c r="K470" s="73">
        <v>1</v>
      </c>
      <c r="L470" s="49">
        <f t="shared" si="21"/>
        <v>1</v>
      </c>
      <c r="M470" s="48">
        <f t="shared" si="23"/>
        <v>160</v>
      </c>
      <c r="N470" s="48">
        <v>160</v>
      </c>
      <c r="O470" s="50"/>
      <c r="P470" s="50"/>
      <c r="Q470" s="51">
        <f t="shared" si="22"/>
        <v>160</v>
      </c>
      <c r="R470" s="48"/>
      <c r="S470" s="64">
        <v>219</v>
      </c>
      <c r="T470" s="43">
        <v>45875</v>
      </c>
      <c r="U470" s="24" t="s">
        <v>91</v>
      </c>
      <c r="V470" s="46" t="s">
        <v>247</v>
      </c>
      <c r="W470" s="54" t="s">
        <v>34</v>
      </c>
    </row>
    <row r="471" spans="1:23" s="27" customFormat="1" ht="34.950000000000003" customHeight="1" x14ac:dyDescent="0.25">
      <c r="A471" s="12">
        <f>SUBTOTAL(3,$B$2:B471)</f>
        <v>470</v>
      </c>
      <c r="B471" s="42">
        <v>193</v>
      </c>
      <c r="C471" s="43">
        <v>45881</v>
      </c>
      <c r="D471" s="42">
        <v>82508220011</v>
      </c>
      <c r="E471" s="43">
        <v>45891</v>
      </c>
      <c r="F471" s="45" t="s">
        <v>518</v>
      </c>
      <c r="G471" s="53" t="s">
        <v>502</v>
      </c>
      <c r="H471" s="76" t="s">
        <v>16</v>
      </c>
      <c r="I471" s="46"/>
      <c r="J471" s="43"/>
      <c r="K471" s="73">
        <v>5</v>
      </c>
      <c r="L471" s="49">
        <f t="shared" si="21"/>
        <v>5</v>
      </c>
      <c r="M471" s="48">
        <f t="shared" si="23"/>
        <v>635</v>
      </c>
      <c r="N471" s="48">
        <v>127</v>
      </c>
      <c r="O471" s="50">
        <v>9</v>
      </c>
      <c r="P471" s="50">
        <v>9</v>
      </c>
      <c r="Q471" s="51">
        <f t="shared" si="22"/>
        <v>749.3</v>
      </c>
      <c r="R471" s="48"/>
      <c r="S471" s="64">
        <v>521</v>
      </c>
      <c r="T471" s="43">
        <v>45881</v>
      </c>
      <c r="U471" s="24" t="s">
        <v>91</v>
      </c>
      <c r="V471" s="46" t="s">
        <v>247</v>
      </c>
      <c r="W471" s="54" t="s">
        <v>34</v>
      </c>
    </row>
    <row r="472" spans="1:23" s="27" customFormat="1" ht="34.950000000000003" customHeight="1" x14ac:dyDescent="0.35">
      <c r="A472" s="12">
        <f>SUBTOTAL(3,$B$2:B472)</f>
        <v>471</v>
      </c>
      <c r="B472" s="42">
        <v>193</v>
      </c>
      <c r="C472" s="43">
        <v>45881</v>
      </c>
      <c r="D472" s="42">
        <v>82508220011</v>
      </c>
      <c r="E472" s="43">
        <v>45891</v>
      </c>
      <c r="F472" s="45" t="s">
        <v>518</v>
      </c>
      <c r="G472" s="53" t="s">
        <v>464</v>
      </c>
      <c r="H472" s="72" t="s">
        <v>16</v>
      </c>
      <c r="I472" s="46"/>
      <c r="J472" s="43"/>
      <c r="K472" s="73">
        <v>5</v>
      </c>
      <c r="L472" s="49">
        <f t="shared" si="21"/>
        <v>5</v>
      </c>
      <c r="M472" s="48">
        <f t="shared" si="23"/>
        <v>680</v>
      </c>
      <c r="N472" s="48">
        <v>136</v>
      </c>
      <c r="O472" s="50">
        <v>9</v>
      </c>
      <c r="P472" s="50">
        <v>9</v>
      </c>
      <c r="Q472" s="51">
        <f t="shared" si="22"/>
        <v>802.4</v>
      </c>
      <c r="R472" s="48"/>
      <c r="S472" s="64">
        <v>521</v>
      </c>
      <c r="T472" s="43">
        <v>45881</v>
      </c>
      <c r="U472" s="24" t="s">
        <v>91</v>
      </c>
      <c r="V472" s="46" t="s">
        <v>247</v>
      </c>
      <c r="W472" s="54" t="s">
        <v>34</v>
      </c>
    </row>
    <row r="473" spans="1:23" s="27" customFormat="1" ht="34.950000000000003" customHeight="1" x14ac:dyDescent="0.35">
      <c r="A473" s="12">
        <f>SUBTOTAL(3,$B$2:B473)</f>
        <v>472</v>
      </c>
      <c r="B473" s="42">
        <v>193</v>
      </c>
      <c r="C473" s="43">
        <v>45881</v>
      </c>
      <c r="D473" s="42">
        <v>82508220011</v>
      </c>
      <c r="E473" s="43">
        <v>45891</v>
      </c>
      <c r="F473" s="45" t="s">
        <v>518</v>
      </c>
      <c r="G473" s="53" t="s">
        <v>593</v>
      </c>
      <c r="H473" s="72" t="s">
        <v>16</v>
      </c>
      <c r="I473" s="46"/>
      <c r="J473" s="43"/>
      <c r="K473" s="73">
        <v>2</v>
      </c>
      <c r="L473" s="49">
        <f t="shared" si="21"/>
        <v>2</v>
      </c>
      <c r="M473" s="48">
        <f t="shared" si="23"/>
        <v>846</v>
      </c>
      <c r="N473" s="48">
        <v>423</v>
      </c>
      <c r="O473" s="50">
        <v>9</v>
      </c>
      <c r="P473" s="50">
        <v>9</v>
      </c>
      <c r="Q473" s="51">
        <f t="shared" si="22"/>
        <v>998.28</v>
      </c>
      <c r="R473" s="48"/>
      <c r="S473" s="64">
        <v>521</v>
      </c>
      <c r="T473" s="43">
        <v>45881</v>
      </c>
      <c r="U473" s="24" t="s">
        <v>91</v>
      </c>
      <c r="V473" s="46" t="s">
        <v>247</v>
      </c>
      <c r="W473" s="54" t="s">
        <v>34</v>
      </c>
    </row>
    <row r="474" spans="1:23" s="27" customFormat="1" ht="34.950000000000003" customHeight="1" x14ac:dyDescent="0.35">
      <c r="A474" s="12">
        <f>SUBTOTAL(3,$B$2:B474)</f>
        <v>473</v>
      </c>
      <c r="B474" s="42">
        <v>194</v>
      </c>
      <c r="C474" s="43">
        <v>45881</v>
      </c>
      <c r="D474" s="42">
        <v>82508200005</v>
      </c>
      <c r="E474" s="44">
        <v>45889</v>
      </c>
      <c r="F474" s="45" t="s">
        <v>35</v>
      </c>
      <c r="G474" s="53" t="s">
        <v>485</v>
      </c>
      <c r="H474" s="72" t="s">
        <v>37</v>
      </c>
      <c r="I474" s="12" t="s">
        <v>38</v>
      </c>
      <c r="J474" s="43">
        <v>45733</v>
      </c>
      <c r="K474" s="55">
        <v>3.5</v>
      </c>
      <c r="L474" s="49">
        <f t="shared" si="21"/>
        <v>3.5</v>
      </c>
      <c r="M474" s="48">
        <f t="shared" si="23"/>
        <v>17648.294999999998</v>
      </c>
      <c r="N474" s="48">
        <v>5042.37</v>
      </c>
      <c r="O474" s="50">
        <v>9</v>
      </c>
      <c r="P474" s="50">
        <v>9</v>
      </c>
      <c r="Q474" s="51">
        <f t="shared" si="22"/>
        <v>20824.988099999995</v>
      </c>
      <c r="R474" s="48"/>
      <c r="S474" s="64" t="s">
        <v>594</v>
      </c>
      <c r="T474" s="43">
        <v>45881</v>
      </c>
      <c r="U474" s="24" t="s">
        <v>99</v>
      </c>
      <c r="V474" s="46" t="s">
        <v>33</v>
      </c>
      <c r="W474" s="54" t="s">
        <v>34</v>
      </c>
    </row>
    <row r="475" spans="1:23" s="27" customFormat="1" ht="34.950000000000003" customHeight="1" x14ac:dyDescent="0.25">
      <c r="A475" s="12">
        <f>SUBTOTAL(3,$B$2:B475)</f>
        <v>474</v>
      </c>
      <c r="B475" s="42">
        <v>195</v>
      </c>
      <c r="C475" s="43">
        <v>45881</v>
      </c>
      <c r="D475" s="42">
        <v>82508200006</v>
      </c>
      <c r="E475" s="44">
        <v>45889</v>
      </c>
      <c r="F475" s="45" t="s">
        <v>35</v>
      </c>
      <c r="G475" s="71" t="s">
        <v>485</v>
      </c>
      <c r="H475" s="76" t="s">
        <v>37</v>
      </c>
      <c r="I475" s="12" t="s">
        <v>38</v>
      </c>
      <c r="J475" s="43">
        <v>45733</v>
      </c>
      <c r="K475" s="55">
        <v>3.5</v>
      </c>
      <c r="L475" s="49">
        <f t="shared" si="21"/>
        <v>3.5</v>
      </c>
      <c r="M475" s="48">
        <f t="shared" si="23"/>
        <v>17648.294999999998</v>
      </c>
      <c r="N475" s="48">
        <v>5042.37</v>
      </c>
      <c r="O475" s="50">
        <v>9</v>
      </c>
      <c r="P475" s="50">
        <v>9</v>
      </c>
      <c r="Q475" s="51">
        <f t="shared" si="22"/>
        <v>20824.988099999995</v>
      </c>
      <c r="R475" s="48"/>
      <c r="S475" s="64" t="s">
        <v>595</v>
      </c>
      <c r="T475" s="43">
        <v>45881</v>
      </c>
      <c r="U475" s="24" t="s">
        <v>97</v>
      </c>
      <c r="V475" s="46" t="s">
        <v>33</v>
      </c>
      <c r="W475" s="54" t="s">
        <v>34</v>
      </c>
    </row>
    <row r="476" spans="1:23" s="27" customFormat="1" ht="34.950000000000003" customHeight="1" x14ac:dyDescent="0.25">
      <c r="A476" s="12">
        <f>SUBTOTAL(3,$B$2:B476)</f>
        <v>475</v>
      </c>
      <c r="B476" s="42">
        <v>196</v>
      </c>
      <c r="C476" s="43">
        <v>45887</v>
      </c>
      <c r="D476" s="42">
        <v>82508230011</v>
      </c>
      <c r="E476" s="43">
        <v>45892</v>
      </c>
      <c r="F476" s="45" t="s">
        <v>417</v>
      </c>
      <c r="G476" s="71" t="s">
        <v>418</v>
      </c>
      <c r="H476" s="76" t="s">
        <v>23</v>
      </c>
      <c r="I476" s="46"/>
      <c r="J476" s="43"/>
      <c r="K476" s="73">
        <v>60</v>
      </c>
      <c r="L476" s="49">
        <f t="shared" si="21"/>
        <v>60</v>
      </c>
      <c r="M476" s="48">
        <f t="shared" si="23"/>
        <v>7600.2</v>
      </c>
      <c r="N476" s="48">
        <v>126.67</v>
      </c>
      <c r="O476" s="50">
        <v>9</v>
      </c>
      <c r="P476" s="50">
        <v>9</v>
      </c>
      <c r="Q476" s="51">
        <f t="shared" si="22"/>
        <v>8968.235999999999</v>
      </c>
      <c r="R476" s="48"/>
      <c r="S476" s="64">
        <v>5032</v>
      </c>
      <c r="T476" s="43">
        <v>45887</v>
      </c>
      <c r="U476" s="24" t="s">
        <v>596</v>
      </c>
      <c r="V476" s="46" t="s">
        <v>247</v>
      </c>
      <c r="W476" s="54" t="s">
        <v>34</v>
      </c>
    </row>
    <row r="477" spans="1:23" s="27" customFormat="1" ht="34.950000000000003" customHeight="1" x14ac:dyDescent="0.25">
      <c r="A477" s="12">
        <f>SUBTOTAL(3,$B$2:B477)</f>
        <v>476</v>
      </c>
      <c r="B477" s="42">
        <v>197</v>
      </c>
      <c r="C477" s="43">
        <v>45887</v>
      </c>
      <c r="D477" s="42">
        <v>82508230007</v>
      </c>
      <c r="E477" s="44">
        <v>45892</v>
      </c>
      <c r="F477" s="45" t="s">
        <v>445</v>
      </c>
      <c r="G477" s="71" t="s">
        <v>397</v>
      </c>
      <c r="H477" s="76" t="s">
        <v>16</v>
      </c>
      <c r="I477" s="46" t="s">
        <v>447</v>
      </c>
      <c r="J477" s="43">
        <v>45820</v>
      </c>
      <c r="K477" s="73">
        <v>400</v>
      </c>
      <c r="L477" s="49">
        <f t="shared" si="21"/>
        <v>400</v>
      </c>
      <c r="M477" s="48">
        <f t="shared" si="23"/>
        <v>24000</v>
      </c>
      <c r="N477" s="48">
        <v>60</v>
      </c>
      <c r="O477" s="50">
        <v>9</v>
      </c>
      <c r="P477" s="50">
        <v>9</v>
      </c>
      <c r="Q477" s="51">
        <f t="shared" si="22"/>
        <v>28320</v>
      </c>
      <c r="R477" s="48"/>
      <c r="S477" s="64" t="s">
        <v>597</v>
      </c>
      <c r="T477" s="43">
        <v>45887</v>
      </c>
      <c r="U477" s="24" t="s">
        <v>596</v>
      </c>
      <c r="V477" s="46" t="s">
        <v>33</v>
      </c>
      <c r="W477" s="54" t="s">
        <v>34</v>
      </c>
    </row>
    <row r="478" spans="1:23" s="27" customFormat="1" ht="34.950000000000003" customHeight="1" x14ac:dyDescent="0.35">
      <c r="A478" s="12">
        <f>SUBTOTAL(3,$B$2:B478)</f>
        <v>477</v>
      </c>
      <c r="B478" s="42">
        <v>198</v>
      </c>
      <c r="C478" s="43">
        <v>45888</v>
      </c>
      <c r="D478" s="42">
        <v>82508230009</v>
      </c>
      <c r="E478" s="43">
        <v>45892</v>
      </c>
      <c r="F478" s="45" t="s">
        <v>592</v>
      </c>
      <c r="G478" s="109" t="s">
        <v>65</v>
      </c>
      <c r="H478" s="72" t="s">
        <v>16</v>
      </c>
      <c r="I478" s="46"/>
      <c r="J478" s="43"/>
      <c r="K478" s="73">
        <v>120</v>
      </c>
      <c r="L478" s="49">
        <f t="shared" si="21"/>
        <v>120</v>
      </c>
      <c r="M478" s="48">
        <f t="shared" si="23"/>
        <v>5160</v>
      </c>
      <c r="N478" s="48">
        <v>43</v>
      </c>
      <c r="O478" s="50">
        <v>9</v>
      </c>
      <c r="P478" s="50">
        <v>9</v>
      </c>
      <c r="Q478" s="51">
        <f t="shared" si="22"/>
        <v>6088.7999999999993</v>
      </c>
      <c r="R478" s="48"/>
      <c r="S478" s="64">
        <v>228</v>
      </c>
      <c r="T478" s="43">
        <v>45888</v>
      </c>
      <c r="U478" s="24" t="s">
        <v>586</v>
      </c>
      <c r="V478" s="46" t="s">
        <v>247</v>
      </c>
      <c r="W478" s="54" t="s">
        <v>34</v>
      </c>
    </row>
    <row r="479" spans="1:23" s="27" customFormat="1" ht="34.950000000000003" customHeight="1" x14ac:dyDescent="0.25">
      <c r="A479" s="12">
        <f>SUBTOTAL(3,$B$2:B479)</f>
        <v>478</v>
      </c>
      <c r="B479" s="42">
        <v>199</v>
      </c>
      <c r="C479" s="43">
        <v>45888</v>
      </c>
      <c r="D479" s="42">
        <v>82508230004</v>
      </c>
      <c r="E479" s="44">
        <v>45892</v>
      </c>
      <c r="F479" s="45" t="s">
        <v>598</v>
      </c>
      <c r="G479" s="71" t="s">
        <v>599</v>
      </c>
      <c r="H479" s="76" t="s">
        <v>16</v>
      </c>
      <c r="I479" s="46"/>
      <c r="J479" s="43"/>
      <c r="K479" s="73">
        <v>23</v>
      </c>
      <c r="L479" s="49">
        <f t="shared" si="21"/>
        <v>23</v>
      </c>
      <c r="M479" s="48">
        <f t="shared" si="23"/>
        <v>7820</v>
      </c>
      <c r="N479" s="48">
        <v>340</v>
      </c>
      <c r="O479" s="50">
        <v>9</v>
      </c>
      <c r="P479" s="50">
        <v>9</v>
      </c>
      <c r="Q479" s="51">
        <f t="shared" si="22"/>
        <v>9227.6</v>
      </c>
      <c r="R479" s="48"/>
      <c r="S479" s="64" t="s">
        <v>600</v>
      </c>
      <c r="T479" s="43">
        <v>45881</v>
      </c>
      <c r="U479" s="24" t="s">
        <v>601</v>
      </c>
      <c r="V479" s="46" t="s">
        <v>33</v>
      </c>
      <c r="W479" s="54" t="s">
        <v>367</v>
      </c>
    </row>
    <row r="480" spans="1:23" s="27" customFormat="1" ht="34.950000000000003" customHeight="1" x14ac:dyDescent="0.25">
      <c r="A480" s="12">
        <f>SUBTOTAL(3,$B$2:B480)</f>
        <v>479</v>
      </c>
      <c r="B480" s="42">
        <v>199</v>
      </c>
      <c r="C480" s="43">
        <v>45888</v>
      </c>
      <c r="D480" s="42">
        <v>82508230004</v>
      </c>
      <c r="E480" s="44">
        <v>45892</v>
      </c>
      <c r="F480" s="45" t="s">
        <v>598</v>
      </c>
      <c r="G480" s="71" t="s">
        <v>602</v>
      </c>
      <c r="H480" s="76" t="s">
        <v>16</v>
      </c>
      <c r="I480" s="46"/>
      <c r="J480" s="43"/>
      <c r="K480" s="73">
        <v>1</v>
      </c>
      <c r="L480" s="49">
        <f t="shared" si="21"/>
        <v>1</v>
      </c>
      <c r="M480" s="48">
        <f t="shared" si="23"/>
        <v>3405</v>
      </c>
      <c r="N480" s="48">
        <v>3405</v>
      </c>
      <c r="O480" s="50">
        <v>9</v>
      </c>
      <c r="P480" s="50">
        <v>9</v>
      </c>
      <c r="Q480" s="51">
        <f t="shared" si="22"/>
        <v>4017.8999999999996</v>
      </c>
      <c r="R480" s="48"/>
      <c r="S480" s="64" t="s">
        <v>600</v>
      </c>
      <c r="T480" s="43">
        <v>45881</v>
      </c>
      <c r="U480" s="24" t="s">
        <v>601</v>
      </c>
      <c r="V480" s="46" t="s">
        <v>33</v>
      </c>
      <c r="W480" s="54" t="s">
        <v>367</v>
      </c>
    </row>
    <row r="481" spans="1:23" s="27" customFormat="1" ht="34.950000000000003" customHeight="1" x14ac:dyDescent="0.25">
      <c r="A481" s="12">
        <f>SUBTOTAL(3,$B$2:B481)</f>
        <v>480</v>
      </c>
      <c r="B481" s="42">
        <v>199</v>
      </c>
      <c r="C481" s="43">
        <v>45888</v>
      </c>
      <c r="D481" s="42">
        <v>82508230004</v>
      </c>
      <c r="E481" s="44">
        <v>45892</v>
      </c>
      <c r="F481" s="45" t="s">
        <v>598</v>
      </c>
      <c r="G481" s="71" t="s">
        <v>603</v>
      </c>
      <c r="H481" s="76" t="s">
        <v>16</v>
      </c>
      <c r="I481" s="46"/>
      <c r="J481" s="43"/>
      <c r="K481" s="73">
        <v>20</v>
      </c>
      <c r="L481" s="49">
        <f t="shared" si="21"/>
        <v>20</v>
      </c>
      <c r="M481" s="48">
        <f t="shared" si="23"/>
        <v>3000</v>
      </c>
      <c r="N481" s="48">
        <v>150</v>
      </c>
      <c r="O481" s="50">
        <v>9</v>
      </c>
      <c r="P481" s="50">
        <v>9</v>
      </c>
      <c r="Q481" s="51">
        <f t="shared" si="22"/>
        <v>3540</v>
      </c>
      <c r="R481" s="48">
        <v>1180</v>
      </c>
      <c r="S481" s="64" t="s">
        <v>600</v>
      </c>
      <c r="T481" s="43">
        <v>45881</v>
      </c>
      <c r="U481" s="24" t="s">
        <v>601</v>
      </c>
      <c r="V481" s="46" t="s">
        <v>33</v>
      </c>
      <c r="W481" s="54" t="s">
        <v>367</v>
      </c>
    </row>
    <row r="482" spans="1:23" s="27" customFormat="1" ht="34.950000000000003" customHeight="1" x14ac:dyDescent="0.25">
      <c r="A482" s="12">
        <f>SUBTOTAL(3,$B$2:B482)</f>
        <v>481</v>
      </c>
      <c r="B482" s="42">
        <v>200</v>
      </c>
      <c r="C482" s="43">
        <v>45890</v>
      </c>
      <c r="D482" s="42">
        <v>82508220001</v>
      </c>
      <c r="E482" s="44">
        <v>45891</v>
      </c>
      <c r="F482" s="45" t="s">
        <v>35</v>
      </c>
      <c r="G482" s="71" t="s">
        <v>485</v>
      </c>
      <c r="H482" s="76" t="s">
        <v>37</v>
      </c>
      <c r="I482" s="12" t="s">
        <v>38</v>
      </c>
      <c r="J482" s="43">
        <v>45733</v>
      </c>
      <c r="K482" s="55">
        <v>7</v>
      </c>
      <c r="L482" s="49">
        <f t="shared" si="21"/>
        <v>7</v>
      </c>
      <c r="M482" s="48">
        <f t="shared" si="23"/>
        <v>35296.239999999998</v>
      </c>
      <c r="N482" s="48">
        <v>5042.32</v>
      </c>
      <c r="O482" s="50">
        <v>9</v>
      </c>
      <c r="P482" s="50">
        <v>9</v>
      </c>
      <c r="Q482" s="51">
        <f t="shared" si="22"/>
        <v>41649.563199999997</v>
      </c>
      <c r="R482" s="48"/>
      <c r="S482" s="64" t="s">
        <v>604</v>
      </c>
      <c r="T482" s="43">
        <v>45890</v>
      </c>
      <c r="U482" s="24" t="s">
        <v>99</v>
      </c>
      <c r="V482" s="46" t="s">
        <v>33</v>
      </c>
      <c r="W482" s="54" t="s">
        <v>34</v>
      </c>
    </row>
    <row r="483" spans="1:23" s="27" customFormat="1" ht="34.950000000000003" customHeight="1" x14ac:dyDescent="0.25">
      <c r="A483" s="12">
        <f>SUBTOTAL(3,$B$2:B483)</f>
        <v>482</v>
      </c>
      <c r="B483" s="42">
        <v>201</v>
      </c>
      <c r="C483" s="43">
        <v>45890</v>
      </c>
      <c r="D483" s="42">
        <v>82508220002</v>
      </c>
      <c r="E483" s="44">
        <v>45891</v>
      </c>
      <c r="F483" s="45" t="s">
        <v>35</v>
      </c>
      <c r="G483" s="71" t="s">
        <v>485</v>
      </c>
      <c r="H483" s="76" t="s">
        <v>37</v>
      </c>
      <c r="I483" s="12" t="s">
        <v>38</v>
      </c>
      <c r="J483" s="43">
        <v>45733</v>
      </c>
      <c r="K483" s="55">
        <v>7</v>
      </c>
      <c r="L483" s="49">
        <f t="shared" si="21"/>
        <v>7</v>
      </c>
      <c r="M483" s="48">
        <f t="shared" si="23"/>
        <v>35296.239999999998</v>
      </c>
      <c r="N483" s="48">
        <v>5042.32</v>
      </c>
      <c r="O483" s="50">
        <v>9</v>
      </c>
      <c r="P483" s="50">
        <v>9</v>
      </c>
      <c r="Q483" s="51">
        <f t="shared" si="22"/>
        <v>41649.563199999997</v>
      </c>
      <c r="R483" s="48"/>
      <c r="S483" s="64" t="s">
        <v>605</v>
      </c>
      <c r="T483" s="43">
        <v>45890</v>
      </c>
      <c r="U483" s="24" t="s">
        <v>101</v>
      </c>
      <c r="V483" s="46" t="s">
        <v>33</v>
      </c>
      <c r="W483" s="54" t="s">
        <v>34</v>
      </c>
    </row>
    <row r="484" spans="1:23" s="27" customFormat="1" ht="34.950000000000003" customHeight="1" x14ac:dyDescent="0.25">
      <c r="A484" s="12">
        <f>SUBTOTAL(3,$B$2:B484)</f>
        <v>483</v>
      </c>
      <c r="B484" s="42">
        <v>202</v>
      </c>
      <c r="C484" s="43">
        <v>45890</v>
      </c>
      <c r="D484" s="42">
        <v>82508220003</v>
      </c>
      <c r="E484" s="44">
        <v>45891</v>
      </c>
      <c r="F484" s="45" t="s">
        <v>35</v>
      </c>
      <c r="G484" s="71" t="s">
        <v>485</v>
      </c>
      <c r="H484" s="76" t="s">
        <v>37</v>
      </c>
      <c r="I484" s="12" t="s">
        <v>38</v>
      </c>
      <c r="J484" s="43">
        <v>45733</v>
      </c>
      <c r="K484" s="55">
        <v>7</v>
      </c>
      <c r="L484" s="49">
        <f t="shared" si="21"/>
        <v>7</v>
      </c>
      <c r="M484" s="48">
        <f t="shared" si="23"/>
        <v>35296.239999999998</v>
      </c>
      <c r="N484" s="48">
        <v>5042.32</v>
      </c>
      <c r="O484" s="50">
        <v>9</v>
      </c>
      <c r="P484" s="50">
        <v>9</v>
      </c>
      <c r="Q484" s="51">
        <f t="shared" si="22"/>
        <v>41649.563199999997</v>
      </c>
      <c r="R484" s="48"/>
      <c r="S484" s="64" t="s">
        <v>606</v>
      </c>
      <c r="T484" s="43">
        <v>45890</v>
      </c>
      <c r="U484" s="24" t="s">
        <v>607</v>
      </c>
      <c r="V484" s="46" t="s">
        <v>33</v>
      </c>
      <c r="W484" s="54" t="s">
        <v>34</v>
      </c>
    </row>
    <row r="485" spans="1:23" s="27" customFormat="1" ht="34.950000000000003" customHeight="1" x14ac:dyDescent="0.35">
      <c r="A485" s="12">
        <f>SUBTOTAL(3,$B$2:B485)</f>
        <v>484</v>
      </c>
      <c r="B485" s="42">
        <v>203</v>
      </c>
      <c r="C485" s="43">
        <v>45890</v>
      </c>
      <c r="D485" s="42">
        <v>82508220004</v>
      </c>
      <c r="E485" s="44">
        <v>45891</v>
      </c>
      <c r="F485" s="45" t="s">
        <v>35</v>
      </c>
      <c r="G485" s="53" t="s">
        <v>485</v>
      </c>
      <c r="H485" s="72" t="s">
        <v>37</v>
      </c>
      <c r="I485" s="12" t="s">
        <v>38</v>
      </c>
      <c r="J485" s="43">
        <v>45733</v>
      </c>
      <c r="K485" s="55">
        <v>7</v>
      </c>
      <c r="L485" s="49">
        <f t="shared" si="21"/>
        <v>7</v>
      </c>
      <c r="M485" s="48">
        <f t="shared" si="23"/>
        <v>35296.239999999998</v>
      </c>
      <c r="N485" s="48">
        <v>5042.32</v>
      </c>
      <c r="O485" s="50">
        <v>9</v>
      </c>
      <c r="P485" s="50">
        <v>9</v>
      </c>
      <c r="Q485" s="51">
        <f t="shared" si="22"/>
        <v>41649.563199999997</v>
      </c>
      <c r="R485" s="48"/>
      <c r="S485" s="64" t="s">
        <v>608</v>
      </c>
      <c r="T485" s="43">
        <v>45890</v>
      </c>
      <c r="U485" s="24" t="s">
        <v>40</v>
      </c>
      <c r="V485" s="46" t="s">
        <v>33</v>
      </c>
      <c r="W485" s="54" t="s">
        <v>34</v>
      </c>
    </row>
    <row r="486" spans="1:23" s="27" customFormat="1" ht="34.950000000000003" customHeight="1" x14ac:dyDescent="0.35">
      <c r="A486" s="12">
        <f>SUBTOTAL(3,$B$2:B486)</f>
        <v>485</v>
      </c>
      <c r="B486" s="42">
        <v>204</v>
      </c>
      <c r="C486" s="43">
        <v>45890</v>
      </c>
      <c r="D486" s="42">
        <v>82508220005</v>
      </c>
      <c r="E486" s="44">
        <v>45891</v>
      </c>
      <c r="F486" s="45" t="s">
        <v>35</v>
      </c>
      <c r="G486" s="53" t="s">
        <v>485</v>
      </c>
      <c r="H486" s="72" t="s">
        <v>37</v>
      </c>
      <c r="I486" s="12" t="s">
        <v>38</v>
      </c>
      <c r="J486" s="43">
        <v>45733</v>
      </c>
      <c r="K486" s="55">
        <v>7</v>
      </c>
      <c r="L486" s="49">
        <f t="shared" si="21"/>
        <v>7</v>
      </c>
      <c r="M486" s="48">
        <f t="shared" si="23"/>
        <v>35296.239999999998</v>
      </c>
      <c r="N486" s="48">
        <v>5042.32</v>
      </c>
      <c r="O486" s="50">
        <v>9</v>
      </c>
      <c r="P486" s="50">
        <v>9</v>
      </c>
      <c r="Q486" s="51">
        <f t="shared" si="22"/>
        <v>41649.563199999997</v>
      </c>
      <c r="R486" s="48"/>
      <c r="S486" s="64" t="s">
        <v>609</v>
      </c>
      <c r="T486" s="43">
        <v>45890</v>
      </c>
      <c r="U486" s="24" t="s">
        <v>492</v>
      </c>
      <c r="V486" s="46" t="s">
        <v>33</v>
      </c>
      <c r="W486" s="54" t="s">
        <v>34</v>
      </c>
    </row>
    <row r="487" spans="1:23" s="27" customFormat="1" ht="34.950000000000003" customHeight="1" x14ac:dyDescent="0.35">
      <c r="A487" s="12">
        <f>SUBTOTAL(3,$B$2:B487)</f>
        <v>486</v>
      </c>
      <c r="B487" s="42">
        <v>205</v>
      </c>
      <c r="C487" s="43">
        <v>45890</v>
      </c>
      <c r="D487" s="42">
        <v>82508220006</v>
      </c>
      <c r="E487" s="44">
        <v>45891</v>
      </c>
      <c r="F487" s="45" t="s">
        <v>35</v>
      </c>
      <c r="G487" s="53" t="s">
        <v>485</v>
      </c>
      <c r="H487" s="72" t="s">
        <v>37</v>
      </c>
      <c r="I487" s="12" t="s">
        <v>38</v>
      </c>
      <c r="J487" s="43">
        <v>45733</v>
      </c>
      <c r="K487" s="55">
        <v>7</v>
      </c>
      <c r="L487" s="49">
        <f t="shared" si="21"/>
        <v>7</v>
      </c>
      <c r="M487" s="48">
        <f t="shared" si="23"/>
        <v>35296.239999999998</v>
      </c>
      <c r="N487" s="48">
        <v>5042.32</v>
      </c>
      <c r="O487" s="50">
        <v>9</v>
      </c>
      <c r="P487" s="50">
        <v>9</v>
      </c>
      <c r="Q487" s="51">
        <f t="shared" si="22"/>
        <v>41649.563199999997</v>
      </c>
      <c r="R487" s="48"/>
      <c r="S487" s="64" t="s">
        <v>610</v>
      </c>
      <c r="T487" s="43">
        <v>45890</v>
      </c>
      <c r="U487" s="24" t="s">
        <v>99</v>
      </c>
      <c r="V487" s="46" t="s">
        <v>33</v>
      </c>
      <c r="W487" s="54" t="s">
        <v>34</v>
      </c>
    </row>
    <row r="488" spans="1:23" s="27" customFormat="1" ht="34.950000000000003" customHeight="1" x14ac:dyDescent="0.25">
      <c r="A488" s="12">
        <f>SUBTOTAL(3,$B$2:B488)</f>
        <v>487</v>
      </c>
      <c r="B488" s="42">
        <v>206</v>
      </c>
      <c r="C488" s="43">
        <v>45890</v>
      </c>
      <c r="D488" s="42">
        <v>82508220007</v>
      </c>
      <c r="E488" s="44">
        <v>45891</v>
      </c>
      <c r="F488" s="45" t="s">
        <v>35</v>
      </c>
      <c r="G488" s="71" t="s">
        <v>485</v>
      </c>
      <c r="H488" s="76" t="s">
        <v>37</v>
      </c>
      <c r="I488" s="12" t="s">
        <v>38</v>
      </c>
      <c r="J488" s="43">
        <v>45733</v>
      </c>
      <c r="K488" s="55">
        <v>7</v>
      </c>
      <c r="L488" s="49">
        <f t="shared" si="21"/>
        <v>7</v>
      </c>
      <c r="M488" s="48">
        <f t="shared" si="23"/>
        <v>35296.239999999998</v>
      </c>
      <c r="N488" s="48">
        <v>5042.32</v>
      </c>
      <c r="O488" s="50">
        <v>9</v>
      </c>
      <c r="P488" s="50">
        <v>9</v>
      </c>
      <c r="Q488" s="51">
        <f t="shared" si="22"/>
        <v>41649.563199999997</v>
      </c>
      <c r="R488" s="48"/>
      <c r="S488" s="64" t="s">
        <v>611</v>
      </c>
      <c r="T488" s="43">
        <v>45890</v>
      </c>
      <c r="U488" s="24" t="s">
        <v>101</v>
      </c>
      <c r="V488" s="46" t="s">
        <v>33</v>
      </c>
      <c r="W488" s="54" t="s">
        <v>34</v>
      </c>
    </row>
    <row r="489" spans="1:23" s="27" customFormat="1" ht="34.950000000000003" customHeight="1" x14ac:dyDescent="0.25">
      <c r="A489" s="12">
        <f>SUBTOTAL(3,$B$2:B489)</f>
        <v>488</v>
      </c>
      <c r="B489" s="42">
        <v>207</v>
      </c>
      <c r="C489" s="43">
        <v>45890</v>
      </c>
      <c r="D489" s="42">
        <v>82508220008</v>
      </c>
      <c r="E489" s="44">
        <v>45891</v>
      </c>
      <c r="F489" s="45" t="s">
        <v>35</v>
      </c>
      <c r="G489" s="71" t="s">
        <v>485</v>
      </c>
      <c r="H489" s="76" t="s">
        <v>37</v>
      </c>
      <c r="I489" s="12" t="s">
        <v>38</v>
      </c>
      <c r="J489" s="43">
        <v>45733</v>
      </c>
      <c r="K489" s="55">
        <v>7</v>
      </c>
      <c r="L489" s="49">
        <f t="shared" si="21"/>
        <v>7</v>
      </c>
      <c r="M489" s="48">
        <f t="shared" si="23"/>
        <v>35296.239999999998</v>
      </c>
      <c r="N489" s="48">
        <v>5042.32</v>
      </c>
      <c r="O489" s="50">
        <v>9</v>
      </c>
      <c r="P489" s="50">
        <v>9</v>
      </c>
      <c r="Q489" s="51">
        <f t="shared" si="22"/>
        <v>41649.563199999997</v>
      </c>
      <c r="R489" s="48"/>
      <c r="S489" s="64" t="s">
        <v>612</v>
      </c>
      <c r="T489" s="43">
        <v>45890</v>
      </c>
      <c r="U489" s="24" t="s">
        <v>613</v>
      </c>
      <c r="V489" s="46" t="s">
        <v>33</v>
      </c>
      <c r="W489" s="54" t="s">
        <v>34</v>
      </c>
    </row>
    <row r="490" spans="1:23" s="27" customFormat="1" ht="34.950000000000003" customHeight="1" x14ac:dyDescent="0.25">
      <c r="A490" s="12">
        <f>SUBTOTAL(3,$B$2:B490)</f>
        <v>489</v>
      </c>
      <c r="B490" s="42">
        <v>208</v>
      </c>
      <c r="C490" s="43">
        <v>45891</v>
      </c>
      <c r="D490" s="42">
        <v>82508220009</v>
      </c>
      <c r="E490" s="44">
        <v>45891</v>
      </c>
      <c r="F490" s="45" t="s">
        <v>35</v>
      </c>
      <c r="G490" s="53" t="s">
        <v>485</v>
      </c>
      <c r="H490" s="76" t="s">
        <v>37</v>
      </c>
      <c r="I490" s="12" t="s">
        <v>38</v>
      </c>
      <c r="J490" s="43">
        <v>45733</v>
      </c>
      <c r="K490" s="55">
        <v>1.5</v>
      </c>
      <c r="L490" s="49">
        <f t="shared" si="21"/>
        <v>1.5</v>
      </c>
      <c r="M490" s="48">
        <f t="shared" si="23"/>
        <v>7563.48</v>
      </c>
      <c r="N490" s="48">
        <v>5042.32</v>
      </c>
      <c r="O490" s="50">
        <v>9</v>
      </c>
      <c r="P490" s="50">
        <v>9</v>
      </c>
      <c r="Q490" s="51">
        <f t="shared" si="22"/>
        <v>8924.9063999999998</v>
      </c>
      <c r="R490" s="48"/>
      <c r="S490" s="64" t="s">
        <v>614</v>
      </c>
      <c r="T490" s="43">
        <v>45891</v>
      </c>
      <c r="U490" s="24" t="s">
        <v>40</v>
      </c>
      <c r="V490" s="46" t="s">
        <v>33</v>
      </c>
      <c r="W490" s="54" t="s">
        <v>34</v>
      </c>
    </row>
    <row r="491" spans="1:23" s="27" customFormat="1" ht="34.950000000000003" customHeight="1" x14ac:dyDescent="0.25">
      <c r="A491" s="12">
        <f>SUBTOTAL(3,$B$2:B491)</f>
        <v>490</v>
      </c>
      <c r="B491" s="42">
        <v>209</v>
      </c>
      <c r="C491" s="43">
        <v>45891</v>
      </c>
      <c r="D491" s="42">
        <v>82508220010</v>
      </c>
      <c r="E491" s="44">
        <v>45891</v>
      </c>
      <c r="F491" s="45" t="s">
        <v>35</v>
      </c>
      <c r="G491" s="53" t="s">
        <v>485</v>
      </c>
      <c r="H491" s="76" t="s">
        <v>37</v>
      </c>
      <c r="I491" s="12" t="s">
        <v>38</v>
      </c>
      <c r="J491" s="43">
        <v>45733</v>
      </c>
      <c r="K491" s="55">
        <v>0.5</v>
      </c>
      <c r="L491" s="49">
        <f t="shared" si="21"/>
        <v>0.5</v>
      </c>
      <c r="M491" s="48">
        <f t="shared" si="23"/>
        <v>2521.16</v>
      </c>
      <c r="N491" s="48">
        <v>5042.32</v>
      </c>
      <c r="O491" s="50">
        <v>9</v>
      </c>
      <c r="P491" s="50">
        <v>9</v>
      </c>
      <c r="Q491" s="51">
        <f t="shared" si="22"/>
        <v>2974.9687999999996</v>
      </c>
      <c r="R491" s="48"/>
      <c r="S491" s="64" t="s">
        <v>615</v>
      </c>
      <c r="T491" s="43">
        <v>45891</v>
      </c>
      <c r="U491" s="24" t="s">
        <v>40</v>
      </c>
      <c r="V491" s="46" t="s">
        <v>33</v>
      </c>
      <c r="W491" s="54" t="s">
        <v>34</v>
      </c>
    </row>
    <row r="492" spans="1:23" s="27" customFormat="1" ht="34.950000000000003" customHeight="1" x14ac:dyDescent="0.25">
      <c r="A492" s="12">
        <f>SUBTOTAL(3,$B$2:B492)</f>
        <v>491</v>
      </c>
      <c r="B492" s="42">
        <v>210</v>
      </c>
      <c r="C492" s="43">
        <v>45891</v>
      </c>
      <c r="D492" s="42">
        <v>0</v>
      </c>
      <c r="E492" s="43">
        <v>0</v>
      </c>
      <c r="F492" s="45" t="s">
        <v>407</v>
      </c>
      <c r="G492" s="71" t="s">
        <v>616</v>
      </c>
      <c r="H492" s="76" t="s">
        <v>23</v>
      </c>
      <c r="I492" s="46"/>
      <c r="J492" s="43"/>
      <c r="K492" s="73">
        <v>100</v>
      </c>
      <c r="L492" s="62">
        <f t="shared" si="21"/>
        <v>100</v>
      </c>
      <c r="M492" s="48">
        <f t="shared" si="23"/>
        <v>40000</v>
      </c>
      <c r="N492" s="48">
        <v>400</v>
      </c>
      <c r="O492" s="50"/>
      <c r="P492" s="50"/>
      <c r="Q492" s="51">
        <f t="shared" si="22"/>
        <v>40000</v>
      </c>
      <c r="R492" s="48"/>
      <c r="S492" s="64">
        <v>590186</v>
      </c>
      <c r="T492" s="43">
        <v>45891</v>
      </c>
      <c r="U492" s="24" t="s">
        <v>383</v>
      </c>
      <c r="V492" s="46" t="s">
        <v>25</v>
      </c>
      <c r="W492" s="54"/>
    </row>
    <row r="493" spans="1:23" s="27" customFormat="1" ht="34.950000000000003" customHeight="1" x14ac:dyDescent="0.25">
      <c r="A493" s="12">
        <f>SUBTOTAL(3,$B$2:B493)</f>
        <v>492</v>
      </c>
      <c r="B493" s="42">
        <v>211</v>
      </c>
      <c r="C493" s="43">
        <v>45894</v>
      </c>
      <c r="D493" s="42">
        <v>82508260001</v>
      </c>
      <c r="E493" s="44">
        <v>45895</v>
      </c>
      <c r="F493" s="45" t="s">
        <v>35</v>
      </c>
      <c r="G493" s="52" t="s">
        <v>485</v>
      </c>
      <c r="H493" s="46" t="s">
        <v>37</v>
      </c>
      <c r="I493" s="12" t="s">
        <v>38</v>
      </c>
      <c r="J493" s="43">
        <v>45733</v>
      </c>
      <c r="K493" s="63">
        <v>3.5</v>
      </c>
      <c r="L493" s="49">
        <f t="shared" si="21"/>
        <v>3.5</v>
      </c>
      <c r="M493" s="48">
        <f t="shared" si="23"/>
        <v>17648.12</v>
      </c>
      <c r="N493" s="48">
        <v>5042.32</v>
      </c>
      <c r="O493" s="50">
        <v>9</v>
      </c>
      <c r="P493" s="50">
        <v>9</v>
      </c>
      <c r="Q493" s="51">
        <f t="shared" si="22"/>
        <v>20824.781599999998</v>
      </c>
      <c r="R493" s="48"/>
      <c r="S493" s="24" t="s">
        <v>617</v>
      </c>
      <c r="T493" s="43">
        <v>45894</v>
      </c>
      <c r="U493" s="43" t="s">
        <v>101</v>
      </c>
      <c r="V493" s="46" t="s">
        <v>33</v>
      </c>
      <c r="W493" s="54" t="s">
        <v>34</v>
      </c>
    </row>
    <row r="494" spans="1:23" s="27" customFormat="1" ht="34.950000000000003" customHeight="1" x14ac:dyDescent="0.25">
      <c r="A494" s="12">
        <f>SUBTOTAL(3,$B$2:B494)</f>
        <v>493</v>
      </c>
      <c r="B494" s="42">
        <v>212</v>
      </c>
      <c r="C494" s="43">
        <v>45894</v>
      </c>
      <c r="D494" s="42">
        <v>82508260002</v>
      </c>
      <c r="E494" s="44">
        <v>45895</v>
      </c>
      <c r="F494" s="45" t="s">
        <v>35</v>
      </c>
      <c r="G494" s="52" t="s">
        <v>485</v>
      </c>
      <c r="H494" s="46" t="s">
        <v>37</v>
      </c>
      <c r="I494" s="12" t="s">
        <v>38</v>
      </c>
      <c r="J494" s="43">
        <v>45733</v>
      </c>
      <c r="K494" s="63">
        <v>4.5</v>
      </c>
      <c r="L494" s="49">
        <f t="shared" si="21"/>
        <v>4.5</v>
      </c>
      <c r="M494" s="48">
        <f t="shared" si="23"/>
        <v>22690.44</v>
      </c>
      <c r="N494" s="48">
        <v>5042.32</v>
      </c>
      <c r="O494" s="50">
        <v>9</v>
      </c>
      <c r="P494" s="50">
        <v>9</v>
      </c>
      <c r="Q494" s="51">
        <f t="shared" si="22"/>
        <v>26774.719199999996</v>
      </c>
      <c r="R494" s="48"/>
      <c r="S494" s="24" t="s">
        <v>618</v>
      </c>
      <c r="T494" s="43">
        <v>45894</v>
      </c>
      <c r="U494" s="43" t="s">
        <v>230</v>
      </c>
      <c r="V494" s="46" t="s">
        <v>33</v>
      </c>
      <c r="W494" s="54" t="s">
        <v>34</v>
      </c>
    </row>
    <row r="495" spans="1:23" s="27" customFormat="1" ht="34.950000000000003" customHeight="1" x14ac:dyDescent="0.25">
      <c r="A495" s="12">
        <f>SUBTOTAL(3,$B$2:B495)</f>
        <v>494</v>
      </c>
      <c r="B495" s="42">
        <v>213</v>
      </c>
      <c r="C495" s="43">
        <v>45894</v>
      </c>
      <c r="D495" s="42">
        <v>82512190003</v>
      </c>
      <c r="E495" s="43">
        <v>46010</v>
      </c>
      <c r="F495" s="45" t="s">
        <v>619</v>
      </c>
      <c r="G495" s="52" t="s">
        <v>620</v>
      </c>
      <c r="H495" s="46" t="s">
        <v>16</v>
      </c>
      <c r="I495" s="12"/>
      <c r="J495" s="43"/>
      <c r="K495" s="59">
        <v>1</v>
      </c>
      <c r="L495" s="49">
        <f t="shared" si="21"/>
        <v>1</v>
      </c>
      <c r="M495" s="48">
        <f t="shared" si="23"/>
        <v>650</v>
      </c>
      <c r="N495" s="48">
        <v>650</v>
      </c>
      <c r="O495" s="50">
        <v>9</v>
      </c>
      <c r="P495" s="50">
        <v>9</v>
      </c>
      <c r="Q495" s="51">
        <f t="shared" si="22"/>
        <v>767</v>
      </c>
      <c r="R495" s="48"/>
      <c r="S495" s="24">
        <v>122</v>
      </c>
      <c r="T495" s="43">
        <v>45894</v>
      </c>
      <c r="U495" s="43" t="s">
        <v>91</v>
      </c>
      <c r="V495" s="46" t="s">
        <v>247</v>
      </c>
      <c r="W495" s="54" t="s">
        <v>34</v>
      </c>
    </row>
    <row r="496" spans="1:23" s="27" customFormat="1" ht="34.950000000000003" customHeight="1" x14ac:dyDescent="0.25">
      <c r="A496" s="12">
        <f>SUBTOTAL(3,$B$2:B496)</f>
        <v>495</v>
      </c>
      <c r="B496" s="42">
        <v>214</v>
      </c>
      <c r="C496" s="43">
        <v>45898</v>
      </c>
      <c r="D496" s="42">
        <v>82509010001</v>
      </c>
      <c r="E496" s="44">
        <v>45901</v>
      </c>
      <c r="F496" s="45" t="s">
        <v>27</v>
      </c>
      <c r="G496" s="52" t="s">
        <v>83</v>
      </c>
      <c r="H496" s="46" t="s">
        <v>29</v>
      </c>
      <c r="I496" s="12" t="s">
        <v>621</v>
      </c>
      <c r="J496" s="43">
        <v>45892</v>
      </c>
      <c r="K496" s="59">
        <v>8.0990000000000002</v>
      </c>
      <c r="L496" s="49">
        <f t="shared" si="21"/>
        <v>8.0990000000000002</v>
      </c>
      <c r="M496" s="48">
        <f t="shared" si="23"/>
        <v>431271.75</v>
      </c>
      <c r="N496" s="48">
        <v>53250</v>
      </c>
      <c r="O496" s="50">
        <v>9</v>
      </c>
      <c r="P496" s="50">
        <v>9</v>
      </c>
      <c r="Q496" s="51">
        <f t="shared" si="22"/>
        <v>508900.66499999998</v>
      </c>
      <c r="R496" s="48"/>
      <c r="S496" s="24" t="s">
        <v>622</v>
      </c>
      <c r="T496" s="43">
        <v>45897</v>
      </c>
      <c r="U496" s="43" t="s">
        <v>623</v>
      </c>
      <c r="V496" s="46" t="s">
        <v>33</v>
      </c>
      <c r="W496" s="54" t="s">
        <v>34</v>
      </c>
    </row>
    <row r="497" spans="1:23" s="27" customFormat="1" ht="34.950000000000003" customHeight="1" x14ac:dyDescent="0.25">
      <c r="A497" s="12">
        <f>SUBTOTAL(3,$B$2:B497)</f>
        <v>496</v>
      </c>
      <c r="B497" s="42">
        <v>214</v>
      </c>
      <c r="C497" s="43">
        <v>45898</v>
      </c>
      <c r="D497" s="42">
        <v>82509010001</v>
      </c>
      <c r="E497" s="44">
        <v>45901</v>
      </c>
      <c r="F497" s="45" t="s">
        <v>27</v>
      </c>
      <c r="G497" s="52" t="s">
        <v>87</v>
      </c>
      <c r="H497" s="46" t="s">
        <v>29</v>
      </c>
      <c r="I497" s="12" t="s">
        <v>621</v>
      </c>
      <c r="J497" s="43">
        <v>45892</v>
      </c>
      <c r="K497" s="59">
        <v>32.652000000000001</v>
      </c>
      <c r="L497" s="49">
        <f t="shared" si="21"/>
        <v>32.652000000000001</v>
      </c>
      <c r="M497" s="48">
        <f t="shared" si="23"/>
        <v>1657089</v>
      </c>
      <c r="N497" s="48">
        <v>50750</v>
      </c>
      <c r="O497" s="50">
        <v>9</v>
      </c>
      <c r="P497" s="50">
        <v>9</v>
      </c>
      <c r="Q497" s="51">
        <f t="shared" si="22"/>
        <v>1955365.0199999998</v>
      </c>
      <c r="R497" s="48"/>
      <c r="S497" s="24" t="s">
        <v>622</v>
      </c>
      <c r="T497" s="43">
        <v>45897</v>
      </c>
      <c r="U497" s="43" t="s">
        <v>623</v>
      </c>
      <c r="V497" s="46" t="s">
        <v>33</v>
      </c>
      <c r="W497" s="54" t="s">
        <v>34</v>
      </c>
    </row>
    <row r="498" spans="1:23" s="27" customFormat="1" ht="34.950000000000003" customHeight="1" x14ac:dyDescent="0.25">
      <c r="A498" s="12">
        <f>SUBTOTAL(3,$B$2:B498)</f>
        <v>497</v>
      </c>
      <c r="B498" s="42">
        <v>215</v>
      </c>
      <c r="C498" s="43">
        <v>45899</v>
      </c>
      <c r="D498" s="42">
        <v>82512190002</v>
      </c>
      <c r="E498" s="43">
        <v>46010</v>
      </c>
      <c r="F498" s="45" t="s">
        <v>619</v>
      </c>
      <c r="G498" s="52" t="s">
        <v>620</v>
      </c>
      <c r="H498" s="46" t="s">
        <v>16</v>
      </c>
      <c r="I498" s="12"/>
      <c r="J498" s="43"/>
      <c r="K498" s="59">
        <v>1</v>
      </c>
      <c r="L498" s="49">
        <f t="shared" si="21"/>
        <v>1</v>
      </c>
      <c r="M498" s="48">
        <f t="shared" si="23"/>
        <v>650</v>
      </c>
      <c r="N498" s="48">
        <v>650</v>
      </c>
      <c r="O498" s="50">
        <v>9</v>
      </c>
      <c r="P498" s="50">
        <v>9</v>
      </c>
      <c r="Q498" s="51">
        <f t="shared" si="22"/>
        <v>767</v>
      </c>
      <c r="R498" s="48"/>
      <c r="S498" s="24">
        <v>124</v>
      </c>
      <c r="T498" s="43">
        <v>45899</v>
      </c>
      <c r="U498" s="43" t="s">
        <v>91</v>
      </c>
      <c r="V498" s="46" t="s">
        <v>247</v>
      </c>
      <c r="W498" s="54" t="s">
        <v>34</v>
      </c>
    </row>
    <row r="499" spans="1:23" s="27" customFormat="1" ht="34.950000000000003" customHeight="1" x14ac:dyDescent="0.25">
      <c r="A499" s="12">
        <f>SUBTOTAL(3,$B$2:B499)</f>
        <v>498</v>
      </c>
      <c r="B499" s="42">
        <v>216</v>
      </c>
      <c r="C499" s="43">
        <v>45900</v>
      </c>
      <c r="D499" s="42">
        <v>82509010002</v>
      </c>
      <c r="E499" s="44">
        <v>45901</v>
      </c>
      <c r="F499" s="45" t="s">
        <v>27</v>
      </c>
      <c r="G499" s="52" t="s">
        <v>28</v>
      </c>
      <c r="H499" s="46" t="s">
        <v>29</v>
      </c>
      <c r="I499" s="12" t="s">
        <v>621</v>
      </c>
      <c r="J499" s="43">
        <v>45892</v>
      </c>
      <c r="K499" s="59">
        <v>15.005000000000001</v>
      </c>
      <c r="L499" s="49">
        <f t="shared" si="21"/>
        <v>15.005000000000001</v>
      </c>
      <c r="M499" s="48">
        <f t="shared" si="23"/>
        <v>761503.75</v>
      </c>
      <c r="N499" s="48">
        <v>50750</v>
      </c>
      <c r="O499" s="50">
        <v>9</v>
      </c>
      <c r="P499" s="50">
        <v>9</v>
      </c>
      <c r="Q499" s="51">
        <f t="shared" si="22"/>
        <v>898574.42499999993</v>
      </c>
      <c r="R499" s="48"/>
      <c r="S499" s="24" t="s">
        <v>624</v>
      </c>
      <c r="T499" s="43">
        <v>45899</v>
      </c>
      <c r="U499" s="43" t="s">
        <v>625</v>
      </c>
      <c r="V499" s="46" t="s">
        <v>33</v>
      </c>
      <c r="W499" s="54" t="s">
        <v>34</v>
      </c>
    </row>
    <row r="500" spans="1:23" s="27" customFormat="1" ht="34.950000000000003" customHeight="1" x14ac:dyDescent="0.25">
      <c r="A500" s="12">
        <f>SUBTOTAL(3,$B$2:B500)</f>
        <v>499</v>
      </c>
      <c r="B500" s="42">
        <v>216</v>
      </c>
      <c r="C500" s="43">
        <v>45900</v>
      </c>
      <c r="D500" s="42">
        <v>82509010002</v>
      </c>
      <c r="E500" s="44">
        <v>45901</v>
      </c>
      <c r="F500" s="45" t="s">
        <v>27</v>
      </c>
      <c r="G500" s="52" t="s">
        <v>88</v>
      </c>
      <c r="H500" s="46" t="s">
        <v>29</v>
      </c>
      <c r="I500" s="12" t="s">
        <v>621</v>
      </c>
      <c r="J500" s="43">
        <v>45892</v>
      </c>
      <c r="K500" s="59">
        <v>11.395</v>
      </c>
      <c r="L500" s="49">
        <f t="shared" si="21"/>
        <v>11.395</v>
      </c>
      <c r="M500" s="48">
        <f t="shared" si="23"/>
        <v>578296.25</v>
      </c>
      <c r="N500" s="48">
        <v>50750</v>
      </c>
      <c r="O500" s="50">
        <v>9</v>
      </c>
      <c r="P500" s="50">
        <v>9</v>
      </c>
      <c r="Q500" s="51">
        <f t="shared" si="22"/>
        <v>682389.57499999995</v>
      </c>
      <c r="R500" s="48"/>
      <c r="S500" s="24" t="s">
        <v>624</v>
      </c>
      <c r="T500" s="43">
        <v>45899</v>
      </c>
      <c r="U500" s="43" t="s">
        <v>625</v>
      </c>
      <c r="V500" s="46" t="s">
        <v>33</v>
      </c>
      <c r="W500" s="54" t="s">
        <v>34</v>
      </c>
    </row>
    <row r="501" spans="1:23" s="27" customFormat="1" ht="34.950000000000003" customHeight="1" x14ac:dyDescent="0.25">
      <c r="A501" s="12">
        <f>SUBTOTAL(3,$B$2:B501)</f>
        <v>500</v>
      </c>
      <c r="B501" s="42">
        <v>216</v>
      </c>
      <c r="C501" s="43">
        <v>45900</v>
      </c>
      <c r="D501" s="42">
        <v>82509010002</v>
      </c>
      <c r="E501" s="44">
        <v>45901</v>
      </c>
      <c r="F501" s="45" t="s">
        <v>27</v>
      </c>
      <c r="G501" s="52" t="s">
        <v>41</v>
      </c>
      <c r="H501" s="46" t="s">
        <v>29</v>
      </c>
      <c r="I501" s="12" t="s">
        <v>621</v>
      </c>
      <c r="J501" s="43">
        <v>45892</v>
      </c>
      <c r="K501" s="47">
        <v>11.305999999999999</v>
      </c>
      <c r="L501" s="49">
        <f t="shared" si="21"/>
        <v>11.305999999999999</v>
      </c>
      <c r="M501" s="48">
        <f t="shared" si="23"/>
        <v>573779.5</v>
      </c>
      <c r="N501" s="48">
        <v>50750</v>
      </c>
      <c r="O501" s="50">
        <v>9</v>
      </c>
      <c r="P501" s="50">
        <v>9</v>
      </c>
      <c r="Q501" s="51">
        <f t="shared" si="22"/>
        <v>677059.80999999994</v>
      </c>
      <c r="R501" s="48"/>
      <c r="S501" s="24" t="s">
        <v>624</v>
      </c>
      <c r="T501" s="43">
        <v>45899</v>
      </c>
      <c r="U501" s="43" t="s">
        <v>625</v>
      </c>
      <c r="V501" s="46" t="s">
        <v>33</v>
      </c>
      <c r="W501" s="54" t="s">
        <v>34</v>
      </c>
    </row>
    <row r="502" spans="1:23" s="27" customFormat="1" ht="34.950000000000003" customHeight="1" x14ac:dyDescent="0.25">
      <c r="A502" s="12">
        <f>SUBTOTAL(3,$B$2:B502)</f>
        <v>501</v>
      </c>
      <c r="B502" s="42">
        <v>217</v>
      </c>
      <c r="C502" s="43">
        <v>45902</v>
      </c>
      <c r="D502" s="42">
        <v>82509030002</v>
      </c>
      <c r="E502" s="44">
        <v>45903</v>
      </c>
      <c r="F502" s="45" t="s">
        <v>626</v>
      </c>
      <c r="G502" s="52" t="s">
        <v>172</v>
      </c>
      <c r="H502" s="46" t="s">
        <v>155</v>
      </c>
      <c r="I502" s="12"/>
      <c r="J502" s="43"/>
      <c r="K502" s="47">
        <v>30</v>
      </c>
      <c r="L502" s="49">
        <f t="shared" si="21"/>
        <v>30</v>
      </c>
      <c r="M502" s="48">
        <f t="shared" si="23"/>
        <v>8580</v>
      </c>
      <c r="N502" s="48">
        <v>286</v>
      </c>
      <c r="O502" s="50">
        <v>14</v>
      </c>
      <c r="P502" s="50">
        <v>14</v>
      </c>
      <c r="Q502" s="51">
        <f t="shared" si="22"/>
        <v>10982.4</v>
      </c>
      <c r="R502" s="48"/>
      <c r="S502" s="24">
        <v>487</v>
      </c>
      <c r="T502" s="43">
        <v>45902</v>
      </c>
      <c r="U502" s="43" t="s">
        <v>627</v>
      </c>
      <c r="V502" s="46" t="s">
        <v>33</v>
      </c>
      <c r="W502" s="54" t="s">
        <v>34</v>
      </c>
    </row>
    <row r="503" spans="1:23" s="27" customFormat="1" ht="34.950000000000003" customHeight="1" x14ac:dyDescent="0.25">
      <c r="A503" s="12">
        <f>SUBTOTAL(3,$B$2:B503)</f>
        <v>502</v>
      </c>
      <c r="B503" s="42">
        <v>218</v>
      </c>
      <c r="C503" s="43">
        <v>45902</v>
      </c>
      <c r="D503" s="42">
        <v>82509030001</v>
      </c>
      <c r="E503" s="44">
        <v>45903</v>
      </c>
      <c r="F503" s="45" t="s">
        <v>35</v>
      </c>
      <c r="G503" s="52" t="s">
        <v>36</v>
      </c>
      <c r="H503" s="46" t="s">
        <v>37</v>
      </c>
      <c r="I503" s="12" t="s">
        <v>38</v>
      </c>
      <c r="J503" s="43">
        <v>45733</v>
      </c>
      <c r="K503" s="63">
        <v>5</v>
      </c>
      <c r="L503" s="49">
        <f t="shared" si="21"/>
        <v>5</v>
      </c>
      <c r="M503" s="48">
        <f t="shared" si="23"/>
        <v>16525.400000000001</v>
      </c>
      <c r="N503" s="48">
        <v>3305.08</v>
      </c>
      <c r="O503" s="50">
        <v>9</v>
      </c>
      <c r="P503" s="50">
        <v>9</v>
      </c>
      <c r="Q503" s="51">
        <f t="shared" si="22"/>
        <v>19499.972000000002</v>
      </c>
      <c r="R503" s="48"/>
      <c r="S503" s="24" t="s">
        <v>628</v>
      </c>
      <c r="T503" s="43">
        <v>45902</v>
      </c>
      <c r="U503" s="43" t="s">
        <v>97</v>
      </c>
      <c r="V503" s="46" t="s">
        <v>33</v>
      </c>
      <c r="W503" s="54" t="s">
        <v>34</v>
      </c>
    </row>
    <row r="504" spans="1:23" s="27" customFormat="1" ht="34.950000000000003" customHeight="1" x14ac:dyDescent="0.25">
      <c r="A504" s="12">
        <f>SUBTOTAL(3,$B$2:B504)</f>
        <v>503</v>
      </c>
      <c r="B504" s="42">
        <v>219</v>
      </c>
      <c r="C504" s="43">
        <v>45903</v>
      </c>
      <c r="D504" s="42">
        <v>82509040001</v>
      </c>
      <c r="E504" s="44">
        <v>45904</v>
      </c>
      <c r="F504" s="45" t="s">
        <v>35</v>
      </c>
      <c r="G504" s="52" t="s">
        <v>36</v>
      </c>
      <c r="H504" s="46" t="s">
        <v>37</v>
      </c>
      <c r="I504" s="12" t="s">
        <v>38</v>
      </c>
      <c r="J504" s="43">
        <v>45733</v>
      </c>
      <c r="K504" s="63">
        <v>5</v>
      </c>
      <c r="L504" s="49">
        <f t="shared" si="21"/>
        <v>5</v>
      </c>
      <c r="M504" s="48">
        <f t="shared" si="23"/>
        <v>16525.400000000001</v>
      </c>
      <c r="N504" s="48">
        <v>3305.08</v>
      </c>
      <c r="O504" s="50">
        <v>9</v>
      </c>
      <c r="P504" s="50">
        <v>9</v>
      </c>
      <c r="Q504" s="51">
        <f t="shared" si="22"/>
        <v>19499.972000000002</v>
      </c>
      <c r="R504" s="48"/>
      <c r="S504" s="24" t="s">
        <v>629</v>
      </c>
      <c r="T504" s="43">
        <v>45903</v>
      </c>
      <c r="U504" s="43" t="s">
        <v>492</v>
      </c>
      <c r="V504" s="46" t="s">
        <v>33</v>
      </c>
      <c r="W504" s="54" t="s">
        <v>34</v>
      </c>
    </row>
    <row r="505" spans="1:23" s="27" customFormat="1" ht="34.950000000000003" customHeight="1" x14ac:dyDescent="0.25">
      <c r="A505" s="12">
        <f>SUBTOTAL(3,$B$2:B505)</f>
        <v>504</v>
      </c>
      <c r="B505" s="42">
        <v>220</v>
      </c>
      <c r="C505" s="43">
        <v>45904</v>
      </c>
      <c r="D505" s="42">
        <v>82509050002</v>
      </c>
      <c r="E505" s="44">
        <v>45905</v>
      </c>
      <c r="F505" s="45" t="s">
        <v>35</v>
      </c>
      <c r="G505" s="52" t="s">
        <v>485</v>
      </c>
      <c r="H505" s="46" t="s">
        <v>37</v>
      </c>
      <c r="I505" s="12" t="s">
        <v>38</v>
      </c>
      <c r="J505" s="43">
        <v>45733</v>
      </c>
      <c r="K505" s="55">
        <v>7</v>
      </c>
      <c r="L505" s="49">
        <f t="shared" si="21"/>
        <v>7</v>
      </c>
      <c r="M505" s="48">
        <f t="shared" si="23"/>
        <v>35296.589999999997</v>
      </c>
      <c r="N505" s="48">
        <v>5042.37</v>
      </c>
      <c r="O505" s="50">
        <v>9</v>
      </c>
      <c r="P505" s="50">
        <v>9</v>
      </c>
      <c r="Q505" s="51">
        <f t="shared" si="22"/>
        <v>41649.97619999999</v>
      </c>
      <c r="R505" s="48"/>
      <c r="S505" s="64" t="s">
        <v>630</v>
      </c>
      <c r="T505" s="43">
        <v>45904</v>
      </c>
      <c r="U505" s="24" t="s">
        <v>101</v>
      </c>
      <c r="V505" s="46" t="s">
        <v>33</v>
      </c>
      <c r="W505" s="54" t="s">
        <v>34</v>
      </c>
    </row>
    <row r="506" spans="1:23" s="27" customFormat="1" ht="34.950000000000003" customHeight="1" x14ac:dyDescent="0.25">
      <c r="A506" s="12">
        <f>SUBTOTAL(3,$B$2:B506)</f>
        <v>505</v>
      </c>
      <c r="B506" s="42">
        <v>221</v>
      </c>
      <c r="C506" s="43">
        <v>45904</v>
      </c>
      <c r="D506" s="42">
        <v>82509050003</v>
      </c>
      <c r="E506" s="44">
        <v>45905</v>
      </c>
      <c r="F506" s="45" t="s">
        <v>35</v>
      </c>
      <c r="G506" s="53" t="s">
        <v>485</v>
      </c>
      <c r="H506" s="76" t="s">
        <v>37</v>
      </c>
      <c r="I506" s="12" t="s">
        <v>38</v>
      </c>
      <c r="J506" s="43">
        <v>45733</v>
      </c>
      <c r="K506" s="55">
        <v>7</v>
      </c>
      <c r="L506" s="49">
        <f t="shared" si="21"/>
        <v>7</v>
      </c>
      <c r="M506" s="48">
        <f t="shared" si="23"/>
        <v>35296.589999999997</v>
      </c>
      <c r="N506" s="48">
        <v>5042.37</v>
      </c>
      <c r="O506" s="50">
        <v>9</v>
      </c>
      <c r="P506" s="50">
        <v>9</v>
      </c>
      <c r="Q506" s="51">
        <f t="shared" si="22"/>
        <v>41649.97619999999</v>
      </c>
      <c r="R506" s="48"/>
      <c r="S506" s="64" t="s">
        <v>631</v>
      </c>
      <c r="T506" s="43">
        <v>45904</v>
      </c>
      <c r="U506" s="24" t="s">
        <v>40</v>
      </c>
      <c r="V506" s="46" t="s">
        <v>33</v>
      </c>
      <c r="W506" s="54" t="s">
        <v>34</v>
      </c>
    </row>
    <row r="507" spans="1:23" s="27" customFormat="1" ht="34.950000000000003" customHeight="1" x14ac:dyDescent="0.25">
      <c r="A507" s="12">
        <f>SUBTOTAL(3,$B$2:B507)</f>
        <v>506</v>
      </c>
      <c r="B507" s="42">
        <v>222</v>
      </c>
      <c r="C507" s="43">
        <v>45904</v>
      </c>
      <c r="D507" s="42">
        <v>82509050004</v>
      </c>
      <c r="E507" s="44">
        <v>45905</v>
      </c>
      <c r="F507" s="45" t="s">
        <v>35</v>
      </c>
      <c r="G507" s="82" t="s">
        <v>485</v>
      </c>
      <c r="H507" s="76" t="s">
        <v>37</v>
      </c>
      <c r="I507" s="12" t="s">
        <v>38</v>
      </c>
      <c r="J507" s="43">
        <v>45733</v>
      </c>
      <c r="K507" s="55">
        <v>7</v>
      </c>
      <c r="L507" s="49">
        <f t="shared" si="21"/>
        <v>7</v>
      </c>
      <c r="M507" s="48">
        <f t="shared" si="23"/>
        <v>35296.589999999997</v>
      </c>
      <c r="N507" s="48">
        <v>5042.37</v>
      </c>
      <c r="O507" s="50">
        <v>9</v>
      </c>
      <c r="P507" s="50">
        <v>9</v>
      </c>
      <c r="Q507" s="51">
        <f t="shared" si="22"/>
        <v>41649.97619999999</v>
      </c>
      <c r="R507" s="48"/>
      <c r="S507" s="64" t="s">
        <v>632</v>
      </c>
      <c r="T507" s="43">
        <v>45904</v>
      </c>
      <c r="U507" s="24" t="s">
        <v>97</v>
      </c>
      <c r="V507" s="46" t="s">
        <v>33</v>
      </c>
      <c r="W507" s="54" t="s">
        <v>34</v>
      </c>
    </row>
    <row r="508" spans="1:23" s="27" customFormat="1" ht="34.950000000000003" customHeight="1" x14ac:dyDescent="0.25">
      <c r="A508" s="12">
        <f>SUBTOTAL(3,$B$2:B508)</f>
        <v>507</v>
      </c>
      <c r="B508" s="42">
        <v>223</v>
      </c>
      <c r="C508" s="43">
        <v>45904</v>
      </c>
      <c r="D508" s="42">
        <v>82509050008</v>
      </c>
      <c r="E508" s="44">
        <v>45905</v>
      </c>
      <c r="F508" s="45" t="s">
        <v>35</v>
      </c>
      <c r="G508" s="71" t="s">
        <v>485</v>
      </c>
      <c r="H508" s="76" t="s">
        <v>37</v>
      </c>
      <c r="I508" s="12" t="s">
        <v>38</v>
      </c>
      <c r="J508" s="43">
        <v>45733</v>
      </c>
      <c r="K508" s="55">
        <v>7</v>
      </c>
      <c r="L508" s="49">
        <f t="shared" si="21"/>
        <v>7</v>
      </c>
      <c r="M508" s="48">
        <f t="shared" si="23"/>
        <v>35296.589999999997</v>
      </c>
      <c r="N508" s="48">
        <v>5042.37</v>
      </c>
      <c r="O508" s="50">
        <v>9</v>
      </c>
      <c r="P508" s="50">
        <v>9</v>
      </c>
      <c r="Q508" s="51">
        <f t="shared" si="22"/>
        <v>41649.97619999999</v>
      </c>
      <c r="R508" s="48"/>
      <c r="S508" s="64" t="s">
        <v>633</v>
      </c>
      <c r="T508" s="43">
        <v>45904</v>
      </c>
      <c r="U508" s="24" t="s">
        <v>40</v>
      </c>
      <c r="V508" s="46" t="s">
        <v>33</v>
      </c>
      <c r="W508" s="54" t="s">
        <v>34</v>
      </c>
    </row>
    <row r="509" spans="1:23" s="27" customFormat="1" ht="34.950000000000003" customHeight="1" x14ac:dyDescent="0.25">
      <c r="A509" s="12">
        <f>SUBTOTAL(3,$B$2:B509)</f>
        <v>508</v>
      </c>
      <c r="B509" s="42">
        <v>224</v>
      </c>
      <c r="C509" s="43">
        <v>45904</v>
      </c>
      <c r="D509" s="42">
        <v>82509050005</v>
      </c>
      <c r="E509" s="44">
        <v>45905</v>
      </c>
      <c r="F509" s="45" t="s">
        <v>35</v>
      </c>
      <c r="G509" s="71" t="s">
        <v>485</v>
      </c>
      <c r="H509" s="76" t="s">
        <v>37</v>
      </c>
      <c r="I509" s="12" t="s">
        <v>38</v>
      </c>
      <c r="J509" s="43">
        <v>45733</v>
      </c>
      <c r="K509" s="55">
        <v>7</v>
      </c>
      <c r="L509" s="49">
        <f t="shared" si="21"/>
        <v>7</v>
      </c>
      <c r="M509" s="48">
        <f t="shared" si="23"/>
        <v>35296.589999999997</v>
      </c>
      <c r="N509" s="48">
        <v>5042.37</v>
      </c>
      <c r="O509" s="50">
        <v>9</v>
      </c>
      <c r="P509" s="50">
        <v>9</v>
      </c>
      <c r="Q509" s="51">
        <f t="shared" si="22"/>
        <v>41649.97619999999</v>
      </c>
      <c r="R509" s="48"/>
      <c r="S509" s="64" t="s">
        <v>634</v>
      </c>
      <c r="T509" s="43">
        <v>45904</v>
      </c>
      <c r="U509" s="24" t="s">
        <v>101</v>
      </c>
      <c r="V509" s="46" t="s">
        <v>33</v>
      </c>
      <c r="W509" s="54" t="s">
        <v>34</v>
      </c>
    </row>
    <row r="510" spans="1:23" s="27" customFormat="1" ht="34.950000000000003" customHeight="1" x14ac:dyDescent="0.25">
      <c r="A510" s="12">
        <f>SUBTOTAL(3,$B$2:B510)</f>
        <v>509</v>
      </c>
      <c r="B510" s="42">
        <v>225</v>
      </c>
      <c r="C510" s="43">
        <v>45904</v>
      </c>
      <c r="D510" s="42">
        <v>82509050006</v>
      </c>
      <c r="E510" s="44">
        <v>45905</v>
      </c>
      <c r="F510" s="45" t="s">
        <v>35</v>
      </c>
      <c r="G510" s="71" t="s">
        <v>485</v>
      </c>
      <c r="H510" s="76" t="s">
        <v>37</v>
      </c>
      <c r="I510" s="12" t="s">
        <v>38</v>
      </c>
      <c r="J510" s="43">
        <v>45733</v>
      </c>
      <c r="K510" s="55">
        <v>7</v>
      </c>
      <c r="L510" s="49">
        <f t="shared" si="21"/>
        <v>7</v>
      </c>
      <c r="M510" s="48">
        <f t="shared" si="23"/>
        <v>35296.589999999997</v>
      </c>
      <c r="N510" s="48">
        <v>5042.37</v>
      </c>
      <c r="O510" s="50">
        <v>9</v>
      </c>
      <c r="P510" s="50">
        <v>9</v>
      </c>
      <c r="Q510" s="51">
        <f t="shared" si="22"/>
        <v>41649.97619999999</v>
      </c>
      <c r="R510" s="48"/>
      <c r="S510" s="64" t="s">
        <v>635</v>
      </c>
      <c r="T510" s="43">
        <v>45904</v>
      </c>
      <c r="U510" s="24" t="s">
        <v>230</v>
      </c>
      <c r="V510" s="46" t="s">
        <v>33</v>
      </c>
      <c r="W510" s="54" t="s">
        <v>34</v>
      </c>
    </row>
    <row r="511" spans="1:23" s="27" customFormat="1" ht="34.950000000000003" customHeight="1" x14ac:dyDescent="0.25">
      <c r="A511" s="12">
        <f>SUBTOTAL(3,$B$2:B511)</f>
        <v>510</v>
      </c>
      <c r="B511" s="42">
        <v>226</v>
      </c>
      <c r="C511" s="43">
        <v>45904</v>
      </c>
      <c r="D511" s="42">
        <v>82509050007</v>
      </c>
      <c r="E511" s="44">
        <v>45905</v>
      </c>
      <c r="F511" s="45" t="s">
        <v>35</v>
      </c>
      <c r="G511" s="53" t="s">
        <v>485</v>
      </c>
      <c r="H511" s="76" t="s">
        <v>37</v>
      </c>
      <c r="I511" s="12" t="s">
        <v>38</v>
      </c>
      <c r="J511" s="43">
        <v>45733</v>
      </c>
      <c r="K511" s="55">
        <v>3</v>
      </c>
      <c r="L511" s="49">
        <f t="shared" si="21"/>
        <v>3</v>
      </c>
      <c r="M511" s="48">
        <f t="shared" si="23"/>
        <v>15127.11</v>
      </c>
      <c r="N511" s="48">
        <v>5042.37</v>
      </c>
      <c r="O511" s="50">
        <v>9</v>
      </c>
      <c r="P511" s="50">
        <v>9</v>
      </c>
      <c r="Q511" s="51">
        <f t="shared" si="22"/>
        <v>17849.989799999999</v>
      </c>
      <c r="R511" s="48"/>
      <c r="S511" s="64" t="s">
        <v>636</v>
      </c>
      <c r="T511" s="43">
        <v>45904</v>
      </c>
      <c r="U511" s="24" t="s">
        <v>97</v>
      </c>
      <c r="V511" s="46" t="s">
        <v>33</v>
      </c>
      <c r="W511" s="54" t="s">
        <v>34</v>
      </c>
    </row>
    <row r="512" spans="1:23" s="27" customFormat="1" ht="34.950000000000003" customHeight="1" x14ac:dyDescent="0.25">
      <c r="A512" s="12">
        <f>SUBTOTAL(3,$B$2:B512)</f>
        <v>511</v>
      </c>
      <c r="B512" s="42">
        <v>227</v>
      </c>
      <c r="C512" s="43">
        <v>45905</v>
      </c>
      <c r="D512" s="42">
        <v>82509270002</v>
      </c>
      <c r="E512" s="44">
        <v>45927</v>
      </c>
      <c r="F512" s="45" t="s">
        <v>518</v>
      </c>
      <c r="G512" s="71" t="s">
        <v>637</v>
      </c>
      <c r="H512" s="76" t="s">
        <v>272</v>
      </c>
      <c r="I512" s="46"/>
      <c r="J512" s="43"/>
      <c r="K512" s="73">
        <v>100</v>
      </c>
      <c r="L512" s="49">
        <f t="shared" si="21"/>
        <v>100</v>
      </c>
      <c r="M512" s="48">
        <f t="shared" si="23"/>
        <v>11017</v>
      </c>
      <c r="N512" s="48">
        <v>110.17</v>
      </c>
      <c r="O512" s="50">
        <v>9</v>
      </c>
      <c r="P512" s="50">
        <v>9</v>
      </c>
      <c r="Q512" s="51">
        <f t="shared" si="22"/>
        <v>13000.06</v>
      </c>
      <c r="R512" s="48"/>
      <c r="S512" s="64">
        <v>551</v>
      </c>
      <c r="T512" s="43">
        <v>45901</v>
      </c>
      <c r="U512" s="24" t="s">
        <v>638</v>
      </c>
      <c r="V512" s="46" t="s">
        <v>33</v>
      </c>
      <c r="W512" s="54" t="s">
        <v>34</v>
      </c>
    </row>
    <row r="513" spans="1:23" s="27" customFormat="1" ht="34.950000000000003" customHeight="1" x14ac:dyDescent="0.25">
      <c r="A513" s="12">
        <f>SUBTOTAL(3,$B$2:B513)</f>
        <v>512</v>
      </c>
      <c r="B513" s="42">
        <v>228</v>
      </c>
      <c r="C513" s="43">
        <v>45905</v>
      </c>
      <c r="D513" s="42">
        <v>82509050001</v>
      </c>
      <c r="E513" s="43">
        <v>45905</v>
      </c>
      <c r="F513" s="45" t="s">
        <v>518</v>
      </c>
      <c r="G513" s="108" t="s">
        <v>65</v>
      </c>
      <c r="H513" s="76" t="s">
        <v>16</v>
      </c>
      <c r="I513" s="46"/>
      <c r="J513" s="43"/>
      <c r="K513" s="73">
        <v>52</v>
      </c>
      <c r="L513" s="49">
        <f t="shared" si="21"/>
        <v>52</v>
      </c>
      <c r="M513" s="48">
        <f t="shared" si="23"/>
        <v>2203.7600000000002</v>
      </c>
      <c r="N513" s="48">
        <v>42.38</v>
      </c>
      <c r="O513" s="50">
        <v>9</v>
      </c>
      <c r="P513" s="50">
        <v>9</v>
      </c>
      <c r="Q513" s="51">
        <f t="shared" si="22"/>
        <v>2600.4367999999999</v>
      </c>
      <c r="R513" s="48"/>
      <c r="S513" s="64">
        <v>552</v>
      </c>
      <c r="T513" s="43">
        <v>45901</v>
      </c>
      <c r="U513" s="24" t="s">
        <v>91</v>
      </c>
      <c r="V513" s="46" t="s">
        <v>247</v>
      </c>
      <c r="W513" s="54" t="s">
        <v>34</v>
      </c>
    </row>
    <row r="514" spans="1:23" s="27" customFormat="1" ht="34.950000000000003" customHeight="1" x14ac:dyDescent="0.25">
      <c r="A514" s="12">
        <f>SUBTOTAL(3,$B$2:B514)</f>
        <v>513</v>
      </c>
      <c r="B514" s="42">
        <v>229</v>
      </c>
      <c r="C514" s="43">
        <v>45905</v>
      </c>
      <c r="D514" s="42">
        <v>82509050011</v>
      </c>
      <c r="E514" s="43">
        <v>45905</v>
      </c>
      <c r="F514" s="45" t="s">
        <v>518</v>
      </c>
      <c r="G514" s="53" t="s">
        <v>639</v>
      </c>
      <c r="H514" s="76" t="s">
        <v>16</v>
      </c>
      <c r="I514" s="46"/>
      <c r="J514" s="43"/>
      <c r="K514" s="73">
        <v>500</v>
      </c>
      <c r="L514" s="49">
        <f t="shared" ref="L514:L577" si="24">K514</f>
        <v>500</v>
      </c>
      <c r="M514" s="48">
        <f t="shared" si="23"/>
        <v>500</v>
      </c>
      <c r="N514" s="48">
        <v>1</v>
      </c>
      <c r="O514" s="50"/>
      <c r="P514" s="50"/>
      <c r="Q514" s="51">
        <f t="shared" ref="Q514:Q577" si="25">IF(M514="","",M514*(1+(O514+P514)/100))</f>
        <v>500</v>
      </c>
      <c r="R514" s="48"/>
      <c r="S514" s="64" t="s">
        <v>640</v>
      </c>
      <c r="T514" s="43">
        <v>45903</v>
      </c>
      <c r="U514" s="24" t="s">
        <v>91</v>
      </c>
      <c r="V514" s="46" t="s">
        <v>247</v>
      </c>
      <c r="W514" s="54" t="s">
        <v>34</v>
      </c>
    </row>
    <row r="515" spans="1:23" s="27" customFormat="1" ht="34.950000000000003" customHeight="1" x14ac:dyDescent="0.25">
      <c r="A515" s="12">
        <f>SUBTOTAL(3,$B$2:B515)</f>
        <v>514</v>
      </c>
      <c r="B515" s="42">
        <v>230</v>
      </c>
      <c r="C515" s="43">
        <v>45905</v>
      </c>
      <c r="D515" s="42">
        <v>82509050009</v>
      </c>
      <c r="E515" s="43">
        <v>45905</v>
      </c>
      <c r="F515" s="45" t="s">
        <v>592</v>
      </c>
      <c r="G515" s="53" t="s">
        <v>639</v>
      </c>
      <c r="H515" s="76" t="s">
        <v>16</v>
      </c>
      <c r="I515" s="46"/>
      <c r="J515" s="43"/>
      <c r="K515" s="73">
        <v>200</v>
      </c>
      <c r="L515" s="49">
        <f t="shared" si="24"/>
        <v>200</v>
      </c>
      <c r="M515" s="48">
        <f t="shared" si="23"/>
        <v>200</v>
      </c>
      <c r="N515" s="48">
        <v>1</v>
      </c>
      <c r="O515" s="50"/>
      <c r="P515" s="50"/>
      <c r="Q515" s="51">
        <f t="shared" si="25"/>
        <v>200</v>
      </c>
      <c r="R515" s="48"/>
      <c r="S515" s="64" t="s">
        <v>641</v>
      </c>
      <c r="T515" s="43">
        <v>45904</v>
      </c>
      <c r="U515" s="24" t="s">
        <v>91</v>
      </c>
      <c r="V515" s="46" t="s">
        <v>247</v>
      </c>
      <c r="W515" s="54" t="s">
        <v>34</v>
      </c>
    </row>
    <row r="516" spans="1:23" s="27" customFormat="1" ht="34.950000000000003" customHeight="1" x14ac:dyDescent="0.25">
      <c r="A516" s="12">
        <f>SUBTOTAL(3,$B$2:B516)</f>
        <v>515</v>
      </c>
      <c r="B516" s="42">
        <v>231</v>
      </c>
      <c r="C516" s="43">
        <v>45905</v>
      </c>
      <c r="D516" s="42">
        <v>82509050010</v>
      </c>
      <c r="E516" s="43">
        <v>45905</v>
      </c>
      <c r="F516" s="45" t="s">
        <v>592</v>
      </c>
      <c r="G516" s="71" t="s">
        <v>639</v>
      </c>
      <c r="H516" s="76" t="s">
        <v>16</v>
      </c>
      <c r="I516" s="46"/>
      <c r="J516" s="43"/>
      <c r="K516" s="73">
        <v>300</v>
      </c>
      <c r="L516" s="49">
        <f t="shared" si="24"/>
        <v>300</v>
      </c>
      <c r="M516" s="48">
        <f t="shared" ref="M516:M579" si="26">L516*N516</f>
        <v>300</v>
      </c>
      <c r="N516" s="48">
        <v>1</v>
      </c>
      <c r="O516" s="50"/>
      <c r="P516" s="50"/>
      <c r="Q516" s="51">
        <f t="shared" si="25"/>
        <v>300</v>
      </c>
      <c r="R516" s="48"/>
      <c r="S516" s="64" t="s">
        <v>642</v>
      </c>
      <c r="T516" s="43">
        <v>45902</v>
      </c>
      <c r="U516" s="24" t="s">
        <v>91</v>
      </c>
      <c r="V516" s="46" t="s">
        <v>247</v>
      </c>
      <c r="W516" s="54" t="s">
        <v>34</v>
      </c>
    </row>
    <row r="517" spans="1:23" s="27" customFormat="1" ht="34.950000000000003" customHeight="1" x14ac:dyDescent="0.25">
      <c r="A517" s="12">
        <f>SUBTOTAL(3,$B$2:B517)</f>
        <v>516</v>
      </c>
      <c r="B517" s="42">
        <v>232</v>
      </c>
      <c r="C517" s="43">
        <v>45905</v>
      </c>
      <c r="D517" s="42">
        <v>82509050012</v>
      </c>
      <c r="E517" s="44">
        <v>45905</v>
      </c>
      <c r="F517" s="45" t="s">
        <v>35</v>
      </c>
      <c r="G517" s="82" t="s">
        <v>485</v>
      </c>
      <c r="H517" s="76" t="s">
        <v>37</v>
      </c>
      <c r="I517" s="12" t="s">
        <v>38</v>
      </c>
      <c r="J517" s="43">
        <v>45733</v>
      </c>
      <c r="K517" s="55">
        <v>1</v>
      </c>
      <c r="L517" s="49">
        <f t="shared" si="24"/>
        <v>1</v>
      </c>
      <c r="M517" s="48">
        <f t="shared" si="26"/>
        <v>5042.37</v>
      </c>
      <c r="N517" s="48">
        <v>5042.37</v>
      </c>
      <c r="O517" s="50">
        <v>9</v>
      </c>
      <c r="P517" s="50">
        <v>9</v>
      </c>
      <c r="Q517" s="51">
        <f t="shared" si="25"/>
        <v>5949.9965999999995</v>
      </c>
      <c r="R517" s="48"/>
      <c r="S517" s="64" t="s">
        <v>643</v>
      </c>
      <c r="T517" s="43">
        <v>45905</v>
      </c>
      <c r="U517" s="24" t="s">
        <v>101</v>
      </c>
      <c r="V517" s="46" t="s">
        <v>33</v>
      </c>
      <c r="W517" s="54" t="s">
        <v>34</v>
      </c>
    </row>
    <row r="518" spans="1:23" s="27" customFormat="1" ht="34.950000000000003" customHeight="1" x14ac:dyDescent="0.25">
      <c r="A518" s="12">
        <f>SUBTOTAL(3,$B$2:B518)</f>
        <v>517</v>
      </c>
      <c r="B518" s="42">
        <v>233</v>
      </c>
      <c r="C518" s="43">
        <v>45905</v>
      </c>
      <c r="D518" s="42">
        <v>82510060006</v>
      </c>
      <c r="E518" s="43">
        <v>45936</v>
      </c>
      <c r="F518" s="45" t="s">
        <v>644</v>
      </c>
      <c r="G518" s="71" t="s">
        <v>645</v>
      </c>
      <c r="H518" s="76" t="s">
        <v>478</v>
      </c>
      <c r="I518" s="46"/>
      <c r="J518" s="43"/>
      <c r="K518" s="73">
        <v>41.77</v>
      </c>
      <c r="L518" s="49">
        <f t="shared" si="24"/>
        <v>41.77</v>
      </c>
      <c r="M518" s="48">
        <f t="shared" si="26"/>
        <v>3999.8952000000004</v>
      </c>
      <c r="N518" s="48">
        <v>95.76</v>
      </c>
      <c r="O518" s="50"/>
      <c r="P518" s="50"/>
      <c r="Q518" s="51">
        <f t="shared" si="25"/>
        <v>3999.8952000000004</v>
      </c>
      <c r="R518" s="48"/>
      <c r="S518" s="64">
        <v>38871</v>
      </c>
      <c r="T518" s="43">
        <v>45905</v>
      </c>
      <c r="U518" s="24" t="s">
        <v>638</v>
      </c>
      <c r="V518" s="46" t="s">
        <v>247</v>
      </c>
      <c r="W518" s="54" t="s">
        <v>367</v>
      </c>
    </row>
    <row r="519" spans="1:23" s="27" customFormat="1" ht="34.950000000000003" customHeight="1" x14ac:dyDescent="0.35">
      <c r="A519" s="12">
        <f>SUBTOTAL(3,$B$2:B519)</f>
        <v>518</v>
      </c>
      <c r="B519" s="42">
        <v>234</v>
      </c>
      <c r="C519" s="43">
        <v>45908</v>
      </c>
      <c r="D519" s="42">
        <v>82509090001</v>
      </c>
      <c r="E519" s="44">
        <v>45909</v>
      </c>
      <c r="F519" s="45" t="s">
        <v>35</v>
      </c>
      <c r="G519" s="53" t="s">
        <v>485</v>
      </c>
      <c r="H519" s="72" t="s">
        <v>37</v>
      </c>
      <c r="I519" s="12" t="s">
        <v>38</v>
      </c>
      <c r="J519" s="43">
        <v>45733</v>
      </c>
      <c r="K519" s="55">
        <v>7</v>
      </c>
      <c r="L519" s="49">
        <f t="shared" si="24"/>
        <v>7</v>
      </c>
      <c r="M519" s="48">
        <f t="shared" si="26"/>
        <v>35296.589999999997</v>
      </c>
      <c r="N519" s="48">
        <v>5042.37</v>
      </c>
      <c r="O519" s="50">
        <v>9</v>
      </c>
      <c r="P519" s="50">
        <v>9</v>
      </c>
      <c r="Q519" s="51">
        <f t="shared" si="25"/>
        <v>41649.97619999999</v>
      </c>
      <c r="R519" s="48"/>
      <c r="S519" s="64" t="s">
        <v>646</v>
      </c>
      <c r="T519" s="43">
        <v>45908</v>
      </c>
      <c r="U519" s="24" t="s">
        <v>230</v>
      </c>
      <c r="V519" s="46" t="s">
        <v>33</v>
      </c>
      <c r="W519" s="54" t="s">
        <v>34</v>
      </c>
    </row>
    <row r="520" spans="1:23" s="27" customFormat="1" ht="34.950000000000003" customHeight="1" x14ac:dyDescent="0.35">
      <c r="A520" s="12">
        <f>SUBTOTAL(3,$B$2:B520)</f>
        <v>519</v>
      </c>
      <c r="B520" s="42">
        <v>235</v>
      </c>
      <c r="C520" s="43">
        <v>45908</v>
      </c>
      <c r="D520" s="42">
        <v>82509090002</v>
      </c>
      <c r="E520" s="44">
        <v>45909</v>
      </c>
      <c r="F520" s="45" t="s">
        <v>35</v>
      </c>
      <c r="G520" s="53" t="s">
        <v>485</v>
      </c>
      <c r="H520" s="72" t="s">
        <v>37</v>
      </c>
      <c r="I520" s="12" t="s">
        <v>38</v>
      </c>
      <c r="J520" s="43">
        <v>45733</v>
      </c>
      <c r="K520" s="55">
        <v>7</v>
      </c>
      <c r="L520" s="49">
        <f t="shared" si="24"/>
        <v>7</v>
      </c>
      <c r="M520" s="48">
        <f t="shared" si="26"/>
        <v>35296.589999999997</v>
      </c>
      <c r="N520" s="48">
        <v>5042.37</v>
      </c>
      <c r="O520" s="50">
        <v>9</v>
      </c>
      <c r="P520" s="50">
        <v>9</v>
      </c>
      <c r="Q520" s="51">
        <f t="shared" si="25"/>
        <v>41649.97619999999</v>
      </c>
      <c r="R520" s="48"/>
      <c r="S520" s="64" t="s">
        <v>647</v>
      </c>
      <c r="T520" s="43">
        <v>45908</v>
      </c>
      <c r="U520" s="24" t="s">
        <v>101</v>
      </c>
      <c r="V520" s="46" t="s">
        <v>33</v>
      </c>
      <c r="W520" s="54" t="s">
        <v>34</v>
      </c>
    </row>
    <row r="521" spans="1:23" s="27" customFormat="1" ht="34.950000000000003" customHeight="1" x14ac:dyDescent="0.35">
      <c r="A521" s="12">
        <f>SUBTOTAL(3,$B$2:B521)</f>
        <v>520</v>
      </c>
      <c r="B521" s="42">
        <v>236</v>
      </c>
      <c r="C521" s="43">
        <v>45908</v>
      </c>
      <c r="D521" s="42">
        <v>82509090003</v>
      </c>
      <c r="E521" s="44">
        <v>45909</v>
      </c>
      <c r="F521" s="45" t="s">
        <v>35</v>
      </c>
      <c r="G521" s="53" t="s">
        <v>485</v>
      </c>
      <c r="H521" s="72" t="s">
        <v>37</v>
      </c>
      <c r="I521" s="12" t="s">
        <v>38</v>
      </c>
      <c r="J521" s="43">
        <v>45733</v>
      </c>
      <c r="K521" s="55">
        <v>7</v>
      </c>
      <c r="L521" s="49">
        <f t="shared" si="24"/>
        <v>7</v>
      </c>
      <c r="M521" s="48">
        <f t="shared" si="26"/>
        <v>35296.589999999997</v>
      </c>
      <c r="N521" s="48">
        <v>5042.37</v>
      </c>
      <c r="O521" s="50">
        <v>9</v>
      </c>
      <c r="P521" s="50">
        <v>9</v>
      </c>
      <c r="Q521" s="51">
        <f t="shared" si="25"/>
        <v>41649.97619999999</v>
      </c>
      <c r="R521" s="48"/>
      <c r="S521" s="64" t="s">
        <v>648</v>
      </c>
      <c r="T521" s="43">
        <v>45908</v>
      </c>
      <c r="U521" s="24" t="s">
        <v>40</v>
      </c>
      <c r="V521" s="46" t="s">
        <v>33</v>
      </c>
      <c r="W521" s="54" t="s">
        <v>34</v>
      </c>
    </row>
    <row r="522" spans="1:23" s="27" customFormat="1" ht="34.950000000000003" customHeight="1" x14ac:dyDescent="0.25">
      <c r="A522" s="12">
        <f>SUBTOTAL(3,$B$2:B522)</f>
        <v>521</v>
      </c>
      <c r="B522" s="42">
        <v>237</v>
      </c>
      <c r="C522" s="43">
        <v>45908</v>
      </c>
      <c r="D522" s="42">
        <v>82509090004</v>
      </c>
      <c r="E522" s="44">
        <v>45909</v>
      </c>
      <c r="F522" s="45" t="s">
        <v>35</v>
      </c>
      <c r="G522" s="71" t="s">
        <v>485</v>
      </c>
      <c r="H522" s="76" t="s">
        <v>37</v>
      </c>
      <c r="I522" s="12" t="s">
        <v>38</v>
      </c>
      <c r="J522" s="43">
        <v>45733</v>
      </c>
      <c r="K522" s="55">
        <v>7</v>
      </c>
      <c r="L522" s="49">
        <f t="shared" si="24"/>
        <v>7</v>
      </c>
      <c r="M522" s="48">
        <f t="shared" si="26"/>
        <v>35296.589999999997</v>
      </c>
      <c r="N522" s="48">
        <v>5042.37</v>
      </c>
      <c r="O522" s="50">
        <v>9</v>
      </c>
      <c r="P522" s="50">
        <v>9</v>
      </c>
      <c r="Q522" s="51">
        <f t="shared" si="25"/>
        <v>41649.97619999999</v>
      </c>
      <c r="R522" s="48"/>
      <c r="S522" s="64" t="s">
        <v>649</v>
      </c>
      <c r="T522" s="43">
        <v>45908</v>
      </c>
      <c r="U522" s="24" t="s">
        <v>97</v>
      </c>
      <c r="V522" s="46" t="s">
        <v>33</v>
      </c>
      <c r="W522" s="54" t="s">
        <v>34</v>
      </c>
    </row>
    <row r="523" spans="1:23" s="27" customFormat="1" ht="34.950000000000003" customHeight="1" x14ac:dyDescent="0.35">
      <c r="A523" s="12">
        <f>SUBTOTAL(3,$B$2:B523)</f>
        <v>522</v>
      </c>
      <c r="B523" s="42">
        <v>238</v>
      </c>
      <c r="C523" s="43">
        <v>45908</v>
      </c>
      <c r="D523" s="42">
        <v>82509090005</v>
      </c>
      <c r="E523" s="44">
        <v>45909</v>
      </c>
      <c r="F523" s="45" t="s">
        <v>35</v>
      </c>
      <c r="G523" s="53" t="s">
        <v>485</v>
      </c>
      <c r="H523" s="72" t="s">
        <v>37</v>
      </c>
      <c r="I523" s="12" t="s">
        <v>38</v>
      </c>
      <c r="J523" s="43">
        <v>45733</v>
      </c>
      <c r="K523" s="55">
        <v>7</v>
      </c>
      <c r="L523" s="49">
        <f t="shared" si="24"/>
        <v>7</v>
      </c>
      <c r="M523" s="48">
        <f t="shared" si="26"/>
        <v>35296.589999999997</v>
      </c>
      <c r="N523" s="48">
        <v>5042.37</v>
      </c>
      <c r="O523" s="50">
        <v>9</v>
      </c>
      <c r="P523" s="50">
        <v>9</v>
      </c>
      <c r="Q523" s="51">
        <f t="shared" si="25"/>
        <v>41649.97619999999</v>
      </c>
      <c r="R523" s="48"/>
      <c r="S523" s="64" t="s">
        <v>650</v>
      </c>
      <c r="T523" s="43">
        <v>45908</v>
      </c>
      <c r="U523" s="24" t="s">
        <v>99</v>
      </c>
      <c r="V523" s="46" t="s">
        <v>33</v>
      </c>
      <c r="W523" s="54" t="s">
        <v>34</v>
      </c>
    </row>
    <row r="524" spans="1:23" s="27" customFormat="1" ht="34.950000000000003" customHeight="1" x14ac:dyDescent="0.25">
      <c r="A524" s="12">
        <f>SUBTOTAL(3,$B$2:B524)</f>
        <v>523</v>
      </c>
      <c r="B524" s="42">
        <v>239</v>
      </c>
      <c r="C524" s="43">
        <v>45908</v>
      </c>
      <c r="D524" s="42">
        <v>82509090006</v>
      </c>
      <c r="E524" s="44">
        <v>45909</v>
      </c>
      <c r="F524" s="45" t="s">
        <v>35</v>
      </c>
      <c r="G524" s="71" t="s">
        <v>485</v>
      </c>
      <c r="H524" s="76" t="s">
        <v>37</v>
      </c>
      <c r="I524" s="12" t="s">
        <v>38</v>
      </c>
      <c r="J524" s="43">
        <v>45733</v>
      </c>
      <c r="K524" s="55">
        <v>7</v>
      </c>
      <c r="L524" s="49">
        <f t="shared" si="24"/>
        <v>7</v>
      </c>
      <c r="M524" s="48">
        <f t="shared" si="26"/>
        <v>35296.589999999997</v>
      </c>
      <c r="N524" s="48">
        <v>5042.37</v>
      </c>
      <c r="O524" s="50">
        <v>9</v>
      </c>
      <c r="P524" s="50">
        <v>9</v>
      </c>
      <c r="Q524" s="51">
        <f t="shared" si="25"/>
        <v>41649.97619999999</v>
      </c>
      <c r="R524" s="48"/>
      <c r="S524" s="64" t="s">
        <v>651</v>
      </c>
      <c r="T524" s="43">
        <v>45908</v>
      </c>
      <c r="U524" s="24" t="s">
        <v>230</v>
      </c>
      <c r="V524" s="46" t="s">
        <v>33</v>
      </c>
      <c r="W524" s="54" t="s">
        <v>34</v>
      </c>
    </row>
    <row r="525" spans="1:23" s="27" customFormat="1" ht="34.950000000000003" customHeight="1" x14ac:dyDescent="0.25">
      <c r="A525" s="12">
        <f>SUBTOTAL(3,$B$2:B525)</f>
        <v>524</v>
      </c>
      <c r="B525" s="42">
        <v>240</v>
      </c>
      <c r="C525" s="43">
        <v>45908</v>
      </c>
      <c r="D525" s="42">
        <v>82509090007</v>
      </c>
      <c r="E525" s="44">
        <v>45909</v>
      </c>
      <c r="F525" s="45" t="s">
        <v>35</v>
      </c>
      <c r="G525" s="71" t="s">
        <v>485</v>
      </c>
      <c r="H525" s="76" t="s">
        <v>37</v>
      </c>
      <c r="I525" s="12" t="s">
        <v>38</v>
      </c>
      <c r="J525" s="43">
        <v>45733</v>
      </c>
      <c r="K525" s="55">
        <v>7</v>
      </c>
      <c r="L525" s="49">
        <f t="shared" si="24"/>
        <v>7</v>
      </c>
      <c r="M525" s="48">
        <f t="shared" si="26"/>
        <v>35296.589999999997</v>
      </c>
      <c r="N525" s="48">
        <v>5042.37</v>
      </c>
      <c r="O525" s="50">
        <v>9</v>
      </c>
      <c r="P525" s="50">
        <v>9</v>
      </c>
      <c r="Q525" s="51">
        <f t="shared" si="25"/>
        <v>41649.97619999999</v>
      </c>
      <c r="R525" s="48"/>
      <c r="S525" s="64" t="s">
        <v>652</v>
      </c>
      <c r="T525" s="43">
        <v>45908</v>
      </c>
      <c r="U525" s="24" t="s">
        <v>101</v>
      </c>
      <c r="V525" s="46" t="s">
        <v>33</v>
      </c>
      <c r="W525" s="54" t="s">
        <v>34</v>
      </c>
    </row>
    <row r="526" spans="1:23" s="27" customFormat="1" ht="34.950000000000003" customHeight="1" x14ac:dyDescent="0.25">
      <c r="A526" s="12">
        <f>SUBTOTAL(3,$B$2:B526)</f>
        <v>525</v>
      </c>
      <c r="B526" s="42">
        <v>241</v>
      </c>
      <c r="C526" s="43">
        <v>45908</v>
      </c>
      <c r="D526" s="42">
        <v>82509090008</v>
      </c>
      <c r="E526" s="44">
        <v>45909</v>
      </c>
      <c r="F526" s="45" t="s">
        <v>35</v>
      </c>
      <c r="G526" s="71" t="s">
        <v>485</v>
      </c>
      <c r="H526" s="76" t="s">
        <v>37</v>
      </c>
      <c r="I526" s="12" t="s">
        <v>38</v>
      </c>
      <c r="J526" s="43">
        <v>45733</v>
      </c>
      <c r="K526" s="55">
        <v>7</v>
      </c>
      <c r="L526" s="49">
        <f t="shared" si="24"/>
        <v>7</v>
      </c>
      <c r="M526" s="48">
        <f t="shared" si="26"/>
        <v>35296.589999999997</v>
      </c>
      <c r="N526" s="48">
        <v>5042.37</v>
      </c>
      <c r="O526" s="50">
        <v>9</v>
      </c>
      <c r="P526" s="50">
        <v>9</v>
      </c>
      <c r="Q526" s="51">
        <f t="shared" si="25"/>
        <v>41649.97619999999</v>
      </c>
      <c r="R526" s="48"/>
      <c r="S526" s="64" t="s">
        <v>653</v>
      </c>
      <c r="T526" s="43">
        <v>45908</v>
      </c>
      <c r="U526" s="24" t="s">
        <v>40</v>
      </c>
      <c r="V526" s="46" t="s">
        <v>33</v>
      </c>
      <c r="W526" s="54" t="s">
        <v>34</v>
      </c>
    </row>
    <row r="527" spans="1:23" s="27" customFormat="1" ht="34.950000000000003" customHeight="1" x14ac:dyDescent="0.25">
      <c r="A527" s="12">
        <f>SUBTOTAL(3,$B$2:B527)</f>
        <v>526</v>
      </c>
      <c r="B527" s="42">
        <v>242</v>
      </c>
      <c r="C527" s="43">
        <v>45908</v>
      </c>
      <c r="D527" s="42">
        <v>82509090009</v>
      </c>
      <c r="E527" s="44">
        <v>45909</v>
      </c>
      <c r="F527" s="45" t="s">
        <v>35</v>
      </c>
      <c r="G527" s="71" t="s">
        <v>485</v>
      </c>
      <c r="H527" s="76" t="s">
        <v>37</v>
      </c>
      <c r="I527" s="12" t="s">
        <v>38</v>
      </c>
      <c r="J527" s="43">
        <v>45733</v>
      </c>
      <c r="K527" s="55">
        <v>7</v>
      </c>
      <c r="L527" s="49">
        <f t="shared" si="24"/>
        <v>7</v>
      </c>
      <c r="M527" s="48">
        <f t="shared" si="26"/>
        <v>35296.589999999997</v>
      </c>
      <c r="N527" s="48">
        <v>5042.37</v>
      </c>
      <c r="O527" s="50">
        <v>9</v>
      </c>
      <c r="P527" s="50">
        <v>9</v>
      </c>
      <c r="Q527" s="51">
        <f t="shared" si="25"/>
        <v>41649.97619999999</v>
      </c>
      <c r="R527" s="48"/>
      <c r="S527" s="64" t="s">
        <v>654</v>
      </c>
      <c r="T527" s="43">
        <v>45908</v>
      </c>
      <c r="U527" s="24" t="s">
        <v>97</v>
      </c>
      <c r="V527" s="46" t="s">
        <v>33</v>
      </c>
      <c r="W527" s="54" t="s">
        <v>34</v>
      </c>
    </row>
    <row r="528" spans="1:23" s="27" customFormat="1" ht="34.950000000000003" customHeight="1" x14ac:dyDescent="0.25">
      <c r="A528" s="12">
        <f>SUBTOTAL(3,$B$2:B528)</f>
        <v>527</v>
      </c>
      <c r="B528" s="42">
        <v>243</v>
      </c>
      <c r="C528" s="43">
        <v>45908</v>
      </c>
      <c r="D528" s="42">
        <v>82509270001</v>
      </c>
      <c r="E528" s="43">
        <v>45927</v>
      </c>
      <c r="F528" s="45" t="s">
        <v>619</v>
      </c>
      <c r="G528" s="71" t="s">
        <v>655</v>
      </c>
      <c r="H528" s="76" t="s">
        <v>16</v>
      </c>
      <c r="I528" s="46"/>
      <c r="J528" s="43"/>
      <c r="K528" s="73">
        <v>1</v>
      </c>
      <c r="L528" s="49">
        <f t="shared" si="24"/>
        <v>1</v>
      </c>
      <c r="M528" s="48">
        <f t="shared" si="26"/>
        <v>5600</v>
      </c>
      <c r="N528" s="48">
        <v>5600</v>
      </c>
      <c r="O528" s="50">
        <v>9</v>
      </c>
      <c r="P528" s="50">
        <v>9</v>
      </c>
      <c r="Q528" s="51">
        <f t="shared" si="25"/>
        <v>6608</v>
      </c>
      <c r="R528" s="48"/>
      <c r="S528" s="64">
        <v>127</v>
      </c>
      <c r="T528" s="43">
        <v>45908</v>
      </c>
      <c r="U528" s="24" t="s">
        <v>91</v>
      </c>
      <c r="V528" s="46" t="s">
        <v>247</v>
      </c>
      <c r="W528" s="54" t="s">
        <v>179</v>
      </c>
    </row>
    <row r="529" spans="1:23" s="27" customFormat="1" ht="34.950000000000003" customHeight="1" x14ac:dyDescent="0.25">
      <c r="A529" s="12">
        <f>SUBTOTAL(3,$B$2:B529)</f>
        <v>528</v>
      </c>
      <c r="B529" s="42">
        <v>243</v>
      </c>
      <c r="C529" s="43">
        <v>45908</v>
      </c>
      <c r="D529" s="42">
        <v>82509270001</v>
      </c>
      <c r="E529" s="43">
        <v>45927</v>
      </c>
      <c r="F529" s="45" t="s">
        <v>619</v>
      </c>
      <c r="G529" s="71" t="s">
        <v>656</v>
      </c>
      <c r="H529" s="76" t="s">
        <v>16</v>
      </c>
      <c r="I529" s="46"/>
      <c r="J529" s="43"/>
      <c r="K529" s="73">
        <v>1</v>
      </c>
      <c r="L529" s="49">
        <f t="shared" si="24"/>
        <v>1</v>
      </c>
      <c r="M529" s="48">
        <f t="shared" si="26"/>
        <v>3800</v>
      </c>
      <c r="N529" s="48">
        <v>3800</v>
      </c>
      <c r="O529" s="50">
        <v>9</v>
      </c>
      <c r="P529" s="50">
        <v>9</v>
      </c>
      <c r="Q529" s="51">
        <f t="shared" si="25"/>
        <v>4484</v>
      </c>
      <c r="R529" s="48"/>
      <c r="S529" s="64">
        <v>127</v>
      </c>
      <c r="T529" s="43">
        <v>45908</v>
      </c>
      <c r="U529" s="24" t="s">
        <v>91</v>
      </c>
      <c r="V529" s="46" t="s">
        <v>247</v>
      </c>
      <c r="W529" s="54" t="s">
        <v>34</v>
      </c>
    </row>
    <row r="530" spans="1:23" s="27" customFormat="1" ht="34.950000000000003" customHeight="1" x14ac:dyDescent="0.25">
      <c r="A530" s="12">
        <f>SUBTOTAL(3,$B$2:B530)</f>
        <v>529</v>
      </c>
      <c r="B530" s="42">
        <v>244</v>
      </c>
      <c r="C530" s="43">
        <v>45908</v>
      </c>
      <c r="D530" s="42">
        <v>82509260001</v>
      </c>
      <c r="E530" s="43">
        <v>45926</v>
      </c>
      <c r="F530" s="45" t="s">
        <v>619</v>
      </c>
      <c r="G530" s="71" t="s">
        <v>657</v>
      </c>
      <c r="H530" s="76" t="s">
        <v>16</v>
      </c>
      <c r="I530" s="46"/>
      <c r="J530" s="43"/>
      <c r="K530" s="73">
        <v>2</v>
      </c>
      <c r="L530" s="49">
        <f t="shared" si="24"/>
        <v>2</v>
      </c>
      <c r="M530" s="48">
        <f t="shared" si="26"/>
        <v>300</v>
      </c>
      <c r="N530" s="48">
        <v>150</v>
      </c>
      <c r="O530" s="50">
        <v>9</v>
      </c>
      <c r="P530" s="50">
        <v>9</v>
      </c>
      <c r="Q530" s="51">
        <f t="shared" si="25"/>
        <v>354</v>
      </c>
      <c r="R530" s="48"/>
      <c r="S530" s="64">
        <v>126</v>
      </c>
      <c r="T530" s="43">
        <v>45908</v>
      </c>
      <c r="U530" s="24" t="s">
        <v>91</v>
      </c>
      <c r="V530" s="46" t="s">
        <v>247</v>
      </c>
      <c r="W530" s="54" t="s">
        <v>34</v>
      </c>
    </row>
    <row r="531" spans="1:23" s="27" customFormat="1" ht="34.950000000000003" customHeight="1" x14ac:dyDescent="0.25">
      <c r="A531" s="12">
        <f>SUBTOTAL(3,$B$2:B531)</f>
        <v>530</v>
      </c>
      <c r="B531" s="42">
        <v>245</v>
      </c>
      <c r="C531" s="43">
        <v>45913</v>
      </c>
      <c r="D531" s="42">
        <v>82509180003</v>
      </c>
      <c r="E531" s="44">
        <v>45918</v>
      </c>
      <c r="F531" s="45" t="s">
        <v>35</v>
      </c>
      <c r="G531" s="71" t="s">
        <v>485</v>
      </c>
      <c r="H531" s="76" t="s">
        <v>37</v>
      </c>
      <c r="I531" s="12" t="s">
        <v>38</v>
      </c>
      <c r="J531" s="43">
        <v>45733</v>
      </c>
      <c r="K531" s="55">
        <v>7</v>
      </c>
      <c r="L531" s="49">
        <f t="shared" si="24"/>
        <v>7</v>
      </c>
      <c r="M531" s="48">
        <f t="shared" si="26"/>
        <v>35296.589999999997</v>
      </c>
      <c r="N531" s="48">
        <v>5042.37</v>
      </c>
      <c r="O531" s="50">
        <v>9</v>
      </c>
      <c r="P531" s="50">
        <v>9</v>
      </c>
      <c r="Q531" s="51">
        <f t="shared" si="25"/>
        <v>41649.97619999999</v>
      </c>
      <c r="R531" s="48"/>
      <c r="S531" s="64" t="s">
        <v>658</v>
      </c>
      <c r="T531" s="43">
        <v>45913</v>
      </c>
      <c r="U531" s="24" t="s">
        <v>492</v>
      </c>
      <c r="V531" s="46" t="s">
        <v>33</v>
      </c>
      <c r="W531" s="54" t="s">
        <v>34</v>
      </c>
    </row>
    <row r="532" spans="1:23" s="27" customFormat="1" ht="34.950000000000003" customHeight="1" x14ac:dyDescent="0.25">
      <c r="A532" s="12">
        <f>SUBTOTAL(3,$B$2:B532)</f>
        <v>531</v>
      </c>
      <c r="B532" s="42">
        <v>246</v>
      </c>
      <c r="C532" s="43">
        <v>45913</v>
      </c>
      <c r="D532" s="42">
        <v>82509180001</v>
      </c>
      <c r="E532" s="44">
        <v>45918</v>
      </c>
      <c r="F532" s="45" t="s">
        <v>35</v>
      </c>
      <c r="G532" s="71" t="s">
        <v>485</v>
      </c>
      <c r="H532" s="76" t="s">
        <v>37</v>
      </c>
      <c r="I532" s="12" t="s">
        <v>38</v>
      </c>
      <c r="J532" s="43">
        <v>45733</v>
      </c>
      <c r="K532" s="55">
        <v>5</v>
      </c>
      <c r="L532" s="49">
        <f t="shared" si="24"/>
        <v>5</v>
      </c>
      <c r="M532" s="48">
        <f t="shared" si="26"/>
        <v>25211.85</v>
      </c>
      <c r="N532" s="48">
        <v>5042.37</v>
      </c>
      <c r="O532" s="50">
        <v>9</v>
      </c>
      <c r="P532" s="50">
        <v>9</v>
      </c>
      <c r="Q532" s="51">
        <f t="shared" si="25"/>
        <v>29749.982999999997</v>
      </c>
      <c r="R532" s="48"/>
      <c r="S532" s="64" t="s">
        <v>659</v>
      </c>
      <c r="T532" s="43">
        <v>45913</v>
      </c>
      <c r="U532" s="24" t="s">
        <v>40</v>
      </c>
      <c r="V532" s="46" t="s">
        <v>33</v>
      </c>
      <c r="W532" s="54" t="s">
        <v>34</v>
      </c>
    </row>
    <row r="533" spans="1:23" s="27" customFormat="1" ht="34.950000000000003" customHeight="1" x14ac:dyDescent="0.25">
      <c r="A533" s="12">
        <f>SUBTOTAL(3,$B$2:B533)</f>
        <v>532</v>
      </c>
      <c r="B533" s="42">
        <v>247</v>
      </c>
      <c r="C533" s="43">
        <v>45913</v>
      </c>
      <c r="D533" s="42">
        <v>82509180002</v>
      </c>
      <c r="E533" s="44">
        <v>45918</v>
      </c>
      <c r="F533" s="45" t="s">
        <v>35</v>
      </c>
      <c r="G533" s="71" t="s">
        <v>485</v>
      </c>
      <c r="H533" s="76" t="s">
        <v>37</v>
      </c>
      <c r="I533" s="12" t="s">
        <v>38</v>
      </c>
      <c r="J533" s="43">
        <v>45733</v>
      </c>
      <c r="K533" s="55">
        <v>2</v>
      </c>
      <c r="L533" s="49">
        <f t="shared" si="24"/>
        <v>2</v>
      </c>
      <c r="M533" s="48">
        <f t="shared" si="26"/>
        <v>10084.74</v>
      </c>
      <c r="N533" s="48">
        <v>5042.37</v>
      </c>
      <c r="O533" s="50">
        <v>9</v>
      </c>
      <c r="P533" s="50">
        <v>9</v>
      </c>
      <c r="Q533" s="51">
        <f t="shared" si="25"/>
        <v>11899.993199999999</v>
      </c>
      <c r="R533" s="48"/>
      <c r="S533" s="64" t="s">
        <v>660</v>
      </c>
      <c r="T533" s="43">
        <v>45913</v>
      </c>
      <c r="U533" s="24" t="s">
        <v>40</v>
      </c>
      <c r="V533" s="46" t="s">
        <v>33</v>
      </c>
      <c r="W533" s="54" t="s">
        <v>34</v>
      </c>
    </row>
    <row r="534" spans="1:23" s="27" customFormat="1" ht="34.950000000000003" customHeight="1" x14ac:dyDescent="0.25">
      <c r="A534" s="12">
        <f>SUBTOTAL(3,$B$2:B534)</f>
        <v>533</v>
      </c>
      <c r="B534" s="42">
        <v>248</v>
      </c>
      <c r="C534" s="43">
        <v>45913</v>
      </c>
      <c r="D534" s="42">
        <v>82509290001</v>
      </c>
      <c r="E534" s="44">
        <v>45929</v>
      </c>
      <c r="F534" s="45" t="s">
        <v>35</v>
      </c>
      <c r="G534" s="52" t="s">
        <v>485</v>
      </c>
      <c r="H534" s="46" t="s">
        <v>37</v>
      </c>
      <c r="I534" s="12" t="s">
        <v>38</v>
      </c>
      <c r="J534" s="43">
        <v>45733</v>
      </c>
      <c r="K534" s="63">
        <v>5</v>
      </c>
      <c r="L534" s="49">
        <f t="shared" si="24"/>
        <v>5</v>
      </c>
      <c r="M534" s="48">
        <f t="shared" si="26"/>
        <v>25211.85</v>
      </c>
      <c r="N534" s="48">
        <v>5042.37</v>
      </c>
      <c r="O534" s="50">
        <v>9</v>
      </c>
      <c r="P534" s="50">
        <v>9</v>
      </c>
      <c r="Q534" s="51">
        <f t="shared" si="25"/>
        <v>29749.982999999997</v>
      </c>
      <c r="R534" s="48"/>
      <c r="S534" s="24" t="s">
        <v>661</v>
      </c>
      <c r="T534" s="43">
        <v>45913</v>
      </c>
      <c r="U534" s="43" t="s">
        <v>97</v>
      </c>
      <c r="V534" s="46" t="s">
        <v>33</v>
      </c>
      <c r="W534" s="54" t="s">
        <v>34</v>
      </c>
    </row>
    <row r="535" spans="1:23" s="27" customFormat="1" ht="34.950000000000003" customHeight="1" x14ac:dyDescent="0.25">
      <c r="A535" s="12">
        <f>SUBTOTAL(3,$B$2:B535)</f>
        <v>534</v>
      </c>
      <c r="B535" s="42">
        <v>249</v>
      </c>
      <c r="C535" s="43">
        <v>45913</v>
      </c>
      <c r="D535" s="42">
        <v>82509290002</v>
      </c>
      <c r="E535" s="44">
        <v>45929</v>
      </c>
      <c r="F535" s="45" t="s">
        <v>35</v>
      </c>
      <c r="G535" s="52" t="s">
        <v>485</v>
      </c>
      <c r="H535" s="46" t="s">
        <v>37</v>
      </c>
      <c r="I535" s="12" t="s">
        <v>38</v>
      </c>
      <c r="J535" s="43">
        <v>45733</v>
      </c>
      <c r="K535" s="63">
        <v>2</v>
      </c>
      <c r="L535" s="49">
        <f t="shared" si="24"/>
        <v>2</v>
      </c>
      <c r="M535" s="48">
        <f t="shared" si="26"/>
        <v>10084.74</v>
      </c>
      <c r="N535" s="48">
        <v>5042.37</v>
      </c>
      <c r="O535" s="50">
        <v>9</v>
      </c>
      <c r="P535" s="50">
        <v>9</v>
      </c>
      <c r="Q535" s="51">
        <f t="shared" si="25"/>
        <v>11899.993199999999</v>
      </c>
      <c r="R535" s="48"/>
      <c r="S535" s="24" t="s">
        <v>662</v>
      </c>
      <c r="T535" s="43">
        <v>45913</v>
      </c>
      <c r="U535" s="43" t="s">
        <v>97</v>
      </c>
      <c r="V535" s="46" t="s">
        <v>33</v>
      </c>
      <c r="W535" s="54" t="s">
        <v>34</v>
      </c>
    </row>
    <row r="536" spans="1:23" s="27" customFormat="1" ht="34.950000000000003" customHeight="1" x14ac:dyDescent="0.25">
      <c r="A536" s="12">
        <f>SUBTOTAL(3,$B$2:B536)</f>
        <v>535</v>
      </c>
      <c r="B536" s="42">
        <v>250</v>
      </c>
      <c r="C536" s="43">
        <v>45914</v>
      </c>
      <c r="D536" s="42">
        <v>82509180004</v>
      </c>
      <c r="E536" s="44">
        <v>45918</v>
      </c>
      <c r="F536" s="45" t="s">
        <v>35</v>
      </c>
      <c r="G536" s="52" t="s">
        <v>485</v>
      </c>
      <c r="H536" s="46" t="s">
        <v>37</v>
      </c>
      <c r="I536" s="12" t="s">
        <v>38</v>
      </c>
      <c r="J536" s="43">
        <v>45733</v>
      </c>
      <c r="K536" s="63">
        <v>7</v>
      </c>
      <c r="L536" s="49">
        <f t="shared" si="24"/>
        <v>7</v>
      </c>
      <c r="M536" s="48">
        <f t="shared" si="26"/>
        <v>35296.589999999997</v>
      </c>
      <c r="N536" s="48">
        <v>5042.37</v>
      </c>
      <c r="O536" s="50">
        <v>9</v>
      </c>
      <c r="P536" s="50">
        <v>9</v>
      </c>
      <c r="Q536" s="51">
        <f t="shared" si="25"/>
        <v>41649.97619999999</v>
      </c>
      <c r="R536" s="48"/>
      <c r="S536" s="24" t="s">
        <v>663</v>
      </c>
      <c r="T536" s="43">
        <v>45914</v>
      </c>
      <c r="U536" s="43" t="s">
        <v>492</v>
      </c>
      <c r="V536" s="46" t="s">
        <v>33</v>
      </c>
      <c r="W536" s="54" t="s">
        <v>34</v>
      </c>
    </row>
    <row r="537" spans="1:23" s="27" customFormat="1" ht="34.950000000000003" customHeight="1" x14ac:dyDescent="0.25">
      <c r="A537" s="12">
        <f>SUBTOTAL(3,$B$2:B537)</f>
        <v>536</v>
      </c>
      <c r="B537" s="42">
        <v>251</v>
      </c>
      <c r="C537" s="43">
        <v>45914</v>
      </c>
      <c r="D537" s="42">
        <v>82509180007</v>
      </c>
      <c r="E537" s="44">
        <v>45918</v>
      </c>
      <c r="F537" s="79" t="s">
        <v>35</v>
      </c>
      <c r="G537" s="45" t="s">
        <v>485</v>
      </c>
      <c r="H537" s="46" t="s">
        <v>37</v>
      </c>
      <c r="I537" s="12" t="s">
        <v>38</v>
      </c>
      <c r="J537" s="43">
        <v>45733</v>
      </c>
      <c r="K537" s="104">
        <v>7</v>
      </c>
      <c r="L537" s="49">
        <f t="shared" si="24"/>
        <v>7</v>
      </c>
      <c r="M537" s="48">
        <f t="shared" si="26"/>
        <v>35296.589999999997</v>
      </c>
      <c r="N537" s="48">
        <v>5042.37</v>
      </c>
      <c r="O537" s="50">
        <v>9</v>
      </c>
      <c r="P537" s="50">
        <v>9</v>
      </c>
      <c r="Q537" s="51">
        <f t="shared" si="25"/>
        <v>41649.97619999999</v>
      </c>
      <c r="R537" s="48"/>
      <c r="S537" s="64" t="s">
        <v>664</v>
      </c>
      <c r="T537" s="43">
        <v>45914</v>
      </c>
      <c r="U537" s="24" t="s">
        <v>40</v>
      </c>
      <c r="V537" s="46" t="s">
        <v>33</v>
      </c>
      <c r="W537" s="54" t="s">
        <v>34</v>
      </c>
    </row>
    <row r="538" spans="1:23" s="27" customFormat="1" ht="34.950000000000003" customHeight="1" x14ac:dyDescent="0.25">
      <c r="A538" s="12">
        <f>SUBTOTAL(3,$B$2:B538)</f>
        <v>537</v>
      </c>
      <c r="B538" s="42">
        <v>252</v>
      </c>
      <c r="C538" s="43">
        <v>45914</v>
      </c>
      <c r="D538" s="42">
        <v>82509180012</v>
      </c>
      <c r="E538" s="44">
        <v>45918</v>
      </c>
      <c r="F538" s="45" t="s">
        <v>35</v>
      </c>
      <c r="G538" s="52" t="s">
        <v>485</v>
      </c>
      <c r="H538" s="46" t="s">
        <v>37</v>
      </c>
      <c r="I538" s="12" t="s">
        <v>38</v>
      </c>
      <c r="J538" s="43">
        <v>45733</v>
      </c>
      <c r="K538" s="63">
        <v>7</v>
      </c>
      <c r="L538" s="49">
        <f t="shared" si="24"/>
        <v>7</v>
      </c>
      <c r="M538" s="48">
        <f t="shared" si="26"/>
        <v>35296.589999999997</v>
      </c>
      <c r="N538" s="48">
        <v>5042.37</v>
      </c>
      <c r="O538" s="50">
        <v>9</v>
      </c>
      <c r="P538" s="50">
        <v>9</v>
      </c>
      <c r="Q538" s="51">
        <f t="shared" si="25"/>
        <v>41649.97619999999</v>
      </c>
      <c r="R538" s="48"/>
      <c r="S538" s="24" t="s">
        <v>665</v>
      </c>
      <c r="T538" s="43">
        <v>45914</v>
      </c>
      <c r="U538" s="43" t="s">
        <v>99</v>
      </c>
      <c r="V538" s="46" t="s">
        <v>33</v>
      </c>
      <c r="W538" s="54" t="s">
        <v>34</v>
      </c>
    </row>
    <row r="539" spans="1:23" s="27" customFormat="1" ht="34.950000000000003" customHeight="1" x14ac:dyDescent="0.25">
      <c r="A539" s="12">
        <f>SUBTOTAL(3,$B$2:B539)</f>
        <v>538</v>
      </c>
      <c r="B539" s="42">
        <v>253</v>
      </c>
      <c r="C539" s="43">
        <v>45914</v>
      </c>
      <c r="D539" s="42">
        <v>82509180005</v>
      </c>
      <c r="E539" s="44">
        <v>45918</v>
      </c>
      <c r="F539" s="45" t="s">
        <v>35</v>
      </c>
      <c r="G539" s="52" t="s">
        <v>485</v>
      </c>
      <c r="H539" s="46" t="s">
        <v>37</v>
      </c>
      <c r="I539" s="12" t="s">
        <v>38</v>
      </c>
      <c r="J539" s="43">
        <v>45733</v>
      </c>
      <c r="K539" s="63">
        <v>7</v>
      </c>
      <c r="L539" s="49">
        <f t="shared" si="24"/>
        <v>7</v>
      </c>
      <c r="M539" s="48">
        <f t="shared" si="26"/>
        <v>35296.589999999997</v>
      </c>
      <c r="N539" s="48">
        <v>5042.37</v>
      </c>
      <c r="O539" s="50">
        <v>9</v>
      </c>
      <c r="P539" s="50">
        <v>9</v>
      </c>
      <c r="Q539" s="51">
        <f t="shared" si="25"/>
        <v>41649.97619999999</v>
      </c>
      <c r="R539" s="48"/>
      <c r="S539" s="24" t="s">
        <v>666</v>
      </c>
      <c r="T539" s="43">
        <v>45914</v>
      </c>
      <c r="U539" s="43" t="s">
        <v>97</v>
      </c>
      <c r="V539" s="46" t="s">
        <v>33</v>
      </c>
      <c r="W539" s="54" t="s">
        <v>34</v>
      </c>
    </row>
    <row r="540" spans="1:23" s="27" customFormat="1" ht="34.950000000000003" customHeight="1" x14ac:dyDescent="0.25">
      <c r="A540" s="12">
        <f>SUBTOTAL(3,$B$2:B540)</f>
        <v>539</v>
      </c>
      <c r="B540" s="42">
        <v>254</v>
      </c>
      <c r="C540" s="43">
        <v>45914</v>
      </c>
      <c r="D540" s="42">
        <v>82509180006</v>
      </c>
      <c r="E540" s="44">
        <v>45918</v>
      </c>
      <c r="F540" s="45" t="s">
        <v>35</v>
      </c>
      <c r="G540" s="52" t="s">
        <v>485</v>
      </c>
      <c r="H540" s="46" t="s">
        <v>37</v>
      </c>
      <c r="I540" s="12" t="s">
        <v>38</v>
      </c>
      <c r="J540" s="43">
        <v>45733</v>
      </c>
      <c r="K540" s="63">
        <v>7</v>
      </c>
      <c r="L540" s="49">
        <f t="shared" si="24"/>
        <v>7</v>
      </c>
      <c r="M540" s="48">
        <f t="shared" si="26"/>
        <v>35296.589999999997</v>
      </c>
      <c r="N540" s="48">
        <v>5042.37</v>
      </c>
      <c r="O540" s="50">
        <v>9</v>
      </c>
      <c r="P540" s="50">
        <v>9</v>
      </c>
      <c r="Q540" s="51">
        <f t="shared" si="25"/>
        <v>41649.97619999999</v>
      </c>
      <c r="R540" s="48"/>
      <c r="S540" s="24" t="s">
        <v>667</v>
      </c>
      <c r="T540" s="43">
        <v>45914</v>
      </c>
      <c r="U540" s="43" t="s">
        <v>101</v>
      </c>
      <c r="V540" s="46" t="s">
        <v>33</v>
      </c>
      <c r="W540" s="54" t="s">
        <v>34</v>
      </c>
    </row>
    <row r="541" spans="1:23" s="27" customFormat="1" ht="34.950000000000003" customHeight="1" x14ac:dyDescent="0.25">
      <c r="A541" s="12">
        <f>SUBTOTAL(3,$B$2:B541)</f>
        <v>540</v>
      </c>
      <c r="B541" s="42">
        <v>255</v>
      </c>
      <c r="C541" s="43">
        <v>45914</v>
      </c>
      <c r="D541" s="42">
        <v>82509180008</v>
      </c>
      <c r="E541" s="44">
        <v>45918</v>
      </c>
      <c r="F541" s="45" t="s">
        <v>35</v>
      </c>
      <c r="G541" s="52" t="s">
        <v>485</v>
      </c>
      <c r="H541" s="46" t="s">
        <v>37</v>
      </c>
      <c r="I541" s="12" t="s">
        <v>38</v>
      </c>
      <c r="J541" s="43">
        <v>45733</v>
      </c>
      <c r="K541" s="63">
        <v>7</v>
      </c>
      <c r="L541" s="49">
        <f t="shared" si="24"/>
        <v>7</v>
      </c>
      <c r="M541" s="48">
        <f t="shared" si="26"/>
        <v>35296.589999999997</v>
      </c>
      <c r="N541" s="48">
        <v>5042.37</v>
      </c>
      <c r="O541" s="50">
        <v>9</v>
      </c>
      <c r="P541" s="50">
        <v>9</v>
      </c>
      <c r="Q541" s="51">
        <f t="shared" si="25"/>
        <v>41649.97619999999</v>
      </c>
      <c r="R541" s="48"/>
      <c r="S541" s="24" t="s">
        <v>668</v>
      </c>
      <c r="T541" s="43">
        <v>45914</v>
      </c>
      <c r="U541" s="43" t="s">
        <v>230</v>
      </c>
      <c r="V541" s="46" t="s">
        <v>33</v>
      </c>
      <c r="W541" s="54" t="s">
        <v>34</v>
      </c>
    </row>
    <row r="542" spans="1:23" s="27" customFormat="1" ht="34.950000000000003" customHeight="1" x14ac:dyDescent="0.25">
      <c r="A542" s="12">
        <f>SUBTOTAL(3,$B$2:B542)</f>
        <v>541</v>
      </c>
      <c r="B542" s="42">
        <v>256</v>
      </c>
      <c r="C542" s="43">
        <v>45914</v>
      </c>
      <c r="D542" s="42">
        <v>82509200001</v>
      </c>
      <c r="E542" s="44">
        <v>45920</v>
      </c>
      <c r="F542" s="45" t="s">
        <v>35</v>
      </c>
      <c r="G542" s="52" t="s">
        <v>485</v>
      </c>
      <c r="H542" s="46" t="s">
        <v>37</v>
      </c>
      <c r="I542" s="12" t="s">
        <v>38</v>
      </c>
      <c r="J542" s="43">
        <v>45733</v>
      </c>
      <c r="K542" s="63">
        <v>7</v>
      </c>
      <c r="L542" s="49">
        <f t="shared" si="24"/>
        <v>7</v>
      </c>
      <c r="M542" s="48">
        <f t="shared" si="26"/>
        <v>35296.589999999997</v>
      </c>
      <c r="N542" s="48">
        <v>5042.37</v>
      </c>
      <c r="O542" s="50">
        <v>9</v>
      </c>
      <c r="P542" s="50">
        <v>9</v>
      </c>
      <c r="Q542" s="51">
        <f t="shared" si="25"/>
        <v>41649.97619999999</v>
      </c>
      <c r="R542" s="48"/>
      <c r="S542" s="24" t="s">
        <v>669</v>
      </c>
      <c r="T542" s="43">
        <v>45914</v>
      </c>
      <c r="U542" s="43" t="s">
        <v>492</v>
      </c>
      <c r="V542" s="46" t="s">
        <v>33</v>
      </c>
      <c r="W542" s="54" t="s">
        <v>34</v>
      </c>
    </row>
    <row r="543" spans="1:23" s="27" customFormat="1" ht="34.950000000000003" customHeight="1" x14ac:dyDescent="0.25">
      <c r="A543" s="12">
        <f>SUBTOTAL(3,$B$2:B543)</f>
        <v>542</v>
      </c>
      <c r="B543" s="42">
        <v>257</v>
      </c>
      <c r="C543" s="43">
        <v>45914</v>
      </c>
      <c r="D543" s="42">
        <v>82509180009</v>
      </c>
      <c r="E543" s="44">
        <v>45918</v>
      </c>
      <c r="F543" s="45" t="s">
        <v>35</v>
      </c>
      <c r="G543" s="52" t="s">
        <v>485</v>
      </c>
      <c r="H543" s="46" t="s">
        <v>37</v>
      </c>
      <c r="I543" s="12" t="s">
        <v>38</v>
      </c>
      <c r="J543" s="43">
        <v>45733</v>
      </c>
      <c r="K543" s="63">
        <v>2.5</v>
      </c>
      <c r="L543" s="49">
        <f t="shared" si="24"/>
        <v>2.5</v>
      </c>
      <c r="M543" s="48">
        <f t="shared" si="26"/>
        <v>12605.924999999999</v>
      </c>
      <c r="N543" s="48">
        <v>5042.37</v>
      </c>
      <c r="O543" s="50">
        <v>9</v>
      </c>
      <c r="P543" s="50">
        <v>9</v>
      </c>
      <c r="Q543" s="51">
        <f t="shared" si="25"/>
        <v>14874.991499999998</v>
      </c>
      <c r="R543" s="48"/>
      <c r="S543" s="24" t="s">
        <v>670</v>
      </c>
      <c r="T543" s="43">
        <v>45914</v>
      </c>
      <c r="U543" s="43" t="s">
        <v>99</v>
      </c>
      <c r="V543" s="46" t="s">
        <v>33</v>
      </c>
      <c r="W543" s="54" t="s">
        <v>34</v>
      </c>
    </row>
    <row r="544" spans="1:23" s="27" customFormat="1" ht="34.950000000000003" customHeight="1" x14ac:dyDescent="0.25">
      <c r="A544" s="12">
        <f>SUBTOTAL(3,$B$2:B544)</f>
        <v>543</v>
      </c>
      <c r="B544" s="42">
        <v>258</v>
      </c>
      <c r="C544" s="43">
        <v>45914</v>
      </c>
      <c r="D544" s="42">
        <v>82509200002</v>
      </c>
      <c r="E544" s="44">
        <v>45920</v>
      </c>
      <c r="F544" s="45" t="s">
        <v>35</v>
      </c>
      <c r="G544" s="52" t="s">
        <v>485</v>
      </c>
      <c r="H544" s="57" t="s">
        <v>37</v>
      </c>
      <c r="I544" s="12" t="s">
        <v>38</v>
      </c>
      <c r="J544" s="43">
        <v>45733</v>
      </c>
      <c r="K544" s="55">
        <v>7</v>
      </c>
      <c r="L544" s="49">
        <f t="shared" si="24"/>
        <v>7</v>
      </c>
      <c r="M544" s="48">
        <f t="shared" si="26"/>
        <v>35296.589999999997</v>
      </c>
      <c r="N544" s="48">
        <v>5042.37</v>
      </c>
      <c r="O544" s="50">
        <v>9</v>
      </c>
      <c r="P544" s="50">
        <v>9</v>
      </c>
      <c r="Q544" s="51">
        <f t="shared" si="25"/>
        <v>41649.97619999999</v>
      </c>
      <c r="R544" s="48"/>
      <c r="S544" s="24" t="s">
        <v>671</v>
      </c>
      <c r="T544" s="43">
        <v>45914</v>
      </c>
      <c r="U544" s="43" t="s">
        <v>230</v>
      </c>
      <c r="V544" s="46" t="s">
        <v>33</v>
      </c>
      <c r="W544" s="54" t="s">
        <v>34</v>
      </c>
    </row>
    <row r="545" spans="1:23" s="27" customFormat="1" ht="34.950000000000003" customHeight="1" x14ac:dyDescent="0.25">
      <c r="A545" s="12">
        <f>SUBTOTAL(3,$B$2:B545)</f>
        <v>544</v>
      </c>
      <c r="B545" s="42">
        <v>259</v>
      </c>
      <c r="C545" s="43">
        <v>45916</v>
      </c>
      <c r="D545" s="42">
        <v>82509180010</v>
      </c>
      <c r="E545" s="44">
        <v>45918</v>
      </c>
      <c r="F545" s="45" t="s">
        <v>35</v>
      </c>
      <c r="G545" s="52" t="s">
        <v>485</v>
      </c>
      <c r="H545" s="46" t="s">
        <v>37</v>
      </c>
      <c r="I545" s="12" t="s">
        <v>38</v>
      </c>
      <c r="J545" s="43">
        <v>45733</v>
      </c>
      <c r="K545" s="63">
        <v>5</v>
      </c>
      <c r="L545" s="49">
        <f t="shared" si="24"/>
        <v>5</v>
      </c>
      <c r="M545" s="48">
        <f t="shared" si="26"/>
        <v>25211.85</v>
      </c>
      <c r="N545" s="48">
        <v>5042.37</v>
      </c>
      <c r="O545" s="50">
        <v>9</v>
      </c>
      <c r="P545" s="50">
        <v>9</v>
      </c>
      <c r="Q545" s="51">
        <f t="shared" si="25"/>
        <v>29749.982999999997</v>
      </c>
      <c r="R545" s="48"/>
      <c r="S545" s="24" t="s">
        <v>672</v>
      </c>
      <c r="T545" s="43">
        <v>45916</v>
      </c>
      <c r="U545" s="43" t="s">
        <v>101</v>
      </c>
      <c r="V545" s="46" t="s">
        <v>33</v>
      </c>
      <c r="W545" s="54" t="s">
        <v>34</v>
      </c>
    </row>
    <row r="546" spans="1:23" s="27" customFormat="1" ht="34.950000000000003" customHeight="1" x14ac:dyDescent="0.25">
      <c r="A546" s="12">
        <f>SUBTOTAL(3,$B$2:B546)</f>
        <v>545</v>
      </c>
      <c r="B546" s="42">
        <v>260</v>
      </c>
      <c r="C546" s="43">
        <v>45916</v>
      </c>
      <c r="D546" s="42">
        <v>82509180011</v>
      </c>
      <c r="E546" s="44">
        <v>45918</v>
      </c>
      <c r="F546" s="45" t="s">
        <v>35</v>
      </c>
      <c r="G546" s="52" t="s">
        <v>485</v>
      </c>
      <c r="H546" s="46" t="s">
        <v>37</v>
      </c>
      <c r="I546" s="12" t="s">
        <v>38</v>
      </c>
      <c r="J546" s="43">
        <v>45733</v>
      </c>
      <c r="K546" s="63">
        <v>5</v>
      </c>
      <c r="L546" s="49">
        <f t="shared" si="24"/>
        <v>5</v>
      </c>
      <c r="M546" s="48">
        <f t="shared" si="26"/>
        <v>25211.85</v>
      </c>
      <c r="N546" s="48">
        <v>5042.37</v>
      </c>
      <c r="O546" s="50">
        <v>9</v>
      </c>
      <c r="P546" s="50">
        <v>9</v>
      </c>
      <c r="Q546" s="51">
        <f t="shared" si="25"/>
        <v>29749.982999999997</v>
      </c>
      <c r="R546" s="48"/>
      <c r="S546" s="24" t="s">
        <v>673</v>
      </c>
      <c r="T546" s="43">
        <v>45916</v>
      </c>
      <c r="U546" s="43" t="s">
        <v>97</v>
      </c>
      <c r="V546" s="46" t="s">
        <v>33</v>
      </c>
      <c r="W546" s="54" t="s">
        <v>34</v>
      </c>
    </row>
    <row r="547" spans="1:23" s="27" customFormat="1" ht="34.950000000000003" customHeight="1" x14ac:dyDescent="0.25">
      <c r="A547" s="12">
        <f>SUBTOTAL(3,$B$2:B547)</f>
        <v>546</v>
      </c>
      <c r="B547" s="42">
        <v>261</v>
      </c>
      <c r="C547" s="43">
        <v>45916</v>
      </c>
      <c r="D547" s="42">
        <v>82510030001</v>
      </c>
      <c r="E547" s="44">
        <v>45933</v>
      </c>
      <c r="F547" s="45" t="s">
        <v>674</v>
      </c>
      <c r="G547" s="52" t="s">
        <v>675</v>
      </c>
      <c r="H547" s="46" t="s">
        <v>240</v>
      </c>
      <c r="I547" s="12"/>
      <c r="J547" s="43"/>
      <c r="K547" s="59">
        <v>35.79</v>
      </c>
      <c r="L547" s="49">
        <f t="shared" si="24"/>
        <v>35.79</v>
      </c>
      <c r="M547" s="48">
        <f t="shared" si="26"/>
        <v>94843.5</v>
      </c>
      <c r="N547" s="48">
        <v>2650</v>
      </c>
      <c r="O547" s="50">
        <v>2.5</v>
      </c>
      <c r="P547" s="50">
        <v>2.5</v>
      </c>
      <c r="Q547" s="51">
        <f t="shared" si="25"/>
        <v>99585.675000000003</v>
      </c>
      <c r="R547" s="48"/>
      <c r="S547" s="24">
        <v>207</v>
      </c>
      <c r="T547" s="43">
        <v>45916</v>
      </c>
      <c r="U547" s="43" t="s">
        <v>676</v>
      </c>
      <c r="V547" s="46" t="s">
        <v>33</v>
      </c>
      <c r="W547" s="54" t="s">
        <v>34</v>
      </c>
    </row>
    <row r="548" spans="1:23" s="27" customFormat="1" ht="34.950000000000003" customHeight="1" x14ac:dyDescent="0.25">
      <c r="A548" s="12">
        <f>SUBTOTAL(3,$B$2:B548)</f>
        <v>547</v>
      </c>
      <c r="B548" s="42">
        <v>262</v>
      </c>
      <c r="C548" s="43">
        <v>45920</v>
      </c>
      <c r="D548" s="42">
        <v>82509230004</v>
      </c>
      <c r="E548" s="43">
        <v>45923</v>
      </c>
      <c r="F548" s="45" t="s">
        <v>619</v>
      </c>
      <c r="G548" s="52" t="s">
        <v>593</v>
      </c>
      <c r="H548" s="46" t="s">
        <v>16</v>
      </c>
      <c r="I548" s="12"/>
      <c r="J548" s="43"/>
      <c r="K548" s="59">
        <v>5</v>
      </c>
      <c r="L548" s="49">
        <f t="shared" si="24"/>
        <v>5</v>
      </c>
      <c r="M548" s="48">
        <f t="shared" si="26"/>
        <v>2250</v>
      </c>
      <c r="N548" s="48">
        <v>450</v>
      </c>
      <c r="O548" s="50">
        <v>9</v>
      </c>
      <c r="P548" s="50">
        <v>9</v>
      </c>
      <c r="Q548" s="51">
        <f t="shared" si="25"/>
        <v>2655</v>
      </c>
      <c r="R548" s="48"/>
      <c r="S548" s="24">
        <v>128</v>
      </c>
      <c r="T548" s="43">
        <v>45920</v>
      </c>
      <c r="U548" s="43" t="s">
        <v>91</v>
      </c>
      <c r="V548" s="46" t="s">
        <v>247</v>
      </c>
      <c r="W548" s="54" t="s">
        <v>34</v>
      </c>
    </row>
    <row r="549" spans="1:23" s="27" customFormat="1" ht="34.950000000000003" customHeight="1" x14ac:dyDescent="0.25">
      <c r="A549" s="12">
        <f>SUBTOTAL(3,$B$2:B549)</f>
        <v>548</v>
      </c>
      <c r="B549" s="42">
        <v>262</v>
      </c>
      <c r="C549" s="43">
        <v>45920</v>
      </c>
      <c r="D549" s="42">
        <v>82509230004</v>
      </c>
      <c r="E549" s="43">
        <v>45923</v>
      </c>
      <c r="F549" s="45" t="s">
        <v>619</v>
      </c>
      <c r="G549" s="52" t="s">
        <v>195</v>
      </c>
      <c r="H549" s="46" t="s">
        <v>16</v>
      </c>
      <c r="I549" s="12"/>
      <c r="J549" s="43"/>
      <c r="K549" s="59">
        <v>120</v>
      </c>
      <c r="L549" s="49">
        <f t="shared" si="24"/>
        <v>120</v>
      </c>
      <c r="M549" s="48">
        <f t="shared" si="26"/>
        <v>1200</v>
      </c>
      <c r="N549" s="48">
        <v>10</v>
      </c>
      <c r="O549" s="50">
        <v>9</v>
      </c>
      <c r="P549" s="50">
        <v>9</v>
      </c>
      <c r="Q549" s="51">
        <f t="shared" si="25"/>
        <v>1416</v>
      </c>
      <c r="R549" s="48"/>
      <c r="S549" s="24">
        <v>128</v>
      </c>
      <c r="T549" s="43">
        <v>45920</v>
      </c>
      <c r="U549" s="43" t="s">
        <v>91</v>
      </c>
      <c r="V549" s="46" t="s">
        <v>247</v>
      </c>
      <c r="W549" s="54" t="s">
        <v>34</v>
      </c>
    </row>
    <row r="550" spans="1:23" s="27" customFormat="1" ht="34.950000000000003" customHeight="1" x14ac:dyDescent="0.25">
      <c r="A550" s="12">
        <f>SUBTOTAL(3,$B$2:B550)</f>
        <v>549</v>
      </c>
      <c r="B550" s="42">
        <v>262</v>
      </c>
      <c r="C550" s="43">
        <v>45920</v>
      </c>
      <c r="D550" s="42">
        <v>82509230004</v>
      </c>
      <c r="E550" s="43">
        <v>45923</v>
      </c>
      <c r="F550" s="45" t="s">
        <v>619</v>
      </c>
      <c r="G550" s="52" t="s">
        <v>182</v>
      </c>
      <c r="H550" s="46" t="s">
        <v>16</v>
      </c>
      <c r="I550" s="12"/>
      <c r="J550" s="43"/>
      <c r="K550" s="59">
        <v>2</v>
      </c>
      <c r="L550" s="49">
        <f t="shared" si="24"/>
        <v>2</v>
      </c>
      <c r="M550" s="48">
        <f t="shared" si="26"/>
        <v>300</v>
      </c>
      <c r="N550" s="48">
        <v>150</v>
      </c>
      <c r="O550" s="50">
        <v>9</v>
      </c>
      <c r="P550" s="50">
        <v>9</v>
      </c>
      <c r="Q550" s="51">
        <f t="shared" si="25"/>
        <v>354</v>
      </c>
      <c r="R550" s="48"/>
      <c r="S550" s="24">
        <v>128</v>
      </c>
      <c r="T550" s="43">
        <v>45920</v>
      </c>
      <c r="U550" s="43" t="s">
        <v>91</v>
      </c>
      <c r="V550" s="46" t="s">
        <v>247</v>
      </c>
      <c r="W550" s="54" t="s">
        <v>34</v>
      </c>
    </row>
    <row r="551" spans="1:23" s="27" customFormat="1" ht="34.950000000000003" customHeight="1" x14ac:dyDescent="0.25">
      <c r="A551" s="12">
        <f>SUBTOTAL(3,$B$2:B551)</f>
        <v>550</v>
      </c>
      <c r="B551" s="42">
        <v>263</v>
      </c>
      <c r="C551" s="43">
        <v>45921</v>
      </c>
      <c r="D551" s="42">
        <v>82509230001</v>
      </c>
      <c r="E551" s="44">
        <v>45923</v>
      </c>
      <c r="F551" s="45" t="s">
        <v>35</v>
      </c>
      <c r="G551" s="52" t="s">
        <v>485</v>
      </c>
      <c r="H551" s="46" t="s">
        <v>37</v>
      </c>
      <c r="I551" s="12" t="s">
        <v>38</v>
      </c>
      <c r="J551" s="43">
        <v>45733</v>
      </c>
      <c r="K551" s="63">
        <v>6</v>
      </c>
      <c r="L551" s="49">
        <f t="shared" si="24"/>
        <v>6</v>
      </c>
      <c r="M551" s="48">
        <f t="shared" si="26"/>
        <v>30254.22</v>
      </c>
      <c r="N551" s="48">
        <v>5042.37</v>
      </c>
      <c r="O551" s="50">
        <v>9</v>
      </c>
      <c r="P551" s="50">
        <v>9</v>
      </c>
      <c r="Q551" s="51">
        <f t="shared" si="25"/>
        <v>35699.979599999999</v>
      </c>
      <c r="R551" s="48"/>
      <c r="S551" s="24" t="s">
        <v>677</v>
      </c>
      <c r="T551" s="43">
        <v>45921</v>
      </c>
      <c r="U551" s="43" t="s">
        <v>492</v>
      </c>
      <c r="V551" s="46" t="s">
        <v>33</v>
      </c>
      <c r="W551" s="54" t="s">
        <v>34</v>
      </c>
    </row>
    <row r="552" spans="1:23" s="27" customFormat="1" ht="34.950000000000003" customHeight="1" x14ac:dyDescent="0.25">
      <c r="A552" s="12">
        <f>SUBTOTAL(3,$B$2:B552)</f>
        <v>551</v>
      </c>
      <c r="B552" s="42">
        <v>264</v>
      </c>
      <c r="C552" s="43">
        <v>45921</v>
      </c>
      <c r="D552" s="42">
        <v>82509230002</v>
      </c>
      <c r="E552" s="44">
        <v>45923</v>
      </c>
      <c r="F552" s="45" t="s">
        <v>35</v>
      </c>
      <c r="G552" s="52" t="s">
        <v>485</v>
      </c>
      <c r="H552" s="46" t="s">
        <v>37</v>
      </c>
      <c r="I552" s="12" t="s">
        <v>38</v>
      </c>
      <c r="J552" s="43">
        <v>45733</v>
      </c>
      <c r="K552" s="55">
        <v>3.5</v>
      </c>
      <c r="L552" s="49">
        <f t="shared" si="24"/>
        <v>3.5</v>
      </c>
      <c r="M552" s="48">
        <f t="shared" si="26"/>
        <v>17648.294999999998</v>
      </c>
      <c r="N552" s="48">
        <v>5042.37</v>
      </c>
      <c r="O552" s="50">
        <v>9</v>
      </c>
      <c r="P552" s="50">
        <v>9</v>
      </c>
      <c r="Q552" s="51">
        <f t="shared" si="25"/>
        <v>20824.988099999995</v>
      </c>
      <c r="R552" s="48"/>
      <c r="S552" s="24" t="s">
        <v>678</v>
      </c>
      <c r="T552" s="43">
        <v>45921</v>
      </c>
      <c r="U552" s="24" t="s">
        <v>101</v>
      </c>
      <c r="V552" s="46" t="s">
        <v>33</v>
      </c>
      <c r="W552" s="54" t="s">
        <v>34</v>
      </c>
    </row>
    <row r="553" spans="1:23" s="27" customFormat="1" ht="34.950000000000003" customHeight="1" x14ac:dyDescent="0.25">
      <c r="A553" s="12">
        <f>SUBTOTAL(3,$B$2:B553)</f>
        <v>552</v>
      </c>
      <c r="B553" s="42">
        <v>265</v>
      </c>
      <c r="C553" s="43">
        <v>45921</v>
      </c>
      <c r="D553" s="42">
        <v>82509230003</v>
      </c>
      <c r="E553" s="44">
        <v>45923</v>
      </c>
      <c r="F553" s="45" t="s">
        <v>35</v>
      </c>
      <c r="G553" s="71" t="s">
        <v>36</v>
      </c>
      <c r="H553" s="76" t="s">
        <v>37</v>
      </c>
      <c r="I553" s="12" t="s">
        <v>38</v>
      </c>
      <c r="J553" s="43">
        <v>45733</v>
      </c>
      <c r="K553" s="104">
        <v>6.5</v>
      </c>
      <c r="L553" s="49">
        <f t="shared" si="24"/>
        <v>6.5</v>
      </c>
      <c r="M553" s="48">
        <f t="shared" si="26"/>
        <v>21483.02</v>
      </c>
      <c r="N553" s="48">
        <v>3305.08</v>
      </c>
      <c r="O553" s="50">
        <v>9</v>
      </c>
      <c r="P553" s="50">
        <v>9</v>
      </c>
      <c r="Q553" s="51">
        <f t="shared" si="25"/>
        <v>25349.963599999999</v>
      </c>
      <c r="R553" s="48"/>
      <c r="S553" s="24" t="s">
        <v>679</v>
      </c>
      <c r="T553" s="43">
        <v>45921</v>
      </c>
      <c r="U553" s="24" t="s">
        <v>97</v>
      </c>
      <c r="V553" s="46" t="s">
        <v>33</v>
      </c>
      <c r="W553" s="54" t="s">
        <v>34</v>
      </c>
    </row>
    <row r="554" spans="1:23" s="27" customFormat="1" ht="34.950000000000003" customHeight="1" x14ac:dyDescent="0.25">
      <c r="A554" s="12">
        <f>SUBTOTAL(3,$B$2:B554)</f>
        <v>553</v>
      </c>
      <c r="B554" s="42">
        <v>266</v>
      </c>
      <c r="C554" s="43">
        <v>45923</v>
      </c>
      <c r="D554" s="42">
        <v>82510060001</v>
      </c>
      <c r="E554" s="43">
        <v>45936</v>
      </c>
      <c r="F554" s="45" t="s">
        <v>644</v>
      </c>
      <c r="G554" s="71" t="s">
        <v>680</v>
      </c>
      <c r="H554" s="76" t="s">
        <v>478</v>
      </c>
      <c r="I554" s="46"/>
      <c r="J554" s="43"/>
      <c r="K554" s="80">
        <v>2.04</v>
      </c>
      <c r="L554" s="49">
        <f t="shared" si="24"/>
        <v>2.04</v>
      </c>
      <c r="M554" s="48">
        <f t="shared" si="26"/>
        <v>219.32040000000001</v>
      </c>
      <c r="N554" s="48">
        <v>107.51</v>
      </c>
      <c r="O554" s="50"/>
      <c r="P554" s="50"/>
      <c r="Q554" s="51">
        <f t="shared" si="25"/>
        <v>219.32040000000001</v>
      </c>
      <c r="R554" s="48"/>
      <c r="S554" s="24">
        <v>99312546</v>
      </c>
      <c r="T554" s="43">
        <v>45923</v>
      </c>
      <c r="U554" s="24" t="s">
        <v>638</v>
      </c>
      <c r="V554" s="46" t="s">
        <v>247</v>
      </c>
      <c r="W554" s="54" t="s">
        <v>34</v>
      </c>
    </row>
    <row r="555" spans="1:23" s="27" customFormat="1" ht="34.950000000000003" customHeight="1" x14ac:dyDescent="0.25">
      <c r="A555" s="12">
        <f>SUBTOTAL(3,$B$2:B555)</f>
        <v>554</v>
      </c>
      <c r="B555" s="42">
        <v>267</v>
      </c>
      <c r="C555" s="43">
        <v>45923</v>
      </c>
      <c r="D555" s="42">
        <v>82510060002</v>
      </c>
      <c r="E555" s="43">
        <v>45936</v>
      </c>
      <c r="F555" s="45" t="s">
        <v>644</v>
      </c>
      <c r="G555" s="71" t="s">
        <v>680</v>
      </c>
      <c r="H555" s="76" t="s">
        <v>478</v>
      </c>
      <c r="I555" s="46"/>
      <c r="J555" s="43"/>
      <c r="K555" s="80">
        <v>6</v>
      </c>
      <c r="L555" s="49">
        <f t="shared" si="24"/>
        <v>6</v>
      </c>
      <c r="M555" s="48">
        <f t="shared" si="26"/>
        <v>645.06000000000006</v>
      </c>
      <c r="N555" s="48">
        <v>107.51</v>
      </c>
      <c r="O555" s="50"/>
      <c r="P555" s="50"/>
      <c r="Q555" s="51">
        <f t="shared" si="25"/>
        <v>645.06000000000006</v>
      </c>
      <c r="R555" s="48"/>
      <c r="S555" s="24">
        <v>779773</v>
      </c>
      <c r="T555" s="43">
        <v>45923</v>
      </c>
      <c r="U555" s="24" t="s">
        <v>638</v>
      </c>
      <c r="V555" s="46" t="s">
        <v>247</v>
      </c>
      <c r="W555" s="54" t="s">
        <v>34</v>
      </c>
    </row>
    <row r="556" spans="1:23" s="27" customFormat="1" ht="34.950000000000003" customHeight="1" x14ac:dyDescent="0.35">
      <c r="A556" s="12">
        <f>SUBTOTAL(3,$B$2:B556)</f>
        <v>555</v>
      </c>
      <c r="B556" s="42">
        <v>268</v>
      </c>
      <c r="C556" s="43">
        <v>45923</v>
      </c>
      <c r="D556" s="42">
        <v>0</v>
      </c>
      <c r="E556" s="43">
        <v>0</v>
      </c>
      <c r="F556" s="45" t="s">
        <v>681</v>
      </c>
      <c r="G556" s="53" t="s">
        <v>398</v>
      </c>
      <c r="H556" s="72" t="s">
        <v>16</v>
      </c>
      <c r="I556" s="46"/>
      <c r="J556" s="43"/>
      <c r="K556" s="80">
        <v>543</v>
      </c>
      <c r="L556" s="62">
        <f t="shared" si="24"/>
        <v>543</v>
      </c>
      <c r="M556" s="48">
        <f t="shared" si="26"/>
        <v>133578</v>
      </c>
      <c r="N556" s="48">
        <v>246</v>
      </c>
      <c r="O556" s="50"/>
      <c r="P556" s="50"/>
      <c r="Q556" s="51">
        <f t="shared" si="25"/>
        <v>133578</v>
      </c>
      <c r="R556" s="48"/>
      <c r="S556" s="24">
        <v>225203</v>
      </c>
      <c r="T556" s="43">
        <v>45923</v>
      </c>
      <c r="U556" s="24" t="s">
        <v>682</v>
      </c>
      <c r="V556" s="46" t="s">
        <v>25</v>
      </c>
      <c r="W556" s="54"/>
    </row>
    <row r="557" spans="1:23" s="27" customFormat="1" ht="34.950000000000003" customHeight="1" x14ac:dyDescent="0.25">
      <c r="A557" s="12">
        <f>SUBTOTAL(3,$B$2:B557)</f>
        <v>556</v>
      </c>
      <c r="B557" s="42">
        <v>268</v>
      </c>
      <c r="C557" s="43">
        <v>45923</v>
      </c>
      <c r="D557" s="42">
        <v>0</v>
      </c>
      <c r="E557" s="43">
        <v>0</v>
      </c>
      <c r="F557" s="45" t="s">
        <v>681</v>
      </c>
      <c r="G557" s="71" t="s">
        <v>409</v>
      </c>
      <c r="H557" s="76" t="s">
        <v>16</v>
      </c>
      <c r="I557" s="46"/>
      <c r="J557" s="43"/>
      <c r="K557" s="80">
        <v>9</v>
      </c>
      <c r="L557" s="62">
        <f t="shared" si="24"/>
        <v>9</v>
      </c>
      <c r="M557" s="48">
        <f t="shared" si="26"/>
        <v>2214</v>
      </c>
      <c r="N557" s="48">
        <v>246</v>
      </c>
      <c r="O557" s="50"/>
      <c r="P557" s="50"/>
      <c r="Q557" s="51">
        <f t="shared" si="25"/>
        <v>2214</v>
      </c>
      <c r="R557" s="48"/>
      <c r="S557" s="24">
        <v>225203</v>
      </c>
      <c r="T557" s="43">
        <v>45923</v>
      </c>
      <c r="U557" s="24" t="s">
        <v>682</v>
      </c>
      <c r="V557" s="46" t="s">
        <v>25</v>
      </c>
      <c r="W557" s="54"/>
    </row>
    <row r="558" spans="1:23" s="27" customFormat="1" ht="34.950000000000003" customHeight="1" x14ac:dyDescent="0.25">
      <c r="A558" s="12">
        <f>SUBTOTAL(3,$B$2:B558)</f>
        <v>557</v>
      </c>
      <c r="B558" s="42">
        <v>268</v>
      </c>
      <c r="C558" s="43">
        <v>45923</v>
      </c>
      <c r="D558" s="42">
        <v>0</v>
      </c>
      <c r="E558" s="43">
        <v>0</v>
      </c>
      <c r="F558" s="45" t="s">
        <v>681</v>
      </c>
      <c r="G558" s="52" t="s">
        <v>395</v>
      </c>
      <c r="H558" s="46" t="s">
        <v>16</v>
      </c>
      <c r="I558" s="12"/>
      <c r="J558" s="43"/>
      <c r="K558" s="59">
        <v>120</v>
      </c>
      <c r="L558" s="62">
        <f t="shared" si="24"/>
        <v>120</v>
      </c>
      <c r="M558" s="48">
        <f t="shared" si="26"/>
        <v>6000</v>
      </c>
      <c r="N558" s="48">
        <v>50</v>
      </c>
      <c r="O558" s="50"/>
      <c r="P558" s="50"/>
      <c r="Q558" s="51">
        <f t="shared" si="25"/>
        <v>6000</v>
      </c>
      <c r="R558" s="48"/>
      <c r="S558" s="24">
        <v>225203</v>
      </c>
      <c r="T558" s="43">
        <v>45923</v>
      </c>
      <c r="U558" s="43" t="s">
        <v>682</v>
      </c>
      <c r="V558" s="46" t="s">
        <v>25</v>
      </c>
      <c r="W558" s="54"/>
    </row>
    <row r="559" spans="1:23" s="27" customFormat="1" ht="34.950000000000003" customHeight="1" x14ac:dyDescent="0.25">
      <c r="A559" s="12">
        <f>SUBTOTAL(3,$B$2:B559)</f>
        <v>558</v>
      </c>
      <c r="B559" s="42">
        <v>268</v>
      </c>
      <c r="C559" s="43">
        <v>45923</v>
      </c>
      <c r="D559" s="42">
        <v>0</v>
      </c>
      <c r="E559" s="43">
        <v>0</v>
      </c>
      <c r="F559" s="45" t="s">
        <v>681</v>
      </c>
      <c r="G559" s="52" t="s">
        <v>683</v>
      </c>
      <c r="H559" s="57" t="s">
        <v>16</v>
      </c>
      <c r="I559" s="46"/>
      <c r="J559" s="43"/>
      <c r="K559" s="59">
        <v>369</v>
      </c>
      <c r="L559" s="62">
        <f t="shared" si="24"/>
        <v>369</v>
      </c>
      <c r="M559" s="48">
        <f t="shared" si="26"/>
        <v>90774</v>
      </c>
      <c r="N559" s="48">
        <v>246</v>
      </c>
      <c r="O559" s="50"/>
      <c r="P559" s="50"/>
      <c r="Q559" s="51">
        <f t="shared" si="25"/>
        <v>90774</v>
      </c>
      <c r="R559" s="48"/>
      <c r="S559" s="24">
        <v>225203</v>
      </c>
      <c r="T559" s="43">
        <v>45923</v>
      </c>
      <c r="U559" s="43" t="s">
        <v>682</v>
      </c>
      <c r="V559" s="46" t="s">
        <v>25</v>
      </c>
      <c r="W559" s="54"/>
    </row>
    <row r="560" spans="1:23" s="27" customFormat="1" ht="34.950000000000003" customHeight="1" x14ac:dyDescent="0.25">
      <c r="A560" s="12">
        <f>SUBTOTAL(3,$B$2:B560)</f>
        <v>559</v>
      </c>
      <c r="B560" s="42">
        <v>268</v>
      </c>
      <c r="C560" s="43">
        <v>45923</v>
      </c>
      <c r="D560" s="42">
        <v>0</v>
      </c>
      <c r="E560" s="43">
        <v>0</v>
      </c>
      <c r="F560" s="45" t="s">
        <v>681</v>
      </c>
      <c r="G560" s="52" t="s">
        <v>684</v>
      </c>
      <c r="H560" s="46" t="s">
        <v>16</v>
      </c>
      <c r="I560" s="12"/>
      <c r="J560" s="43"/>
      <c r="K560" s="59">
        <v>2</v>
      </c>
      <c r="L560" s="62">
        <f t="shared" si="24"/>
        <v>2</v>
      </c>
      <c r="M560" s="48">
        <f t="shared" si="26"/>
        <v>1100</v>
      </c>
      <c r="N560" s="48">
        <v>550</v>
      </c>
      <c r="O560" s="50"/>
      <c r="P560" s="50"/>
      <c r="Q560" s="51">
        <f t="shared" si="25"/>
        <v>1100</v>
      </c>
      <c r="R560" s="48"/>
      <c r="S560" s="24">
        <v>225203</v>
      </c>
      <c r="T560" s="43">
        <v>45923</v>
      </c>
      <c r="U560" s="43" t="s">
        <v>682</v>
      </c>
      <c r="V560" s="46" t="s">
        <v>25</v>
      </c>
      <c r="W560" s="54"/>
    </row>
    <row r="561" spans="1:23" s="27" customFormat="1" ht="34.950000000000003" customHeight="1" x14ac:dyDescent="0.25">
      <c r="A561" s="12">
        <f>SUBTOTAL(3,$B$2:B561)</f>
        <v>560</v>
      </c>
      <c r="B561" s="42">
        <v>269</v>
      </c>
      <c r="C561" s="43">
        <v>45924</v>
      </c>
      <c r="D561" s="42">
        <v>0</v>
      </c>
      <c r="E561" s="43">
        <v>0</v>
      </c>
      <c r="F561" s="45" t="s">
        <v>681</v>
      </c>
      <c r="G561" s="52" t="s">
        <v>398</v>
      </c>
      <c r="H561" s="46" t="s">
        <v>16</v>
      </c>
      <c r="I561" s="12"/>
      <c r="J561" s="43"/>
      <c r="K561" s="59">
        <v>236</v>
      </c>
      <c r="L561" s="62">
        <f t="shared" si="24"/>
        <v>236</v>
      </c>
      <c r="M561" s="48">
        <f t="shared" si="26"/>
        <v>58056</v>
      </c>
      <c r="N561" s="48">
        <v>246</v>
      </c>
      <c r="O561" s="50"/>
      <c r="P561" s="50"/>
      <c r="Q561" s="51">
        <f t="shared" si="25"/>
        <v>58056</v>
      </c>
      <c r="R561" s="48"/>
      <c r="S561" s="24">
        <v>225204</v>
      </c>
      <c r="T561" s="43">
        <v>45924</v>
      </c>
      <c r="U561" s="43" t="s">
        <v>682</v>
      </c>
      <c r="V561" s="46" t="s">
        <v>25</v>
      </c>
      <c r="W561" s="54"/>
    </row>
    <row r="562" spans="1:23" s="27" customFormat="1" ht="34.950000000000003" customHeight="1" x14ac:dyDescent="0.25">
      <c r="A562" s="12">
        <f>SUBTOTAL(3,$B$2:B562)</f>
        <v>561</v>
      </c>
      <c r="B562" s="42">
        <v>269</v>
      </c>
      <c r="C562" s="43">
        <v>45924</v>
      </c>
      <c r="D562" s="42">
        <v>0</v>
      </c>
      <c r="E562" s="43">
        <v>0</v>
      </c>
      <c r="F562" s="45" t="s">
        <v>681</v>
      </c>
      <c r="G562" s="52" t="s">
        <v>409</v>
      </c>
      <c r="H562" s="46" t="s">
        <v>16</v>
      </c>
      <c r="I562" s="12"/>
      <c r="J562" s="43"/>
      <c r="K562" s="59">
        <v>106</v>
      </c>
      <c r="L562" s="62">
        <f t="shared" si="24"/>
        <v>106</v>
      </c>
      <c r="M562" s="48">
        <f t="shared" si="26"/>
        <v>26076</v>
      </c>
      <c r="N562" s="48">
        <v>246</v>
      </c>
      <c r="O562" s="50"/>
      <c r="P562" s="50"/>
      <c r="Q562" s="51">
        <f t="shared" si="25"/>
        <v>26076</v>
      </c>
      <c r="R562" s="48"/>
      <c r="S562" s="24">
        <v>225204</v>
      </c>
      <c r="T562" s="43">
        <v>45924</v>
      </c>
      <c r="U562" s="43" t="s">
        <v>682</v>
      </c>
      <c r="V562" s="46" t="s">
        <v>25</v>
      </c>
      <c r="W562" s="54"/>
    </row>
    <row r="563" spans="1:23" s="27" customFormat="1" ht="34.950000000000003" customHeight="1" x14ac:dyDescent="0.25">
      <c r="A563" s="12">
        <f>SUBTOTAL(3,$B$2:B563)</f>
        <v>562</v>
      </c>
      <c r="B563" s="42">
        <v>269</v>
      </c>
      <c r="C563" s="43">
        <v>45924</v>
      </c>
      <c r="D563" s="42">
        <v>0</v>
      </c>
      <c r="E563" s="43">
        <v>0</v>
      </c>
      <c r="F563" s="45" t="s">
        <v>681</v>
      </c>
      <c r="G563" s="52" t="s">
        <v>395</v>
      </c>
      <c r="H563" s="46" t="s">
        <v>16</v>
      </c>
      <c r="I563" s="12"/>
      <c r="J563" s="43"/>
      <c r="K563" s="59">
        <v>60</v>
      </c>
      <c r="L563" s="62">
        <f t="shared" si="24"/>
        <v>60</v>
      </c>
      <c r="M563" s="48">
        <f t="shared" si="26"/>
        <v>3000</v>
      </c>
      <c r="N563" s="48">
        <v>50</v>
      </c>
      <c r="O563" s="50"/>
      <c r="P563" s="50"/>
      <c r="Q563" s="51">
        <f t="shared" si="25"/>
        <v>3000</v>
      </c>
      <c r="R563" s="48"/>
      <c r="S563" s="24">
        <v>225204</v>
      </c>
      <c r="T563" s="43">
        <v>45924</v>
      </c>
      <c r="U563" s="43" t="s">
        <v>682</v>
      </c>
      <c r="V563" s="46" t="s">
        <v>25</v>
      </c>
      <c r="W563" s="54"/>
    </row>
    <row r="564" spans="1:23" s="27" customFormat="1" ht="34.950000000000003" customHeight="1" x14ac:dyDescent="0.25">
      <c r="A564" s="12">
        <f>SUBTOTAL(3,$B$2:B564)</f>
        <v>563</v>
      </c>
      <c r="B564" s="42">
        <v>269</v>
      </c>
      <c r="C564" s="43">
        <v>45924</v>
      </c>
      <c r="D564" s="42">
        <v>0</v>
      </c>
      <c r="E564" s="43">
        <v>0</v>
      </c>
      <c r="F564" s="45" t="s">
        <v>681</v>
      </c>
      <c r="G564" s="52" t="s">
        <v>683</v>
      </c>
      <c r="H564" s="46" t="s">
        <v>16</v>
      </c>
      <c r="I564" s="12"/>
      <c r="J564" s="43"/>
      <c r="K564" s="59">
        <v>1531</v>
      </c>
      <c r="L564" s="62">
        <f t="shared" si="24"/>
        <v>1531</v>
      </c>
      <c r="M564" s="48">
        <f t="shared" si="26"/>
        <v>376626</v>
      </c>
      <c r="N564" s="48">
        <v>246</v>
      </c>
      <c r="O564" s="50"/>
      <c r="P564" s="50"/>
      <c r="Q564" s="51">
        <f t="shared" si="25"/>
        <v>376626</v>
      </c>
      <c r="R564" s="48"/>
      <c r="S564" s="24">
        <v>225204</v>
      </c>
      <c r="T564" s="43">
        <v>45924</v>
      </c>
      <c r="U564" s="43" t="s">
        <v>682</v>
      </c>
      <c r="V564" s="46" t="s">
        <v>25</v>
      </c>
      <c r="W564" s="54"/>
    </row>
    <row r="565" spans="1:23" s="27" customFormat="1" ht="34.950000000000003" customHeight="1" x14ac:dyDescent="0.25">
      <c r="A565" s="12">
        <f>SUBTOTAL(3,$B$2:B565)</f>
        <v>564</v>
      </c>
      <c r="B565" s="42">
        <v>269</v>
      </c>
      <c r="C565" s="43">
        <v>45924</v>
      </c>
      <c r="D565" s="42">
        <v>0</v>
      </c>
      <c r="E565" s="43">
        <v>0</v>
      </c>
      <c r="F565" s="45" t="s">
        <v>681</v>
      </c>
      <c r="G565" s="52" t="s">
        <v>684</v>
      </c>
      <c r="H565" s="57" t="s">
        <v>16</v>
      </c>
      <c r="I565" s="46"/>
      <c r="J565" s="43"/>
      <c r="K565" s="59">
        <v>56</v>
      </c>
      <c r="L565" s="62">
        <f t="shared" si="24"/>
        <v>56</v>
      </c>
      <c r="M565" s="48">
        <f t="shared" si="26"/>
        <v>30800</v>
      </c>
      <c r="N565" s="48">
        <v>550</v>
      </c>
      <c r="O565" s="50"/>
      <c r="P565" s="50"/>
      <c r="Q565" s="51">
        <f t="shared" si="25"/>
        <v>30800</v>
      </c>
      <c r="R565" s="48"/>
      <c r="S565" s="24">
        <v>225204</v>
      </c>
      <c r="T565" s="43">
        <v>45924</v>
      </c>
      <c r="U565" s="43" t="s">
        <v>682</v>
      </c>
      <c r="V565" s="46" t="s">
        <v>25</v>
      </c>
      <c r="W565" s="54"/>
    </row>
    <row r="566" spans="1:23" s="27" customFormat="1" ht="34.950000000000003" customHeight="1" x14ac:dyDescent="0.25">
      <c r="A566" s="12">
        <f>SUBTOTAL(3,$B$2:B566)</f>
        <v>565</v>
      </c>
      <c r="B566" s="42">
        <v>269</v>
      </c>
      <c r="C566" s="43">
        <v>45924</v>
      </c>
      <c r="D566" s="42">
        <v>0</v>
      </c>
      <c r="E566" s="43">
        <v>0</v>
      </c>
      <c r="F566" s="45" t="s">
        <v>681</v>
      </c>
      <c r="G566" s="52" t="s">
        <v>685</v>
      </c>
      <c r="H566" s="46" t="s">
        <v>16</v>
      </c>
      <c r="I566" s="12"/>
      <c r="J566" s="43"/>
      <c r="K566" s="59">
        <v>10</v>
      </c>
      <c r="L566" s="62">
        <f t="shared" si="24"/>
        <v>10</v>
      </c>
      <c r="M566" s="48">
        <f t="shared" si="26"/>
        <v>800</v>
      </c>
      <c r="N566" s="48">
        <v>80</v>
      </c>
      <c r="O566" s="50"/>
      <c r="P566" s="50"/>
      <c r="Q566" s="51">
        <f t="shared" si="25"/>
        <v>800</v>
      </c>
      <c r="R566" s="48"/>
      <c r="S566" s="24">
        <v>225204</v>
      </c>
      <c r="T566" s="43">
        <v>45924</v>
      </c>
      <c r="U566" s="43" t="s">
        <v>682</v>
      </c>
      <c r="V566" s="46" t="s">
        <v>25</v>
      </c>
      <c r="W566" s="54"/>
    </row>
    <row r="567" spans="1:23" s="27" customFormat="1" ht="34.950000000000003" customHeight="1" x14ac:dyDescent="0.25">
      <c r="A567" s="12">
        <f>SUBTOTAL(3,$B$2:B567)</f>
        <v>566</v>
      </c>
      <c r="B567" s="42">
        <v>270</v>
      </c>
      <c r="C567" s="43">
        <v>45928</v>
      </c>
      <c r="D567" s="42">
        <v>82510060003</v>
      </c>
      <c r="E567" s="43">
        <v>45936</v>
      </c>
      <c r="F567" s="45" t="s">
        <v>644</v>
      </c>
      <c r="G567" s="52" t="s">
        <v>680</v>
      </c>
      <c r="H567" s="46" t="s">
        <v>478</v>
      </c>
      <c r="I567" s="12"/>
      <c r="J567" s="43"/>
      <c r="K567" s="59">
        <v>10</v>
      </c>
      <c r="L567" s="49">
        <f t="shared" si="24"/>
        <v>10</v>
      </c>
      <c r="M567" s="48">
        <f t="shared" si="26"/>
        <v>1075.1000000000001</v>
      </c>
      <c r="N567" s="48">
        <v>107.51</v>
      </c>
      <c r="O567" s="50"/>
      <c r="P567" s="50"/>
      <c r="Q567" s="51">
        <f t="shared" si="25"/>
        <v>1075.1000000000001</v>
      </c>
      <c r="R567" s="48"/>
      <c r="S567" s="24">
        <v>11965</v>
      </c>
      <c r="T567" s="43">
        <v>45928</v>
      </c>
      <c r="U567" s="43" t="s">
        <v>91</v>
      </c>
      <c r="V567" s="46" t="s">
        <v>247</v>
      </c>
      <c r="W567" s="54" t="s">
        <v>34</v>
      </c>
    </row>
    <row r="568" spans="1:23" s="27" customFormat="1" ht="34.950000000000003" customHeight="1" x14ac:dyDescent="0.25">
      <c r="A568" s="12">
        <f>SUBTOTAL(3,$B$2:B568)</f>
        <v>567</v>
      </c>
      <c r="B568" s="42">
        <v>271</v>
      </c>
      <c r="C568" s="43">
        <v>45930</v>
      </c>
      <c r="D568" s="42">
        <v>82510060004</v>
      </c>
      <c r="E568" s="43">
        <v>45936</v>
      </c>
      <c r="F568" s="45" t="s">
        <v>644</v>
      </c>
      <c r="G568" s="52" t="s">
        <v>680</v>
      </c>
      <c r="H568" s="46" t="s">
        <v>478</v>
      </c>
      <c r="I568" s="12"/>
      <c r="J568" s="43"/>
      <c r="K568" s="59">
        <v>10</v>
      </c>
      <c r="L568" s="49">
        <f t="shared" si="24"/>
        <v>10</v>
      </c>
      <c r="M568" s="48">
        <f t="shared" si="26"/>
        <v>1075.1000000000001</v>
      </c>
      <c r="N568" s="48">
        <v>107.51</v>
      </c>
      <c r="O568" s="50"/>
      <c r="P568" s="50"/>
      <c r="Q568" s="51">
        <f t="shared" si="25"/>
        <v>1075.1000000000001</v>
      </c>
      <c r="R568" s="48"/>
      <c r="S568" s="24">
        <v>12964</v>
      </c>
      <c r="T568" s="43">
        <v>45930</v>
      </c>
      <c r="U568" s="43" t="s">
        <v>91</v>
      </c>
      <c r="V568" s="46" t="s">
        <v>247</v>
      </c>
      <c r="W568" s="54" t="s">
        <v>34</v>
      </c>
    </row>
    <row r="569" spans="1:23" s="27" customFormat="1" ht="34.950000000000003" customHeight="1" x14ac:dyDescent="0.25">
      <c r="A569" s="12">
        <f>SUBTOTAL(3,$B$2:B569)</f>
        <v>568</v>
      </c>
      <c r="B569" s="42">
        <v>272</v>
      </c>
      <c r="C569" s="43">
        <v>45930</v>
      </c>
      <c r="D569" s="42">
        <v>82510010001</v>
      </c>
      <c r="E569" s="44">
        <v>45931</v>
      </c>
      <c r="F569" s="45" t="s">
        <v>35</v>
      </c>
      <c r="G569" s="52" t="s">
        <v>36</v>
      </c>
      <c r="H569" s="46" t="s">
        <v>37</v>
      </c>
      <c r="I569" s="12" t="s">
        <v>38</v>
      </c>
      <c r="J569" s="43">
        <v>45733</v>
      </c>
      <c r="K569" s="63">
        <v>1.5</v>
      </c>
      <c r="L569" s="49">
        <f t="shared" si="24"/>
        <v>1.5</v>
      </c>
      <c r="M569" s="48">
        <f t="shared" si="26"/>
        <v>4957.62</v>
      </c>
      <c r="N569" s="48">
        <v>3305.08</v>
      </c>
      <c r="O569" s="50">
        <v>9</v>
      </c>
      <c r="P569" s="50">
        <v>9</v>
      </c>
      <c r="Q569" s="51">
        <f t="shared" si="25"/>
        <v>5849.9915999999994</v>
      </c>
      <c r="R569" s="48"/>
      <c r="S569" s="24" t="s">
        <v>686</v>
      </c>
      <c r="T569" s="43">
        <v>45930</v>
      </c>
      <c r="U569" s="43" t="s">
        <v>40</v>
      </c>
      <c r="V569" s="46" t="s">
        <v>33</v>
      </c>
      <c r="W569" s="54" t="s">
        <v>34</v>
      </c>
    </row>
    <row r="570" spans="1:23" s="27" customFormat="1" ht="34.950000000000003" customHeight="1" x14ac:dyDescent="0.25">
      <c r="A570" s="12">
        <f>SUBTOTAL(3,$B$2:B570)</f>
        <v>569</v>
      </c>
      <c r="B570" s="42">
        <v>273</v>
      </c>
      <c r="C570" s="43">
        <v>45933</v>
      </c>
      <c r="D570" s="42">
        <v>82510040001</v>
      </c>
      <c r="E570" s="44">
        <v>45934</v>
      </c>
      <c r="F570" s="45" t="s">
        <v>35</v>
      </c>
      <c r="G570" s="52" t="s">
        <v>36</v>
      </c>
      <c r="H570" s="46" t="s">
        <v>37</v>
      </c>
      <c r="I570" s="12" t="s">
        <v>38</v>
      </c>
      <c r="J570" s="43">
        <v>45733</v>
      </c>
      <c r="K570" s="55">
        <v>3.5</v>
      </c>
      <c r="L570" s="49">
        <f t="shared" si="24"/>
        <v>3.5</v>
      </c>
      <c r="M570" s="48">
        <f t="shared" si="26"/>
        <v>11567.779999999999</v>
      </c>
      <c r="N570" s="48">
        <v>3305.08</v>
      </c>
      <c r="O570" s="50">
        <v>9</v>
      </c>
      <c r="P570" s="50">
        <v>9</v>
      </c>
      <c r="Q570" s="51">
        <f t="shared" si="25"/>
        <v>13649.980399999999</v>
      </c>
      <c r="R570" s="48"/>
      <c r="S570" s="24" t="s">
        <v>687</v>
      </c>
      <c r="T570" s="43">
        <v>45933</v>
      </c>
      <c r="U570" s="43" t="s">
        <v>99</v>
      </c>
      <c r="V570" s="46" t="s">
        <v>33</v>
      </c>
      <c r="W570" s="54" t="s">
        <v>34</v>
      </c>
    </row>
    <row r="571" spans="1:23" s="27" customFormat="1" ht="34.950000000000003" customHeight="1" x14ac:dyDescent="0.25">
      <c r="A571" s="12">
        <f>SUBTOTAL(3,$B$2:B571)</f>
        <v>570</v>
      </c>
      <c r="B571" s="42">
        <v>274</v>
      </c>
      <c r="C571" s="43">
        <v>45934</v>
      </c>
      <c r="D571" s="42">
        <v>82510060005</v>
      </c>
      <c r="E571" s="43">
        <v>45936</v>
      </c>
      <c r="F571" s="45" t="s">
        <v>644</v>
      </c>
      <c r="G571" s="52" t="s">
        <v>680</v>
      </c>
      <c r="H571" s="46" t="s">
        <v>478</v>
      </c>
      <c r="I571" s="12"/>
      <c r="J571" s="43"/>
      <c r="K571" s="59">
        <v>10</v>
      </c>
      <c r="L571" s="49">
        <f t="shared" si="24"/>
        <v>10</v>
      </c>
      <c r="M571" s="48">
        <f t="shared" si="26"/>
        <v>1075</v>
      </c>
      <c r="N571" s="48">
        <v>107.5</v>
      </c>
      <c r="O571" s="50"/>
      <c r="P571" s="50"/>
      <c r="Q571" s="51">
        <f t="shared" si="25"/>
        <v>1075</v>
      </c>
      <c r="R571" s="48"/>
      <c r="S571" s="24" t="s">
        <v>688</v>
      </c>
      <c r="T571" s="43">
        <v>45934</v>
      </c>
      <c r="U571" s="43" t="s">
        <v>638</v>
      </c>
      <c r="V571" s="46" t="s">
        <v>247</v>
      </c>
      <c r="W571" s="54" t="s">
        <v>34</v>
      </c>
    </row>
    <row r="572" spans="1:23" s="27" customFormat="1" ht="34.950000000000003" customHeight="1" x14ac:dyDescent="0.25">
      <c r="A572" s="12">
        <f>SUBTOTAL(3,$B$2:B572)</f>
        <v>571</v>
      </c>
      <c r="B572" s="42">
        <v>275</v>
      </c>
      <c r="C572" s="43">
        <v>45934</v>
      </c>
      <c r="D572" s="42">
        <v>82510060008</v>
      </c>
      <c r="E572" s="44">
        <v>45936</v>
      </c>
      <c r="F572" s="45" t="s">
        <v>35</v>
      </c>
      <c r="G572" s="70" t="s">
        <v>485</v>
      </c>
      <c r="H572" s="57" t="s">
        <v>37</v>
      </c>
      <c r="I572" s="12" t="s">
        <v>38</v>
      </c>
      <c r="J572" s="43">
        <v>45733</v>
      </c>
      <c r="K572" s="55">
        <v>7</v>
      </c>
      <c r="L572" s="49">
        <f t="shared" si="24"/>
        <v>7</v>
      </c>
      <c r="M572" s="48">
        <f t="shared" si="26"/>
        <v>35296.589999999997</v>
      </c>
      <c r="N572" s="48">
        <v>5042.37</v>
      </c>
      <c r="O572" s="50">
        <v>9</v>
      </c>
      <c r="P572" s="50">
        <v>9</v>
      </c>
      <c r="Q572" s="51">
        <f t="shared" si="25"/>
        <v>41649.97619999999</v>
      </c>
      <c r="R572" s="48"/>
      <c r="S572" s="24" t="s">
        <v>689</v>
      </c>
      <c r="T572" s="43">
        <v>45934</v>
      </c>
      <c r="U572" s="43" t="s">
        <v>101</v>
      </c>
      <c r="V572" s="46" t="s">
        <v>33</v>
      </c>
      <c r="W572" s="54" t="s">
        <v>34</v>
      </c>
    </row>
    <row r="573" spans="1:23" s="27" customFormat="1" ht="34.950000000000003" customHeight="1" x14ac:dyDescent="0.25">
      <c r="A573" s="12">
        <f>SUBTOTAL(3,$B$2:B573)</f>
        <v>572</v>
      </c>
      <c r="B573" s="42">
        <v>276</v>
      </c>
      <c r="C573" s="43">
        <v>45934</v>
      </c>
      <c r="D573" s="42">
        <v>82510060009</v>
      </c>
      <c r="E573" s="44">
        <v>45936</v>
      </c>
      <c r="F573" s="45" t="s">
        <v>35</v>
      </c>
      <c r="G573" s="70" t="s">
        <v>485</v>
      </c>
      <c r="H573" s="57" t="s">
        <v>37</v>
      </c>
      <c r="I573" s="12" t="s">
        <v>38</v>
      </c>
      <c r="J573" s="43">
        <v>45733</v>
      </c>
      <c r="K573" s="55">
        <v>7</v>
      </c>
      <c r="L573" s="49">
        <f t="shared" si="24"/>
        <v>7</v>
      </c>
      <c r="M573" s="48">
        <f t="shared" si="26"/>
        <v>35296.589999999997</v>
      </c>
      <c r="N573" s="48">
        <v>5042.37</v>
      </c>
      <c r="O573" s="50">
        <v>9</v>
      </c>
      <c r="P573" s="50">
        <v>9</v>
      </c>
      <c r="Q573" s="51">
        <f t="shared" si="25"/>
        <v>41649.97619999999</v>
      </c>
      <c r="R573" s="48"/>
      <c r="S573" s="24" t="s">
        <v>690</v>
      </c>
      <c r="T573" s="43">
        <v>45934</v>
      </c>
      <c r="U573" s="43" t="s">
        <v>230</v>
      </c>
      <c r="V573" s="46" t="s">
        <v>33</v>
      </c>
      <c r="W573" s="54" t="s">
        <v>34</v>
      </c>
    </row>
    <row r="574" spans="1:23" s="27" customFormat="1" ht="34.950000000000003" customHeight="1" x14ac:dyDescent="0.25">
      <c r="A574" s="12">
        <f>SUBTOTAL(3,$B$2:B574)</f>
        <v>573</v>
      </c>
      <c r="B574" s="42">
        <v>277</v>
      </c>
      <c r="C574" s="43">
        <v>45934</v>
      </c>
      <c r="D574" s="42">
        <v>82510060010</v>
      </c>
      <c r="E574" s="44">
        <v>45936</v>
      </c>
      <c r="F574" s="45" t="s">
        <v>35</v>
      </c>
      <c r="G574" s="69" t="s">
        <v>485</v>
      </c>
      <c r="H574" s="46" t="s">
        <v>37</v>
      </c>
      <c r="I574" s="12" t="s">
        <v>38</v>
      </c>
      <c r="J574" s="43">
        <v>45733</v>
      </c>
      <c r="K574" s="104">
        <v>7</v>
      </c>
      <c r="L574" s="49">
        <f t="shared" si="24"/>
        <v>7</v>
      </c>
      <c r="M574" s="48">
        <f t="shared" si="26"/>
        <v>35296.589999999997</v>
      </c>
      <c r="N574" s="48">
        <v>5042.37</v>
      </c>
      <c r="O574" s="50">
        <v>9</v>
      </c>
      <c r="P574" s="50">
        <v>9</v>
      </c>
      <c r="Q574" s="51">
        <f t="shared" si="25"/>
        <v>41649.97619999999</v>
      </c>
      <c r="R574" s="48"/>
      <c r="S574" s="24" t="s">
        <v>691</v>
      </c>
      <c r="T574" s="43">
        <v>45934</v>
      </c>
      <c r="U574" s="43" t="s">
        <v>492</v>
      </c>
      <c r="V574" s="46" t="s">
        <v>33</v>
      </c>
      <c r="W574" s="54" t="s">
        <v>34</v>
      </c>
    </row>
    <row r="575" spans="1:23" s="27" customFormat="1" ht="34.950000000000003" customHeight="1" x14ac:dyDescent="0.25">
      <c r="A575" s="12">
        <f>SUBTOTAL(3,$B$2:B575)</f>
        <v>574</v>
      </c>
      <c r="B575" s="42">
        <v>278</v>
      </c>
      <c r="C575" s="43">
        <v>45934</v>
      </c>
      <c r="D575" s="42">
        <v>82510060011</v>
      </c>
      <c r="E575" s="44">
        <v>45936</v>
      </c>
      <c r="F575" s="45" t="s">
        <v>35</v>
      </c>
      <c r="G575" s="52" t="s">
        <v>485</v>
      </c>
      <c r="H575" s="57" t="s">
        <v>37</v>
      </c>
      <c r="I575" s="12" t="s">
        <v>38</v>
      </c>
      <c r="J575" s="43">
        <v>45733</v>
      </c>
      <c r="K575" s="55">
        <v>7</v>
      </c>
      <c r="L575" s="49">
        <f t="shared" si="24"/>
        <v>7</v>
      </c>
      <c r="M575" s="48">
        <f t="shared" si="26"/>
        <v>35296.589999999997</v>
      </c>
      <c r="N575" s="48">
        <v>5042.37</v>
      </c>
      <c r="O575" s="50">
        <v>9</v>
      </c>
      <c r="P575" s="50">
        <v>9</v>
      </c>
      <c r="Q575" s="51">
        <f t="shared" si="25"/>
        <v>41649.97619999999</v>
      </c>
      <c r="R575" s="48"/>
      <c r="S575" s="24" t="s">
        <v>692</v>
      </c>
      <c r="T575" s="43">
        <v>45934</v>
      </c>
      <c r="U575" s="43" t="s">
        <v>101</v>
      </c>
      <c r="V575" s="46" t="s">
        <v>33</v>
      </c>
      <c r="W575" s="54" t="s">
        <v>34</v>
      </c>
    </row>
    <row r="576" spans="1:23" s="27" customFormat="1" ht="34.950000000000003" customHeight="1" x14ac:dyDescent="0.25">
      <c r="A576" s="12">
        <f>SUBTOTAL(3,$B$2:B576)</f>
        <v>575</v>
      </c>
      <c r="B576" s="42">
        <v>279</v>
      </c>
      <c r="C576" s="43">
        <v>45934</v>
      </c>
      <c r="D576" s="42">
        <v>82510060012</v>
      </c>
      <c r="E576" s="44">
        <v>45936</v>
      </c>
      <c r="F576" s="45" t="s">
        <v>35</v>
      </c>
      <c r="G576" s="52" t="s">
        <v>485</v>
      </c>
      <c r="H576" s="46" t="s">
        <v>37</v>
      </c>
      <c r="I576" s="12" t="s">
        <v>38</v>
      </c>
      <c r="J576" s="43">
        <v>45733</v>
      </c>
      <c r="K576" s="55">
        <v>7</v>
      </c>
      <c r="L576" s="49">
        <f t="shared" si="24"/>
        <v>7</v>
      </c>
      <c r="M576" s="48">
        <f t="shared" si="26"/>
        <v>35296.589999999997</v>
      </c>
      <c r="N576" s="48">
        <v>5042.37</v>
      </c>
      <c r="O576" s="50">
        <v>9</v>
      </c>
      <c r="P576" s="50">
        <v>9</v>
      </c>
      <c r="Q576" s="51">
        <f t="shared" si="25"/>
        <v>41649.97619999999</v>
      </c>
      <c r="R576" s="48"/>
      <c r="S576" s="24" t="s">
        <v>693</v>
      </c>
      <c r="T576" s="43">
        <v>45934</v>
      </c>
      <c r="U576" s="24" t="s">
        <v>230</v>
      </c>
      <c r="V576" s="46" t="s">
        <v>33</v>
      </c>
      <c r="W576" s="54" t="s">
        <v>34</v>
      </c>
    </row>
    <row r="577" spans="1:23" s="27" customFormat="1" ht="34.950000000000003" customHeight="1" x14ac:dyDescent="0.35">
      <c r="A577" s="12">
        <f>SUBTOTAL(3,$B$2:B577)</f>
        <v>576</v>
      </c>
      <c r="B577" s="42">
        <v>280</v>
      </c>
      <c r="C577" s="43">
        <v>45934</v>
      </c>
      <c r="D577" s="42">
        <v>82510080002</v>
      </c>
      <c r="E577" s="44">
        <v>45938</v>
      </c>
      <c r="F577" s="45" t="s">
        <v>35</v>
      </c>
      <c r="G577" s="53" t="s">
        <v>485</v>
      </c>
      <c r="H577" s="72" t="s">
        <v>37</v>
      </c>
      <c r="I577" s="12" t="s">
        <v>38</v>
      </c>
      <c r="J577" s="43">
        <v>45733</v>
      </c>
      <c r="K577" s="55">
        <v>7</v>
      </c>
      <c r="L577" s="49">
        <f t="shared" si="24"/>
        <v>7</v>
      </c>
      <c r="M577" s="48">
        <f t="shared" si="26"/>
        <v>35296.589999999997</v>
      </c>
      <c r="N577" s="48">
        <v>5042.37</v>
      </c>
      <c r="O577" s="50">
        <v>9</v>
      </c>
      <c r="P577" s="50">
        <v>9</v>
      </c>
      <c r="Q577" s="51">
        <f t="shared" si="25"/>
        <v>41649.97619999999</v>
      </c>
      <c r="R577" s="48"/>
      <c r="S577" s="24" t="s">
        <v>694</v>
      </c>
      <c r="T577" s="43">
        <v>45934</v>
      </c>
      <c r="U577" s="24" t="s">
        <v>97</v>
      </c>
      <c r="V577" s="46" t="s">
        <v>33</v>
      </c>
      <c r="W577" s="54" t="s">
        <v>34</v>
      </c>
    </row>
    <row r="578" spans="1:23" s="27" customFormat="1" ht="34.950000000000003" customHeight="1" x14ac:dyDescent="0.25">
      <c r="A578" s="12">
        <f>SUBTOTAL(3,$B$2:B578)</f>
        <v>577</v>
      </c>
      <c r="B578" s="42">
        <v>281</v>
      </c>
      <c r="C578" s="43">
        <v>45934</v>
      </c>
      <c r="D578" s="42">
        <v>82510080003</v>
      </c>
      <c r="E578" s="44">
        <v>45938</v>
      </c>
      <c r="F578" s="45" t="s">
        <v>35</v>
      </c>
      <c r="G578" s="71" t="s">
        <v>485</v>
      </c>
      <c r="H578" s="76" t="s">
        <v>37</v>
      </c>
      <c r="I578" s="12" t="s">
        <v>38</v>
      </c>
      <c r="J578" s="43">
        <v>45733</v>
      </c>
      <c r="K578" s="55">
        <v>6</v>
      </c>
      <c r="L578" s="49">
        <f t="shared" ref="L578:L641" si="27">K578</f>
        <v>6</v>
      </c>
      <c r="M578" s="48">
        <f t="shared" si="26"/>
        <v>30254.22</v>
      </c>
      <c r="N578" s="48">
        <v>5042.37</v>
      </c>
      <c r="O578" s="50">
        <v>9</v>
      </c>
      <c r="P578" s="50">
        <v>9</v>
      </c>
      <c r="Q578" s="51">
        <f t="shared" ref="Q578:Q641" si="28">IF(M578="","",M578*(1+(O578+P578)/100))</f>
        <v>35699.979599999999</v>
      </c>
      <c r="R578" s="48"/>
      <c r="S578" s="24" t="s">
        <v>695</v>
      </c>
      <c r="T578" s="43">
        <v>45934</v>
      </c>
      <c r="U578" s="24" t="s">
        <v>492</v>
      </c>
      <c r="V578" s="46" t="s">
        <v>33</v>
      </c>
      <c r="W578" s="54" t="s">
        <v>34</v>
      </c>
    </row>
    <row r="579" spans="1:23" s="27" customFormat="1" ht="34.950000000000003" customHeight="1" x14ac:dyDescent="0.25">
      <c r="A579" s="12">
        <f>SUBTOTAL(3,$B$2:B579)</f>
        <v>578</v>
      </c>
      <c r="B579" s="42">
        <v>282</v>
      </c>
      <c r="C579" s="43">
        <v>45934</v>
      </c>
      <c r="D579" s="42">
        <v>82510060007</v>
      </c>
      <c r="E579" s="43">
        <v>45936</v>
      </c>
      <c r="F579" s="45" t="s">
        <v>518</v>
      </c>
      <c r="G579" s="71" t="s">
        <v>639</v>
      </c>
      <c r="H579" s="76" t="s">
        <v>16</v>
      </c>
      <c r="I579" s="46"/>
      <c r="J579" s="43"/>
      <c r="K579" s="73">
        <v>500</v>
      </c>
      <c r="L579" s="49">
        <f t="shared" si="27"/>
        <v>500</v>
      </c>
      <c r="M579" s="48">
        <f t="shared" si="26"/>
        <v>500</v>
      </c>
      <c r="N579" s="48">
        <v>1</v>
      </c>
      <c r="O579" s="50"/>
      <c r="P579" s="50"/>
      <c r="Q579" s="51">
        <f t="shared" si="28"/>
        <v>500</v>
      </c>
      <c r="R579" s="48"/>
      <c r="S579" s="24" t="s">
        <v>696</v>
      </c>
      <c r="T579" s="43">
        <v>45934</v>
      </c>
      <c r="U579" s="24" t="s">
        <v>638</v>
      </c>
      <c r="V579" s="46" t="s">
        <v>247</v>
      </c>
      <c r="W579" s="54" t="s">
        <v>34</v>
      </c>
    </row>
    <row r="580" spans="1:23" s="27" customFormat="1" ht="34.950000000000003" customHeight="1" x14ac:dyDescent="0.25">
      <c r="A580" s="12">
        <f>SUBTOTAL(3,$B$2:B580)</f>
        <v>579</v>
      </c>
      <c r="B580" s="42">
        <v>283</v>
      </c>
      <c r="C580" s="43">
        <v>45938</v>
      </c>
      <c r="D580" s="42">
        <v>82510080001</v>
      </c>
      <c r="E580" s="43">
        <v>45938</v>
      </c>
      <c r="F580" s="45" t="s">
        <v>644</v>
      </c>
      <c r="G580" s="52" t="s">
        <v>680</v>
      </c>
      <c r="H580" s="57" t="s">
        <v>478</v>
      </c>
      <c r="I580" s="46"/>
      <c r="J580" s="43"/>
      <c r="K580" s="47">
        <v>20</v>
      </c>
      <c r="L580" s="49">
        <f t="shared" si="27"/>
        <v>20</v>
      </c>
      <c r="M580" s="48">
        <f t="shared" ref="M580:M643" si="29">L580*N580</f>
        <v>2150.2000000000003</v>
      </c>
      <c r="N580" s="48">
        <v>107.51</v>
      </c>
      <c r="O580" s="50"/>
      <c r="P580" s="50"/>
      <c r="Q580" s="51">
        <f t="shared" si="28"/>
        <v>2150.2000000000003</v>
      </c>
      <c r="R580" s="48"/>
      <c r="S580" s="24" t="s">
        <v>697</v>
      </c>
      <c r="T580" s="43">
        <v>45938</v>
      </c>
      <c r="U580" s="43" t="s">
        <v>638</v>
      </c>
      <c r="V580" s="46" t="s">
        <v>247</v>
      </c>
      <c r="W580" s="54" t="s">
        <v>34</v>
      </c>
    </row>
    <row r="581" spans="1:23" s="27" customFormat="1" ht="34.950000000000003" customHeight="1" x14ac:dyDescent="0.25">
      <c r="A581" s="12">
        <f>SUBTOTAL(3,$B$2:B581)</f>
        <v>580</v>
      </c>
      <c r="B581" s="42">
        <v>284</v>
      </c>
      <c r="C581" s="43">
        <v>45940</v>
      </c>
      <c r="D581" s="42">
        <v>82510110001</v>
      </c>
      <c r="E581" s="44">
        <v>45941</v>
      </c>
      <c r="F581" s="45" t="s">
        <v>35</v>
      </c>
      <c r="G581" s="52" t="s">
        <v>485</v>
      </c>
      <c r="H581" s="46" t="s">
        <v>37</v>
      </c>
      <c r="I581" s="12" t="s">
        <v>38</v>
      </c>
      <c r="J581" s="43">
        <v>45733</v>
      </c>
      <c r="K581" s="55">
        <v>1</v>
      </c>
      <c r="L581" s="49">
        <f t="shared" si="27"/>
        <v>1</v>
      </c>
      <c r="M581" s="48">
        <f t="shared" si="29"/>
        <v>5042.37</v>
      </c>
      <c r="N581" s="48">
        <v>5042.37</v>
      </c>
      <c r="O581" s="50">
        <v>9</v>
      </c>
      <c r="P581" s="50">
        <v>9</v>
      </c>
      <c r="Q581" s="51">
        <f t="shared" si="28"/>
        <v>5949.9965999999995</v>
      </c>
      <c r="R581" s="48"/>
      <c r="S581" s="24" t="s">
        <v>698</v>
      </c>
      <c r="T581" s="43">
        <v>45940</v>
      </c>
      <c r="U581" s="43" t="s">
        <v>97</v>
      </c>
      <c r="V581" s="46" t="s">
        <v>33</v>
      </c>
      <c r="W581" s="54" t="s">
        <v>34</v>
      </c>
    </row>
    <row r="582" spans="1:23" s="27" customFormat="1" ht="34.950000000000003" customHeight="1" x14ac:dyDescent="0.25">
      <c r="A582" s="12">
        <f>SUBTOTAL(3,$B$2:B582)</f>
        <v>581</v>
      </c>
      <c r="B582" s="42">
        <v>285</v>
      </c>
      <c r="C582" s="43">
        <v>45941</v>
      </c>
      <c r="D582" s="42">
        <v>82510130001</v>
      </c>
      <c r="E582" s="44">
        <v>45943</v>
      </c>
      <c r="F582" s="45" t="s">
        <v>35</v>
      </c>
      <c r="G582" s="52" t="s">
        <v>36</v>
      </c>
      <c r="H582" s="46" t="s">
        <v>37</v>
      </c>
      <c r="I582" s="12" t="s">
        <v>38</v>
      </c>
      <c r="J582" s="43">
        <v>45733</v>
      </c>
      <c r="K582" s="63">
        <v>7</v>
      </c>
      <c r="L582" s="49">
        <f t="shared" si="27"/>
        <v>7</v>
      </c>
      <c r="M582" s="48">
        <f t="shared" si="29"/>
        <v>23135.559999999998</v>
      </c>
      <c r="N582" s="48">
        <v>3305.08</v>
      </c>
      <c r="O582" s="50">
        <v>9</v>
      </c>
      <c r="P582" s="50">
        <v>9</v>
      </c>
      <c r="Q582" s="51">
        <f t="shared" si="28"/>
        <v>27299.960799999997</v>
      </c>
      <c r="R582" s="48"/>
      <c r="S582" s="24" t="s">
        <v>699</v>
      </c>
      <c r="T582" s="43">
        <v>45941</v>
      </c>
      <c r="U582" s="43" t="s">
        <v>514</v>
      </c>
      <c r="V582" s="46" t="s">
        <v>33</v>
      </c>
      <c r="W582" s="54" t="s">
        <v>34</v>
      </c>
    </row>
    <row r="583" spans="1:23" s="27" customFormat="1" ht="34.950000000000003" customHeight="1" x14ac:dyDescent="0.25">
      <c r="A583" s="12">
        <f>SUBTOTAL(3,$B$2:B583)</f>
        <v>582</v>
      </c>
      <c r="B583" s="42">
        <v>286</v>
      </c>
      <c r="C583" s="43">
        <v>45941</v>
      </c>
      <c r="D583" s="42">
        <v>82510130002</v>
      </c>
      <c r="E583" s="44">
        <v>45943</v>
      </c>
      <c r="F583" s="45" t="s">
        <v>35</v>
      </c>
      <c r="G583" s="52" t="s">
        <v>36</v>
      </c>
      <c r="H583" s="46" t="s">
        <v>37</v>
      </c>
      <c r="I583" s="12" t="s">
        <v>38</v>
      </c>
      <c r="J583" s="43">
        <v>45733</v>
      </c>
      <c r="K583" s="63">
        <v>7</v>
      </c>
      <c r="L583" s="49">
        <f t="shared" si="27"/>
        <v>7</v>
      </c>
      <c r="M583" s="48">
        <f t="shared" si="29"/>
        <v>23135.559999999998</v>
      </c>
      <c r="N583" s="48">
        <v>3305.08</v>
      </c>
      <c r="O583" s="50">
        <v>9</v>
      </c>
      <c r="P583" s="50">
        <v>9</v>
      </c>
      <c r="Q583" s="51">
        <f t="shared" si="28"/>
        <v>27299.960799999997</v>
      </c>
      <c r="R583" s="48"/>
      <c r="S583" s="24" t="s">
        <v>700</v>
      </c>
      <c r="T583" s="43">
        <v>45941</v>
      </c>
      <c r="U583" s="43" t="s">
        <v>101</v>
      </c>
      <c r="V583" s="46" t="s">
        <v>33</v>
      </c>
      <c r="W583" s="54" t="s">
        <v>34</v>
      </c>
    </row>
    <row r="584" spans="1:23" s="27" customFormat="1" ht="34.950000000000003" customHeight="1" x14ac:dyDescent="0.25">
      <c r="A584" s="12">
        <f>SUBTOTAL(3,$B$2:B584)</f>
        <v>583</v>
      </c>
      <c r="B584" s="42">
        <v>287</v>
      </c>
      <c r="C584" s="43">
        <v>45941</v>
      </c>
      <c r="D584" s="42">
        <v>82510130003</v>
      </c>
      <c r="E584" s="44">
        <v>45943</v>
      </c>
      <c r="F584" s="45" t="s">
        <v>35</v>
      </c>
      <c r="G584" s="52" t="s">
        <v>485</v>
      </c>
      <c r="H584" s="46" t="s">
        <v>37</v>
      </c>
      <c r="I584" s="12" t="s">
        <v>38</v>
      </c>
      <c r="J584" s="43">
        <v>45733</v>
      </c>
      <c r="K584" s="63">
        <v>7</v>
      </c>
      <c r="L584" s="49">
        <f t="shared" si="27"/>
        <v>7</v>
      </c>
      <c r="M584" s="48">
        <f t="shared" si="29"/>
        <v>35296.589999999997</v>
      </c>
      <c r="N584" s="48">
        <v>5042.37</v>
      </c>
      <c r="O584" s="50">
        <v>9</v>
      </c>
      <c r="P584" s="50">
        <v>9</v>
      </c>
      <c r="Q584" s="51">
        <f t="shared" si="28"/>
        <v>41649.97619999999</v>
      </c>
      <c r="R584" s="48"/>
      <c r="S584" s="24" t="s">
        <v>701</v>
      </c>
      <c r="T584" s="43">
        <v>45941</v>
      </c>
      <c r="U584" s="43" t="s">
        <v>40</v>
      </c>
      <c r="V584" s="46" t="s">
        <v>33</v>
      </c>
      <c r="W584" s="54" t="s">
        <v>34</v>
      </c>
    </row>
    <row r="585" spans="1:23" s="27" customFormat="1" ht="34.950000000000003" customHeight="1" x14ac:dyDescent="0.25">
      <c r="A585" s="12">
        <f>SUBTOTAL(3,$B$2:B585)</f>
        <v>584</v>
      </c>
      <c r="B585" s="42">
        <v>288</v>
      </c>
      <c r="C585" s="43">
        <v>45941</v>
      </c>
      <c r="D585" s="42">
        <v>82510130004</v>
      </c>
      <c r="E585" s="44">
        <v>45943</v>
      </c>
      <c r="F585" s="45" t="s">
        <v>35</v>
      </c>
      <c r="G585" s="52" t="s">
        <v>485</v>
      </c>
      <c r="H585" s="46" t="s">
        <v>37</v>
      </c>
      <c r="I585" s="12" t="s">
        <v>38</v>
      </c>
      <c r="J585" s="43">
        <v>45733</v>
      </c>
      <c r="K585" s="55">
        <v>7</v>
      </c>
      <c r="L585" s="49">
        <f t="shared" si="27"/>
        <v>7</v>
      </c>
      <c r="M585" s="48">
        <f t="shared" si="29"/>
        <v>35296.589999999997</v>
      </c>
      <c r="N585" s="48">
        <v>5042.37</v>
      </c>
      <c r="O585" s="50">
        <v>9</v>
      </c>
      <c r="P585" s="50">
        <v>9</v>
      </c>
      <c r="Q585" s="51">
        <f t="shared" si="28"/>
        <v>41649.97619999999</v>
      </c>
      <c r="R585" s="48"/>
      <c r="S585" s="24" t="s">
        <v>702</v>
      </c>
      <c r="T585" s="43">
        <v>45941</v>
      </c>
      <c r="U585" s="24" t="s">
        <v>703</v>
      </c>
      <c r="V585" s="46" t="s">
        <v>33</v>
      </c>
      <c r="W585" s="54" t="s">
        <v>34</v>
      </c>
    </row>
    <row r="586" spans="1:23" s="27" customFormat="1" ht="34.950000000000003" customHeight="1" x14ac:dyDescent="0.25">
      <c r="A586" s="12">
        <f>SUBTOTAL(3,$B$2:B586)</f>
        <v>585</v>
      </c>
      <c r="B586" s="42">
        <v>289</v>
      </c>
      <c r="C586" s="43">
        <v>45941</v>
      </c>
      <c r="D586" s="42">
        <v>82510130005</v>
      </c>
      <c r="E586" s="44">
        <v>45943</v>
      </c>
      <c r="F586" s="45" t="s">
        <v>35</v>
      </c>
      <c r="G586" s="71" t="s">
        <v>485</v>
      </c>
      <c r="H586" s="76" t="s">
        <v>37</v>
      </c>
      <c r="I586" s="12" t="s">
        <v>38</v>
      </c>
      <c r="J586" s="43">
        <v>45733</v>
      </c>
      <c r="K586" s="104">
        <v>6</v>
      </c>
      <c r="L586" s="49">
        <f t="shared" si="27"/>
        <v>6</v>
      </c>
      <c r="M586" s="48">
        <f t="shared" si="29"/>
        <v>30254.22</v>
      </c>
      <c r="N586" s="48">
        <v>5042.37</v>
      </c>
      <c r="O586" s="50">
        <v>9</v>
      </c>
      <c r="P586" s="50">
        <v>9</v>
      </c>
      <c r="Q586" s="51">
        <f t="shared" si="28"/>
        <v>35699.979599999999</v>
      </c>
      <c r="R586" s="48"/>
      <c r="S586" s="24" t="s">
        <v>704</v>
      </c>
      <c r="T586" s="43">
        <v>45941</v>
      </c>
      <c r="U586" s="24" t="s">
        <v>101</v>
      </c>
      <c r="V586" s="46" t="s">
        <v>33</v>
      </c>
      <c r="W586" s="54" t="s">
        <v>34</v>
      </c>
    </row>
    <row r="587" spans="1:23" s="27" customFormat="1" ht="34.950000000000003" customHeight="1" x14ac:dyDescent="0.25">
      <c r="A587" s="12">
        <f>SUBTOTAL(3,$B$2:B587)</f>
        <v>586</v>
      </c>
      <c r="B587" s="42">
        <v>290</v>
      </c>
      <c r="C587" s="43">
        <v>45945</v>
      </c>
      <c r="D587" s="42">
        <v>0</v>
      </c>
      <c r="E587" s="43">
        <v>0</v>
      </c>
      <c r="F587" s="45" t="s">
        <v>705</v>
      </c>
      <c r="G587" s="71" t="s">
        <v>706</v>
      </c>
      <c r="H587" s="76" t="s">
        <v>23</v>
      </c>
      <c r="I587" s="46"/>
      <c r="J587" s="43"/>
      <c r="K587" s="80">
        <v>750</v>
      </c>
      <c r="L587" s="62">
        <f t="shared" si="27"/>
        <v>750</v>
      </c>
      <c r="M587" s="48">
        <f t="shared" si="29"/>
        <v>37500</v>
      </c>
      <c r="N587" s="48">
        <v>50</v>
      </c>
      <c r="O587" s="50"/>
      <c r="P587" s="50"/>
      <c r="Q587" s="51">
        <f t="shared" si="28"/>
        <v>37500</v>
      </c>
      <c r="R587" s="48"/>
      <c r="S587" s="24">
        <v>129333</v>
      </c>
      <c r="T587" s="43">
        <v>45944</v>
      </c>
      <c r="U587" s="24" t="s">
        <v>707</v>
      </c>
      <c r="V587" s="46" t="s">
        <v>25</v>
      </c>
      <c r="W587" s="54"/>
    </row>
    <row r="588" spans="1:23" s="27" customFormat="1" ht="34.950000000000003" customHeight="1" x14ac:dyDescent="0.25">
      <c r="A588" s="12">
        <f>SUBTOTAL(3,$B$2:B588)</f>
        <v>587</v>
      </c>
      <c r="B588" s="42">
        <v>290</v>
      </c>
      <c r="C588" s="43">
        <v>45945</v>
      </c>
      <c r="D588" s="42">
        <v>0</v>
      </c>
      <c r="E588" s="43">
        <v>0</v>
      </c>
      <c r="F588" s="45" t="s">
        <v>705</v>
      </c>
      <c r="G588" s="71" t="s">
        <v>708</v>
      </c>
      <c r="H588" s="76" t="s">
        <v>709</v>
      </c>
      <c r="I588" s="46"/>
      <c r="J588" s="43"/>
      <c r="K588" s="80">
        <v>4</v>
      </c>
      <c r="L588" s="62">
        <f t="shared" si="27"/>
        <v>4</v>
      </c>
      <c r="M588" s="48">
        <f t="shared" si="29"/>
        <v>12000</v>
      </c>
      <c r="N588" s="48">
        <v>3000</v>
      </c>
      <c r="O588" s="50"/>
      <c r="P588" s="50"/>
      <c r="Q588" s="51">
        <f t="shared" si="28"/>
        <v>12000</v>
      </c>
      <c r="R588" s="48"/>
      <c r="S588" s="24">
        <v>129333</v>
      </c>
      <c r="T588" s="43">
        <v>45944</v>
      </c>
      <c r="U588" s="24" t="s">
        <v>707</v>
      </c>
      <c r="V588" s="46" t="s">
        <v>25</v>
      </c>
      <c r="W588" s="54"/>
    </row>
    <row r="589" spans="1:23" s="27" customFormat="1" ht="34.950000000000003" customHeight="1" x14ac:dyDescent="0.35">
      <c r="A589" s="12">
        <f>SUBTOTAL(3,$B$2:B589)</f>
        <v>588</v>
      </c>
      <c r="B589" s="42">
        <v>290</v>
      </c>
      <c r="C589" s="43">
        <v>45945</v>
      </c>
      <c r="D589" s="42">
        <v>0</v>
      </c>
      <c r="E589" s="43">
        <v>0</v>
      </c>
      <c r="F589" s="45" t="s">
        <v>705</v>
      </c>
      <c r="G589" s="53" t="s">
        <v>684</v>
      </c>
      <c r="H589" s="72" t="s">
        <v>16</v>
      </c>
      <c r="I589" s="46"/>
      <c r="J589" s="43"/>
      <c r="K589" s="80">
        <v>34</v>
      </c>
      <c r="L589" s="62">
        <f t="shared" si="27"/>
        <v>34</v>
      </c>
      <c r="M589" s="48">
        <f t="shared" si="29"/>
        <v>2550</v>
      </c>
      <c r="N589" s="48">
        <v>75</v>
      </c>
      <c r="O589" s="50"/>
      <c r="P589" s="50"/>
      <c r="Q589" s="51">
        <f t="shared" si="28"/>
        <v>2550</v>
      </c>
      <c r="R589" s="48"/>
      <c r="S589" s="24">
        <v>129333</v>
      </c>
      <c r="T589" s="43">
        <v>45944</v>
      </c>
      <c r="U589" s="24" t="s">
        <v>707</v>
      </c>
      <c r="V589" s="46" t="s">
        <v>25</v>
      </c>
      <c r="W589" s="54"/>
    </row>
    <row r="590" spans="1:23" s="27" customFormat="1" ht="34.950000000000003" customHeight="1" x14ac:dyDescent="0.25">
      <c r="A590" s="12">
        <f>SUBTOTAL(3,$B$2:B590)</f>
        <v>589</v>
      </c>
      <c r="B590" s="42">
        <v>290</v>
      </c>
      <c r="C590" s="43">
        <v>45945</v>
      </c>
      <c r="D590" s="42">
        <v>0</v>
      </c>
      <c r="E590" s="43">
        <v>0</v>
      </c>
      <c r="F590" s="45" t="s">
        <v>705</v>
      </c>
      <c r="G590" s="71" t="s">
        <v>710</v>
      </c>
      <c r="H590" s="76" t="s">
        <v>16</v>
      </c>
      <c r="I590" s="46"/>
      <c r="J590" s="43"/>
      <c r="K590" s="80">
        <v>5</v>
      </c>
      <c r="L590" s="62">
        <f t="shared" si="27"/>
        <v>5</v>
      </c>
      <c r="M590" s="48">
        <f t="shared" si="29"/>
        <v>2</v>
      </c>
      <c r="N590" s="48">
        <v>0.4</v>
      </c>
      <c r="O590" s="50"/>
      <c r="P590" s="50"/>
      <c r="Q590" s="51">
        <f t="shared" si="28"/>
        <v>2</v>
      </c>
      <c r="R590" s="48"/>
      <c r="S590" s="24">
        <v>129333</v>
      </c>
      <c r="T590" s="43">
        <v>45944</v>
      </c>
      <c r="U590" s="24" t="s">
        <v>707</v>
      </c>
      <c r="V590" s="46" t="s">
        <v>25</v>
      </c>
      <c r="W590" s="54"/>
    </row>
    <row r="591" spans="1:23" s="27" customFormat="1" ht="34.950000000000003" customHeight="1" x14ac:dyDescent="0.25">
      <c r="A591" s="12">
        <f>SUBTOTAL(3,$B$2:B591)</f>
        <v>590</v>
      </c>
      <c r="B591" s="13">
        <v>291</v>
      </c>
      <c r="C591" s="14">
        <v>45946</v>
      </c>
      <c r="D591" s="13">
        <v>0</v>
      </c>
      <c r="E591" s="14">
        <v>0</v>
      </c>
      <c r="F591" s="15" t="s">
        <v>250</v>
      </c>
      <c r="G591" s="77" t="s">
        <v>251</v>
      </c>
      <c r="H591" s="78" t="s">
        <v>16</v>
      </c>
      <c r="I591" s="16"/>
      <c r="J591" s="14"/>
      <c r="K591" s="110">
        <v>10</v>
      </c>
      <c r="L591" s="21">
        <f t="shared" si="27"/>
        <v>10</v>
      </c>
      <c r="M591" s="20">
        <f t="shared" si="29"/>
        <v>1500</v>
      </c>
      <c r="N591" s="20">
        <v>150</v>
      </c>
      <c r="O591" s="22"/>
      <c r="P591" s="22"/>
      <c r="Q591" s="23">
        <f t="shared" si="28"/>
        <v>1500</v>
      </c>
      <c r="R591" s="20"/>
      <c r="S591" s="18" t="s">
        <v>711</v>
      </c>
      <c r="T591" s="14">
        <v>45946</v>
      </c>
      <c r="U591" s="18" t="s">
        <v>638</v>
      </c>
      <c r="V591" s="16" t="s">
        <v>18</v>
      </c>
      <c r="W591" s="61" t="s">
        <v>367</v>
      </c>
    </row>
    <row r="592" spans="1:23" s="27" customFormat="1" ht="34.950000000000003" customHeight="1" x14ac:dyDescent="0.35">
      <c r="A592" s="12">
        <f>SUBTOTAL(3,$B$2:B592)</f>
        <v>591</v>
      </c>
      <c r="B592" s="42">
        <v>292</v>
      </c>
      <c r="C592" s="43">
        <v>45946</v>
      </c>
      <c r="D592" s="42">
        <v>82510180002</v>
      </c>
      <c r="E592" s="44">
        <v>45948</v>
      </c>
      <c r="F592" s="45" t="s">
        <v>35</v>
      </c>
      <c r="G592" s="71" t="s">
        <v>485</v>
      </c>
      <c r="H592" s="72" t="s">
        <v>37</v>
      </c>
      <c r="I592" s="12" t="s">
        <v>38</v>
      </c>
      <c r="J592" s="43">
        <v>45733</v>
      </c>
      <c r="K592" s="104">
        <v>7</v>
      </c>
      <c r="L592" s="49">
        <f t="shared" si="27"/>
        <v>7</v>
      </c>
      <c r="M592" s="48">
        <f t="shared" si="29"/>
        <v>35296.589999999997</v>
      </c>
      <c r="N592" s="48">
        <v>5042.37</v>
      </c>
      <c r="O592" s="50">
        <v>9</v>
      </c>
      <c r="P592" s="50">
        <v>9</v>
      </c>
      <c r="Q592" s="51">
        <f t="shared" si="28"/>
        <v>41649.97619999999</v>
      </c>
      <c r="R592" s="48"/>
      <c r="S592" s="24" t="s">
        <v>712</v>
      </c>
      <c r="T592" s="43">
        <v>45946</v>
      </c>
      <c r="U592" s="24" t="s">
        <v>101</v>
      </c>
      <c r="V592" s="46" t="s">
        <v>33</v>
      </c>
      <c r="W592" s="54" t="s">
        <v>34</v>
      </c>
    </row>
    <row r="593" spans="1:23" s="27" customFormat="1" ht="34.950000000000003" customHeight="1" x14ac:dyDescent="0.35">
      <c r="A593" s="12">
        <f>SUBTOTAL(3,$B$2:B593)</f>
        <v>592</v>
      </c>
      <c r="B593" s="42">
        <v>293</v>
      </c>
      <c r="C593" s="43">
        <v>45946</v>
      </c>
      <c r="D593" s="42">
        <v>82510180003</v>
      </c>
      <c r="E593" s="44">
        <v>45948</v>
      </c>
      <c r="F593" s="45" t="s">
        <v>35</v>
      </c>
      <c r="G593" s="53" t="s">
        <v>485</v>
      </c>
      <c r="H593" s="72" t="s">
        <v>37</v>
      </c>
      <c r="I593" s="12" t="s">
        <v>38</v>
      </c>
      <c r="J593" s="43">
        <v>45733</v>
      </c>
      <c r="K593" s="104">
        <v>7</v>
      </c>
      <c r="L593" s="49">
        <f t="shared" si="27"/>
        <v>7</v>
      </c>
      <c r="M593" s="48">
        <f t="shared" si="29"/>
        <v>35296.589999999997</v>
      </c>
      <c r="N593" s="48">
        <v>5042.37</v>
      </c>
      <c r="O593" s="50">
        <v>9</v>
      </c>
      <c r="P593" s="50">
        <v>9</v>
      </c>
      <c r="Q593" s="51">
        <f t="shared" si="28"/>
        <v>41649.97619999999</v>
      </c>
      <c r="R593" s="48"/>
      <c r="S593" s="24" t="s">
        <v>713</v>
      </c>
      <c r="T593" s="43">
        <v>45946</v>
      </c>
      <c r="U593" s="24" t="s">
        <v>97</v>
      </c>
      <c r="V593" s="46" t="s">
        <v>33</v>
      </c>
      <c r="W593" s="54" t="s">
        <v>34</v>
      </c>
    </row>
    <row r="594" spans="1:23" s="27" customFormat="1" ht="34.950000000000003" customHeight="1" x14ac:dyDescent="0.25">
      <c r="A594" s="12">
        <f>SUBTOTAL(3,$B$2:B594)</f>
        <v>593</v>
      </c>
      <c r="B594" s="42">
        <v>294</v>
      </c>
      <c r="C594" s="43">
        <v>45946</v>
      </c>
      <c r="D594" s="42">
        <v>82510180004</v>
      </c>
      <c r="E594" s="44">
        <v>45948</v>
      </c>
      <c r="F594" s="45" t="s">
        <v>35</v>
      </c>
      <c r="G594" s="52" t="s">
        <v>485</v>
      </c>
      <c r="H594" s="46" t="s">
        <v>37</v>
      </c>
      <c r="I594" s="12" t="s">
        <v>38</v>
      </c>
      <c r="J594" s="43">
        <v>45733</v>
      </c>
      <c r="K594" s="63">
        <v>7</v>
      </c>
      <c r="L594" s="49">
        <f t="shared" si="27"/>
        <v>7</v>
      </c>
      <c r="M594" s="48">
        <f t="shared" si="29"/>
        <v>35296.589999999997</v>
      </c>
      <c r="N594" s="48">
        <v>5042.37</v>
      </c>
      <c r="O594" s="50">
        <v>9</v>
      </c>
      <c r="P594" s="50">
        <v>9</v>
      </c>
      <c r="Q594" s="51">
        <f t="shared" si="28"/>
        <v>41649.97619999999</v>
      </c>
      <c r="R594" s="48"/>
      <c r="S594" s="24" t="s">
        <v>714</v>
      </c>
      <c r="T594" s="43">
        <v>45946</v>
      </c>
      <c r="U594" s="43" t="s">
        <v>101</v>
      </c>
      <c r="V594" s="46" t="s">
        <v>33</v>
      </c>
      <c r="W594" s="54" t="s">
        <v>34</v>
      </c>
    </row>
    <row r="595" spans="1:23" s="27" customFormat="1" ht="34.950000000000003" customHeight="1" x14ac:dyDescent="0.25">
      <c r="A595" s="12">
        <f>SUBTOTAL(3,$B$2:B595)</f>
        <v>594</v>
      </c>
      <c r="B595" s="42">
        <v>295</v>
      </c>
      <c r="C595" s="43">
        <v>45946</v>
      </c>
      <c r="D595" s="42">
        <v>82510180005</v>
      </c>
      <c r="E595" s="44">
        <v>45948</v>
      </c>
      <c r="F595" s="45" t="s">
        <v>35</v>
      </c>
      <c r="G595" s="52" t="s">
        <v>485</v>
      </c>
      <c r="H595" s="46" t="s">
        <v>37</v>
      </c>
      <c r="I595" s="12" t="s">
        <v>38</v>
      </c>
      <c r="J595" s="43">
        <v>45733</v>
      </c>
      <c r="K595" s="63">
        <v>7</v>
      </c>
      <c r="L595" s="49">
        <f t="shared" si="27"/>
        <v>7</v>
      </c>
      <c r="M595" s="48">
        <f t="shared" si="29"/>
        <v>35296.589999999997</v>
      </c>
      <c r="N595" s="48">
        <v>5042.37</v>
      </c>
      <c r="O595" s="50">
        <v>9</v>
      </c>
      <c r="P595" s="50">
        <v>9</v>
      </c>
      <c r="Q595" s="51">
        <f t="shared" si="28"/>
        <v>41649.97619999999</v>
      </c>
      <c r="R595" s="48"/>
      <c r="S595" s="24" t="s">
        <v>715</v>
      </c>
      <c r="T595" s="43">
        <v>45946</v>
      </c>
      <c r="U595" s="43" t="s">
        <v>97</v>
      </c>
      <c r="V595" s="46" t="s">
        <v>33</v>
      </c>
      <c r="W595" s="54" t="s">
        <v>34</v>
      </c>
    </row>
    <row r="596" spans="1:23" s="27" customFormat="1" ht="34.950000000000003" customHeight="1" x14ac:dyDescent="0.25">
      <c r="A596" s="12">
        <f>SUBTOTAL(3,$B$2:B596)</f>
        <v>595</v>
      </c>
      <c r="B596" s="42">
        <v>296</v>
      </c>
      <c r="C596" s="43">
        <v>45946</v>
      </c>
      <c r="D596" s="42">
        <v>82510180006</v>
      </c>
      <c r="E596" s="44">
        <v>45948</v>
      </c>
      <c r="F596" s="45" t="s">
        <v>35</v>
      </c>
      <c r="G596" s="52" t="s">
        <v>485</v>
      </c>
      <c r="H596" s="46" t="s">
        <v>37</v>
      </c>
      <c r="I596" s="12" t="s">
        <v>38</v>
      </c>
      <c r="J596" s="43">
        <v>45733</v>
      </c>
      <c r="K596" s="55">
        <v>7</v>
      </c>
      <c r="L596" s="49">
        <f t="shared" si="27"/>
        <v>7</v>
      </c>
      <c r="M596" s="48">
        <f t="shared" si="29"/>
        <v>35296.589999999997</v>
      </c>
      <c r="N596" s="48">
        <v>5042.37</v>
      </c>
      <c r="O596" s="50">
        <v>9</v>
      </c>
      <c r="P596" s="50">
        <v>9</v>
      </c>
      <c r="Q596" s="51">
        <f t="shared" si="28"/>
        <v>41649.97619999999</v>
      </c>
      <c r="R596" s="48"/>
      <c r="S596" s="24" t="s">
        <v>716</v>
      </c>
      <c r="T596" s="43">
        <v>45946</v>
      </c>
      <c r="U596" s="43" t="s">
        <v>101</v>
      </c>
      <c r="V596" s="46" t="s">
        <v>33</v>
      </c>
      <c r="W596" s="54" t="s">
        <v>34</v>
      </c>
    </row>
    <row r="597" spans="1:23" s="27" customFormat="1" ht="34.950000000000003" customHeight="1" x14ac:dyDescent="0.35">
      <c r="A597" s="12">
        <f>SUBTOTAL(3,$B$2:B597)</f>
        <v>596</v>
      </c>
      <c r="B597" s="42">
        <v>297</v>
      </c>
      <c r="C597" s="43">
        <v>45946</v>
      </c>
      <c r="D597" s="42">
        <v>82510180007</v>
      </c>
      <c r="E597" s="44">
        <v>45948</v>
      </c>
      <c r="F597" s="45" t="s">
        <v>35</v>
      </c>
      <c r="G597" s="71" t="s">
        <v>485</v>
      </c>
      <c r="H597" s="72" t="s">
        <v>37</v>
      </c>
      <c r="I597" s="12" t="s">
        <v>38</v>
      </c>
      <c r="J597" s="43">
        <v>45733</v>
      </c>
      <c r="K597" s="104">
        <v>3.5</v>
      </c>
      <c r="L597" s="49">
        <f t="shared" si="27"/>
        <v>3.5</v>
      </c>
      <c r="M597" s="48">
        <f t="shared" si="29"/>
        <v>17648.294999999998</v>
      </c>
      <c r="N597" s="48">
        <v>5042.37</v>
      </c>
      <c r="O597" s="50">
        <v>9</v>
      </c>
      <c r="P597" s="50">
        <v>9</v>
      </c>
      <c r="Q597" s="51">
        <f t="shared" si="28"/>
        <v>20824.988099999995</v>
      </c>
      <c r="R597" s="48"/>
      <c r="S597" s="24" t="s">
        <v>717</v>
      </c>
      <c r="T597" s="43">
        <v>45946</v>
      </c>
      <c r="U597" s="43" t="s">
        <v>40</v>
      </c>
      <c r="V597" s="46" t="s">
        <v>33</v>
      </c>
      <c r="W597" s="54" t="s">
        <v>34</v>
      </c>
    </row>
    <row r="598" spans="1:23" s="27" customFormat="1" ht="34.950000000000003" customHeight="1" x14ac:dyDescent="0.35">
      <c r="A598" s="12">
        <f>SUBTOTAL(3,$B$2:B598)</f>
        <v>597</v>
      </c>
      <c r="B598" s="42">
        <v>298</v>
      </c>
      <c r="C598" s="43">
        <v>45947</v>
      </c>
      <c r="D598" s="42">
        <v>82510180013</v>
      </c>
      <c r="E598" s="43">
        <v>45948</v>
      </c>
      <c r="F598" s="45" t="s">
        <v>644</v>
      </c>
      <c r="G598" s="53" t="s">
        <v>680</v>
      </c>
      <c r="H598" s="72" t="s">
        <v>478</v>
      </c>
      <c r="I598" s="46"/>
      <c r="J598" s="43"/>
      <c r="K598" s="80">
        <v>10</v>
      </c>
      <c r="L598" s="49">
        <f t="shared" si="27"/>
        <v>10</v>
      </c>
      <c r="M598" s="48">
        <f t="shared" si="29"/>
        <v>1075.1000000000001</v>
      </c>
      <c r="N598" s="48">
        <v>107.51</v>
      </c>
      <c r="O598" s="50"/>
      <c r="P598" s="50"/>
      <c r="Q598" s="51">
        <f t="shared" si="28"/>
        <v>1075.1000000000001</v>
      </c>
      <c r="R598" s="48"/>
      <c r="S598" s="24" t="s">
        <v>718</v>
      </c>
      <c r="T598" s="43">
        <v>45947</v>
      </c>
      <c r="U598" s="43" t="s">
        <v>719</v>
      </c>
      <c r="V598" s="46" t="s">
        <v>247</v>
      </c>
      <c r="W598" s="54" t="s">
        <v>34</v>
      </c>
    </row>
    <row r="599" spans="1:23" s="27" customFormat="1" ht="34.950000000000003" customHeight="1" x14ac:dyDescent="0.35">
      <c r="A599" s="12">
        <f>SUBTOTAL(3,$B$2:B599)</f>
        <v>598</v>
      </c>
      <c r="B599" s="42">
        <v>299</v>
      </c>
      <c r="C599" s="43">
        <v>45947</v>
      </c>
      <c r="D599" s="42">
        <v>82510180008</v>
      </c>
      <c r="E599" s="44">
        <v>45948</v>
      </c>
      <c r="F599" s="45" t="s">
        <v>35</v>
      </c>
      <c r="G599" s="53" t="s">
        <v>36</v>
      </c>
      <c r="H599" s="72" t="s">
        <v>37</v>
      </c>
      <c r="I599" s="12" t="s">
        <v>38</v>
      </c>
      <c r="J599" s="43">
        <v>45733</v>
      </c>
      <c r="K599" s="104">
        <v>7</v>
      </c>
      <c r="L599" s="49">
        <f t="shared" si="27"/>
        <v>7</v>
      </c>
      <c r="M599" s="48">
        <f t="shared" si="29"/>
        <v>23135.559999999998</v>
      </c>
      <c r="N599" s="48">
        <v>3305.08</v>
      </c>
      <c r="O599" s="50">
        <v>9</v>
      </c>
      <c r="P599" s="50">
        <v>9</v>
      </c>
      <c r="Q599" s="51">
        <f t="shared" si="28"/>
        <v>27299.960799999997</v>
      </c>
      <c r="R599" s="48"/>
      <c r="S599" s="24" t="s">
        <v>720</v>
      </c>
      <c r="T599" s="43">
        <v>45947</v>
      </c>
      <c r="U599" s="43" t="s">
        <v>492</v>
      </c>
      <c r="V599" s="46" t="s">
        <v>33</v>
      </c>
      <c r="W599" s="54" t="s">
        <v>34</v>
      </c>
    </row>
    <row r="600" spans="1:23" s="27" customFormat="1" ht="34.950000000000003" customHeight="1" x14ac:dyDescent="0.35">
      <c r="A600" s="12">
        <f>SUBTOTAL(3,$B$2:B600)</f>
        <v>599</v>
      </c>
      <c r="B600" s="42">
        <v>300</v>
      </c>
      <c r="C600" s="43">
        <v>45947</v>
      </c>
      <c r="D600" s="42">
        <v>82510180009</v>
      </c>
      <c r="E600" s="44">
        <v>45948</v>
      </c>
      <c r="F600" s="45" t="s">
        <v>35</v>
      </c>
      <c r="G600" s="53" t="s">
        <v>36</v>
      </c>
      <c r="H600" s="72" t="s">
        <v>37</v>
      </c>
      <c r="I600" s="12" t="s">
        <v>38</v>
      </c>
      <c r="J600" s="43">
        <v>45733</v>
      </c>
      <c r="K600" s="104">
        <v>7</v>
      </c>
      <c r="L600" s="49">
        <f t="shared" si="27"/>
        <v>7</v>
      </c>
      <c r="M600" s="48">
        <f t="shared" si="29"/>
        <v>23135.559999999998</v>
      </c>
      <c r="N600" s="48">
        <v>3305.08</v>
      </c>
      <c r="O600" s="50">
        <v>9</v>
      </c>
      <c r="P600" s="50">
        <v>9</v>
      </c>
      <c r="Q600" s="51">
        <f t="shared" si="28"/>
        <v>27299.960799999997</v>
      </c>
      <c r="R600" s="48"/>
      <c r="S600" s="24" t="s">
        <v>721</v>
      </c>
      <c r="T600" s="43">
        <v>45947</v>
      </c>
      <c r="U600" s="43" t="s">
        <v>230</v>
      </c>
      <c r="V600" s="46" t="s">
        <v>33</v>
      </c>
      <c r="W600" s="54" t="s">
        <v>34</v>
      </c>
    </row>
    <row r="601" spans="1:23" s="27" customFormat="1" ht="34.950000000000003" customHeight="1" x14ac:dyDescent="0.35">
      <c r="A601" s="12">
        <f>SUBTOTAL(3,$B$2:B601)</f>
        <v>600</v>
      </c>
      <c r="B601" s="42">
        <v>301</v>
      </c>
      <c r="C601" s="43">
        <v>45947</v>
      </c>
      <c r="D601" s="42">
        <v>82510180010</v>
      </c>
      <c r="E601" s="44">
        <v>45948</v>
      </c>
      <c r="F601" s="45" t="s">
        <v>35</v>
      </c>
      <c r="G601" s="53" t="s">
        <v>36</v>
      </c>
      <c r="H601" s="72" t="s">
        <v>37</v>
      </c>
      <c r="I601" s="12" t="s">
        <v>38</v>
      </c>
      <c r="J601" s="43">
        <v>45733</v>
      </c>
      <c r="K601" s="104">
        <v>7</v>
      </c>
      <c r="L601" s="49">
        <f t="shared" si="27"/>
        <v>7</v>
      </c>
      <c r="M601" s="48">
        <f t="shared" si="29"/>
        <v>23135.559999999998</v>
      </c>
      <c r="N601" s="48">
        <v>3305.08</v>
      </c>
      <c r="O601" s="50">
        <v>9</v>
      </c>
      <c r="P601" s="50">
        <v>9</v>
      </c>
      <c r="Q601" s="51">
        <f t="shared" si="28"/>
        <v>27299.960799999997</v>
      </c>
      <c r="R601" s="48"/>
      <c r="S601" s="24" t="s">
        <v>722</v>
      </c>
      <c r="T601" s="43">
        <v>45947</v>
      </c>
      <c r="U601" s="43" t="s">
        <v>99</v>
      </c>
      <c r="V601" s="46" t="s">
        <v>33</v>
      </c>
      <c r="W601" s="54" t="s">
        <v>34</v>
      </c>
    </row>
    <row r="602" spans="1:23" s="27" customFormat="1" ht="34.950000000000003" customHeight="1" x14ac:dyDescent="0.35">
      <c r="A602" s="12">
        <f>SUBTOTAL(3,$B$2:B602)</f>
        <v>601</v>
      </c>
      <c r="B602" s="42">
        <v>302</v>
      </c>
      <c r="C602" s="43">
        <v>45947</v>
      </c>
      <c r="D602" s="42">
        <v>82510180011</v>
      </c>
      <c r="E602" s="44">
        <v>45948</v>
      </c>
      <c r="F602" s="45" t="s">
        <v>35</v>
      </c>
      <c r="G602" s="53" t="s">
        <v>36</v>
      </c>
      <c r="H602" s="72" t="s">
        <v>37</v>
      </c>
      <c r="I602" s="12" t="s">
        <v>38</v>
      </c>
      <c r="J602" s="43">
        <v>45733</v>
      </c>
      <c r="K602" s="104">
        <v>3</v>
      </c>
      <c r="L602" s="49">
        <f t="shared" si="27"/>
        <v>3</v>
      </c>
      <c r="M602" s="48">
        <f t="shared" si="29"/>
        <v>9915.24</v>
      </c>
      <c r="N602" s="48">
        <v>3305.08</v>
      </c>
      <c r="O602" s="50">
        <v>9</v>
      </c>
      <c r="P602" s="50">
        <v>9</v>
      </c>
      <c r="Q602" s="51">
        <f t="shared" si="28"/>
        <v>11699.983199999999</v>
      </c>
      <c r="R602" s="48"/>
      <c r="S602" s="24" t="s">
        <v>723</v>
      </c>
      <c r="T602" s="43">
        <v>45947</v>
      </c>
      <c r="U602" s="43" t="s">
        <v>40</v>
      </c>
      <c r="V602" s="46" t="s">
        <v>33</v>
      </c>
      <c r="W602" s="54" t="s">
        <v>34</v>
      </c>
    </row>
    <row r="603" spans="1:23" s="27" customFormat="1" ht="34.950000000000003" customHeight="1" x14ac:dyDescent="0.35">
      <c r="A603" s="12">
        <f>SUBTOTAL(3,$B$2:B603)</f>
        <v>602</v>
      </c>
      <c r="B603" s="42">
        <v>303</v>
      </c>
      <c r="C603" s="43">
        <v>45947</v>
      </c>
      <c r="D603" s="42">
        <v>82510180012</v>
      </c>
      <c r="E603" s="44">
        <v>45948</v>
      </c>
      <c r="F603" s="45" t="s">
        <v>35</v>
      </c>
      <c r="G603" s="53" t="s">
        <v>36</v>
      </c>
      <c r="H603" s="72" t="s">
        <v>37</v>
      </c>
      <c r="I603" s="12" t="s">
        <v>38</v>
      </c>
      <c r="J603" s="43">
        <v>45733</v>
      </c>
      <c r="K603" s="104">
        <v>2.5</v>
      </c>
      <c r="L603" s="49">
        <f t="shared" si="27"/>
        <v>2.5</v>
      </c>
      <c r="M603" s="48">
        <f t="shared" si="29"/>
        <v>8262.7000000000007</v>
      </c>
      <c r="N603" s="48">
        <v>3305.08</v>
      </c>
      <c r="O603" s="50">
        <v>9</v>
      </c>
      <c r="P603" s="50">
        <v>9</v>
      </c>
      <c r="Q603" s="51">
        <f t="shared" si="28"/>
        <v>9749.9860000000008</v>
      </c>
      <c r="R603" s="48"/>
      <c r="S603" s="24" t="s">
        <v>724</v>
      </c>
      <c r="T603" s="43">
        <v>45947</v>
      </c>
      <c r="U603" s="43" t="s">
        <v>492</v>
      </c>
      <c r="V603" s="46" t="s">
        <v>33</v>
      </c>
      <c r="W603" s="54" t="s">
        <v>34</v>
      </c>
    </row>
    <row r="604" spans="1:23" s="27" customFormat="1" ht="34.950000000000003" customHeight="1" x14ac:dyDescent="0.25">
      <c r="A604" s="12">
        <f>SUBTOTAL(3,$B$2:B604)</f>
        <v>603</v>
      </c>
      <c r="B604" s="42">
        <v>304</v>
      </c>
      <c r="C604" s="43">
        <v>45947</v>
      </c>
      <c r="D604" s="42">
        <v>82510180001</v>
      </c>
      <c r="E604" s="43">
        <v>45948</v>
      </c>
      <c r="F604" s="45" t="s">
        <v>626</v>
      </c>
      <c r="G604" s="71" t="s">
        <v>172</v>
      </c>
      <c r="H604" s="76" t="s">
        <v>16</v>
      </c>
      <c r="I604" s="46"/>
      <c r="J604" s="43"/>
      <c r="K604" s="80">
        <v>30</v>
      </c>
      <c r="L604" s="49">
        <f t="shared" si="27"/>
        <v>30</v>
      </c>
      <c r="M604" s="48">
        <f t="shared" si="29"/>
        <v>8135.7</v>
      </c>
      <c r="N604" s="48">
        <v>271.19</v>
      </c>
      <c r="O604" s="50">
        <v>9</v>
      </c>
      <c r="P604" s="50">
        <v>9</v>
      </c>
      <c r="Q604" s="51">
        <f t="shared" si="28"/>
        <v>9600.1259999999984</v>
      </c>
      <c r="R604" s="48"/>
      <c r="S604" s="24">
        <v>511</v>
      </c>
      <c r="T604" s="43">
        <v>45946</v>
      </c>
      <c r="U604" s="43" t="s">
        <v>725</v>
      </c>
      <c r="V604" s="46" t="s">
        <v>247</v>
      </c>
      <c r="W604" s="54" t="s">
        <v>34</v>
      </c>
    </row>
    <row r="605" spans="1:23" s="27" customFormat="1" ht="34.950000000000003" customHeight="1" x14ac:dyDescent="0.25">
      <c r="A605" s="12">
        <f>SUBTOTAL(3,$B$2:B605)</f>
        <v>604</v>
      </c>
      <c r="B605" s="42">
        <v>305</v>
      </c>
      <c r="C605" s="43">
        <v>45948</v>
      </c>
      <c r="D605" s="42">
        <v>0</v>
      </c>
      <c r="E605" s="43">
        <v>0</v>
      </c>
      <c r="F605" s="45" t="s">
        <v>726</v>
      </c>
      <c r="G605" s="71" t="s">
        <v>727</v>
      </c>
      <c r="H605" s="76" t="s">
        <v>16</v>
      </c>
      <c r="I605" s="46"/>
      <c r="J605" s="43"/>
      <c r="K605" s="80">
        <v>89</v>
      </c>
      <c r="L605" s="62">
        <f t="shared" si="27"/>
        <v>89</v>
      </c>
      <c r="M605" s="48">
        <f t="shared" si="29"/>
        <v>0</v>
      </c>
      <c r="N605" s="48">
        <v>0</v>
      </c>
      <c r="O605" s="50"/>
      <c r="P605" s="50"/>
      <c r="Q605" s="51">
        <f t="shared" si="28"/>
        <v>0</v>
      </c>
      <c r="R605" s="48"/>
      <c r="S605" s="24">
        <v>123013</v>
      </c>
      <c r="T605" s="43">
        <v>45948</v>
      </c>
      <c r="U605" s="43" t="s">
        <v>728</v>
      </c>
      <c r="V605" s="46" t="s">
        <v>25</v>
      </c>
      <c r="W605" s="54"/>
    </row>
    <row r="606" spans="1:23" s="27" customFormat="1" ht="34.950000000000003" customHeight="1" x14ac:dyDescent="0.25">
      <c r="A606" s="12">
        <f>SUBTOTAL(3,$B$2:B606)</f>
        <v>605</v>
      </c>
      <c r="B606" s="42">
        <v>305</v>
      </c>
      <c r="C606" s="43">
        <v>45948</v>
      </c>
      <c r="D606" s="42">
        <v>0</v>
      </c>
      <c r="E606" s="43">
        <v>0</v>
      </c>
      <c r="F606" s="45" t="s">
        <v>726</v>
      </c>
      <c r="G606" s="71" t="s">
        <v>684</v>
      </c>
      <c r="H606" s="76" t="s">
        <v>16</v>
      </c>
      <c r="I606" s="46"/>
      <c r="J606" s="43"/>
      <c r="K606" s="80">
        <v>86</v>
      </c>
      <c r="L606" s="62">
        <f t="shared" si="27"/>
        <v>86</v>
      </c>
      <c r="M606" s="48">
        <f t="shared" si="29"/>
        <v>0</v>
      </c>
      <c r="N606" s="48">
        <v>0</v>
      </c>
      <c r="O606" s="50"/>
      <c r="P606" s="50"/>
      <c r="Q606" s="51">
        <f t="shared" si="28"/>
        <v>0</v>
      </c>
      <c r="R606" s="48"/>
      <c r="S606" s="24">
        <v>123013</v>
      </c>
      <c r="T606" s="43">
        <v>45948</v>
      </c>
      <c r="U606" s="43" t="s">
        <v>728</v>
      </c>
      <c r="V606" s="46" t="s">
        <v>25</v>
      </c>
      <c r="W606" s="54"/>
    </row>
    <row r="607" spans="1:23" s="27" customFormat="1" ht="34.950000000000003" customHeight="1" x14ac:dyDescent="0.25">
      <c r="A607" s="12">
        <f>SUBTOTAL(3,$B$2:B607)</f>
        <v>606</v>
      </c>
      <c r="B607" s="42">
        <v>305</v>
      </c>
      <c r="C607" s="43">
        <v>45948</v>
      </c>
      <c r="D607" s="42">
        <v>0</v>
      </c>
      <c r="E607" s="43">
        <v>0</v>
      </c>
      <c r="F607" s="45" t="s">
        <v>726</v>
      </c>
      <c r="G607" s="71" t="s">
        <v>710</v>
      </c>
      <c r="H607" s="76" t="s">
        <v>16</v>
      </c>
      <c r="I607" s="46"/>
      <c r="J607" s="43"/>
      <c r="K607" s="80">
        <v>10</v>
      </c>
      <c r="L607" s="62">
        <f t="shared" si="27"/>
        <v>10</v>
      </c>
      <c r="M607" s="48">
        <f t="shared" si="29"/>
        <v>0</v>
      </c>
      <c r="N607" s="48">
        <v>0</v>
      </c>
      <c r="O607" s="50"/>
      <c r="P607" s="50"/>
      <c r="Q607" s="51">
        <f t="shared" si="28"/>
        <v>0</v>
      </c>
      <c r="R607" s="48"/>
      <c r="S607" s="24">
        <v>123013</v>
      </c>
      <c r="T607" s="43">
        <v>45948</v>
      </c>
      <c r="U607" s="43" t="s">
        <v>728</v>
      </c>
      <c r="V607" s="46" t="s">
        <v>25</v>
      </c>
      <c r="W607" s="54"/>
    </row>
    <row r="608" spans="1:23" s="27" customFormat="1" ht="34.950000000000003" customHeight="1" x14ac:dyDescent="0.25">
      <c r="A608" s="12">
        <f>SUBTOTAL(3,$B$2:B608)</f>
        <v>607</v>
      </c>
      <c r="B608" s="42">
        <v>306</v>
      </c>
      <c r="C608" s="43">
        <v>45952</v>
      </c>
      <c r="D608" s="42">
        <v>82510220001</v>
      </c>
      <c r="E608" s="43">
        <v>45952</v>
      </c>
      <c r="F608" s="45" t="s">
        <v>619</v>
      </c>
      <c r="G608" s="108" t="s">
        <v>65</v>
      </c>
      <c r="H608" s="76" t="s">
        <v>16</v>
      </c>
      <c r="I608" s="46"/>
      <c r="J608" s="43"/>
      <c r="K608" s="80">
        <v>50</v>
      </c>
      <c r="L608" s="49">
        <f t="shared" si="27"/>
        <v>50</v>
      </c>
      <c r="M608" s="48">
        <f t="shared" si="29"/>
        <v>1550</v>
      </c>
      <c r="N608" s="48">
        <v>31</v>
      </c>
      <c r="O608" s="50">
        <v>9</v>
      </c>
      <c r="P608" s="50">
        <v>9</v>
      </c>
      <c r="Q608" s="51">
        <f t="shared" si="28"/>
        <v>1829</v>
      </c>
      <c r="R608" s="48"/>
      <c r="S608" s="24">
        <v>130</v>
      </c>
      <c r="T608" s="43">
        <v>45952</v>
      </c>
      <c r="U608" s="43"/>
      <c r="V608" s="46" t="s">
        <v>247</v>
      </c>
      <c r="W608" s="54" t="s">
        <v>34</v>
      </c>
    </row>
    <row r="609" spans="1:23" s="27" customFormat="1" ht="34.950000000000003" customHeight="1" x14ac:dyDescent="0.25">
      <c r="A609" s="12">
        <f>SUBTOTAL(3,$B$2:B609)</f>
        <v>608</v>
      </c>
      <c r="B609" s="42">
        <v>306</v>
      </c>
      <c r="C609" s="43">
        <v>45952</v>
      </c>
      <c r="D609" s="42">
        <v>82510220001</v>
      </c>
      <c r="E609" s="43">
        <v>45952</v>
      </c>
      <c r="F609" s="45" t="s">
        <v>619</v>
      </c>
      <c r="G609" s="71" t="s">
        <v>519</v>
      </c>
      <c r="H609" s="76" t="s">
        <v>16</v>
      </c>
      <c r="I609" s="46"/>
      <c r="J609" s="43"/>
      <c r="K609" s="80">
        <v>3</v>
      </c>
      <c r="L609" s="49">
        <f t="shared" si="27"/>
        <v>3</v>
      </c>
      <c r="M609" s="48">
        <f t="shared" si="29"/>
        <v>450</v>
      </c>
      <c r="N609" s="48">
        <v>150</v>
      </c>
      <c r="O609" s="50">
        <v>9</v>
      </c>
      <c r="P609" s="50">
        <v>9</v>
      </c>
      <c r="Q609" s="51">
        <f t="shared" si="28"/>
        <v>531</v>
      </c>
      <c r="R609" s="48"/>
      <c r="S609" s="24">
        <v>130</v>
      </c>
      <c r="T609" s="43">
        <v>45952</v>
      </c>
      <c r="U609" s="43"/>
      <c r="V609" s="46" t="s">
        <v>247</v>
      </c>
      <c r="W609" s="54" t="s">
        <v>34</v>
      </c>
    </row>
    <row r="610" spans="1:23" s="27" customFormat="1" ht="34.950000000000003" customHeight="1" x14ac:dyDescent="0.25">
      <c r="A610" s="12">
        <f>SUBTOTAL(3,$B$2:B610)</f>
        <v>609</v>
      </c>
      <c r="B610" s="42">
        <v>307</v>
      </c>
      <c r="C610" s="43">
        <v>45952</v>
      </c>
      <c r="D610" s="42">
        <v>82510230001</v>
      </c>
      <c r="E610" s="44">
        <v>45953</v>
      </c>
      <c r="F610" s="45" t="s">
        <v>35</v>
      </c>
      <c r="G610" s="71" t="s">
        <v>36</v>
      </c>
      <c r="H610" s="76" t="s">
        <v>37</v>
      </c>
      <c r="I610" s="12" t="s">
        <v>38</v>
      </c>
      <c r="J610" s="43">
        <v>45733</v>
      </c>
      <c r="K610" s="104">
        <v>4</v>
      </c>
      <c r="L610" s="49">
        <f t="shared" si="27"/>
        <v>4</v>
      </c>
      <c r="M610" s="48">
        <f t="shared" si="29"/>
        <v>13220.32</v>
      </c>
      <c r="N610" s="48">
        <v>3305.08</v>
      </c>
      <c r="O610" s="50">
        <v>9</v>
      </c>
      <c r="P610" s="50">
        <v>9</v>
      </c>
      <c r="Q610" s="51">
        <f t="shared" si="28"/>
        <v>15599.977599999998</v>
      </c>
      <c r="R610" s="48"/>
      <c r="S610" s="24" t="s">
        <v>729</v>
      </c>
      <c r="T610" s="43">
        <v>45952</v>
      </c>
      <c r="U610" s="43" t="s">
        <v>99</v>
      </c>
      <c r="V610" s="46" t="s">
        <v>33</v>
      </c>
      <c r="W610" s="54" t="s">
        <v>34</v>
      </c>
    </row>
    <row r="611" spans="1:23" s="27" customFormat="1" ht="34.950000000000003" customHeight="1" x14ac:dyDescent="0.25">
      <c r="A611" s="12">
        <f>SUBTOTAL(3,$B$2:B611)</f>
        <v>610</v>
      </c>
      <c r="B611" s="42">
        <v>308</v>
      </c>
      <c r="C611" s="43">
        <v>45952</v>
      </c>
      <c r="D611" s="42">
        <v>82510230002</v>
      </c>
      <c r="E611" s="44">
        <v>45953</v>
      </c>
      <c r="F611" s="45" t="s">
        <v>35</v>
      </c>
      <c r="G611" s="71" t="s">
        <v>36</v>
      </c>
      <c r="H611" s="76" t="s">
        <v>37</v>
      </c>
      <c r="I611" s="12" t="s">
        <v>38</v>
      </c>
      <c r="J611" s="43">
        <v>45733</v>
      </c>
      <c r="K611" s="104">
        <v>1</v>
      </c>
      <c r="L611" s="49">
        <f t="shared" si="27"/>
        <v>1</v>
      </c>
      <c r="M611" s="48">
        <f t="shared" si="29"/>
        <v>3305.08</v>
      </c>
      <c r="N611" s="48">
        <v>3305.08</v>
      </c>
      <c r="O611" s="50">
        <v>9</v>
      </c>
      <c r="P611" s="50">
        <v>9</v>
      </c>
      <c r="Q611" s="51">
        <f t="shared" si="28"/>
        <v>3899.9943999999996</v>
      </c>
      <c r="R611" s="48"/>
      <c r="S611" s="24" t="s">
        <v>730</v>
      </c>
      <c r="T611" s="43">
        <v>45952</v>
      </c>
      <c r="U611" s="43" t="s">
        <v>99</v>
      </c>
      <c r="V611" s="46" t="s">
        <v>33</v>
      </c>
      <c r="W611" s="54" t="s">
        <v>34</v>
      </c>
    </row>
    <row r="612" spans="1:23" s="27" customFormat="1" ht="34.950000000000003" customHeight="1" x14ac:dyDescent="0.25">
      <c r="A612" s="12">
        <f>SUBTOTAL(3,$B$2:B612)</f>
        <v>611</v>
      </c>
      <c r="B612" s="42">
        <v>309</v>
      </c>
      <c r="C612" s="43">
        <v>45953</v>
      </c>
      <c r="D612" s="42">
        <v>82510240001</v>
      </c>
      <c r="E612" s="44">
        <v>45954</v>
      </c>
      <c r="F612" s="45" t="s">
        <v>35</v>
      </c>
      <c r="G612" s="71" t="s">
        <v>36</v>
      </c>
      <c r="H612" s="76" t="s">
        <v>37</v>
      </c>
      <c r="I612" s="12" t="s">
        <v>38</v>
      </c>
      <c r="J612" s="43">
        <v>45733</v>
      </c>
      <c r="K612" s="104">
        <v>7</v>
      </c>
      <c r="L612" s="49">
        <f t="shared" si="27"/>
        <v>7</v>
      </c>
      <c r="M612" s="48">
        <f t="shared" si="29"/>
        <v>23135.559999999998</v>
      </c>
      <c r="N612" s="48">
        <v>3305.08</v>
      </c>
      <c r="O612" s="50">
        <v>9</v>
      </c>
      <c r="P612" s="50">
        <v>9</v>
      </c>
      <c r="Q612" s="51">
        <f t="shared" si="28"/>
        <v>27299.960799999997</v>
      </c>
      <c r="R612" s="48"/>
      <c r="S612" s="24" t="s">
        <v>731</v>
      </c>
      <c r="T612" s="43">
        <v>45953</v>
      </c>
      <c r="U612" s="43" t="s">
        <v>101</v>
      </c>
      <c r="V612" s="46" t="s">
        <v>33</v>
      </c>
      <c r="W612" s="54" t="s">
        <v>34</v>
      </c>
    </row>
    <row r="613" spans="1:23" s="27" customFormat="1" ht="34.950000000000003" customHeight="1" x14ac:dyDescent="0.25">
      <c r="A613" s="12">
        <f>SUBTOTAL(3,$B$2:B613)</f>
        <v>612</v>
      </c>
      <c r="B613" s="42">
        <v>310</v>
      </c>
      <c r="C613" s="43">
        <v>45953</v>
      </c>
      <c r="D613" s="42">
        <v>82510240002</v>
      </c>
      <c r="E613" s="44">
        <v>45954</v>
      </c>
      <c r="F613" s="45" t="s">
        <v>35</v>
      </c>
      <c r="G613" s="71" t="s">
        <v>36</v>
      </c>
      <c r="H613" s="76" t="s">
        <v>37</v>
      </c>
      <c r="I613" s="12" t="s">
        <v>38</v>
      </c>
      <c r="J613" s="43">
        <v>45733</v>
      </c>
      <c r="K613" s="104">
        <v>7</v>
      </c>
      <c r="L613" s="49">
        <f t="shared" si="27"/>
        <v>7</v>
      </c>
      <c r="M613" s="48">
        <f t="shared" si="29"/>
        <v>23135.559999999998</v>
      </c>
      <c r="N613" s="48">
        <v>3305.08</v>
      </c>
      <c r="O613" s="50">
        <v>9</v>
      </c>
      <c r="P613" s="50">
        <v>9</v>
      </c>
      <c r="Q613" s="51">
        <f t="shared" si="28"/>
        <v>27299.960799999997</v>
      </c>
      <c r="R613" s="48"/>
      <c r="S613" s="24" t="s">
        <v>732</v>
      </c>
      <c r="T613" s="43">
        <v>45953</v>
      </c>
      <c r="U613" s="43" t="s">
        <v>40</v>
      </c>
      <c r="V613" s="46" t="s">
        <v>33</v>
      </c>
      <c r="W613" s="54" t="s">
        <v>34</v>
      </c>
    </row>
    <row r="614" spans="1:23" s="27" customFormat="1" ht="34.950000000000003" customHeight="1" x14ac:dyDescent="0.25">
      <c r="A614" s="12">
        <f>SUBTOTAL(3,$B$2:B614)</f>
        <v>613</v>
      </c>
      <c r="B614" s="42">
        <v>311</v>
      </c>
      <c r="C614" s="43">
        <v>45953</v>
      </c>
      <c r="D614" s="42">
        <v>82510240003</v>
      </c>
      <c r="E614" s="44">
        <v>45954</v>
      </c>
      <c r="F614" s="45" t="s">
        <v>35</v>
      </c>
      <c r="G614" s="71" t="s">
        <v>36</v>
      </c>
      <c r="H614" s="76" t="s">
        <v>37</v>
      </c>
      <c r="I614" s="12" t="s">
        <v>38</v>
      </c>
      <c r="J614" s="43">
        <v>45733</v>
      </c>
      <c r="K614" s="104">
        <v>7</v>
      </c>
      <c r="L614" s="49">
        <f t="shared" si="27"/>
        <v>7</v>
      </c>
      <c r="M614" s="48">
        <f t="shared" si="29"/>
        <v>23135.559999999998</v>
      </c>
      <c r="N614" s="48">
        <v>3305.08</v>
      </c>
      <c r="O614" s="50">
        <v>9</v>
      </c>
      <c r="P614" s="50">
        <v>9</v>
      </c>
      <c r="Q614" s="51">
        <f t="shared" si="28"/>
        <v>27299.960799999997</v>
      </c>
      <c r="R614" s="48"/>
      <c r="S614" s="24" t="s">
        <v>733</v>
      </c>
      <c r="T614" s="43">
        <v>45953</v>
      </c>
      <c r="U614" s="43" t="s">
        <v>99</v>
      </c>
      <c r="V614" s="46" t="s">
        <v>33</v>
      </c>
      <c r="W614" s="54" t="s">
        <v>34</v>
      </c>
    </row>
    <row r="615" spans="1:23" s="27" customFormat="1" ht="34.950000000000003" customHeight="1" x14ac:dyDescent="0.25">
      <c r="A615" s="12">
        <f>SUBTOTAL(3,$B$2:B615)</f>
        <v>614</v>
      </c>
      <c r="B615" s="42">
        <v>312</v>
      </c>
      <c r="C615" s="43">
        <v>45953</v>
      </c>
      <c r="D615" s="42">
        <v>82510240004</v>
      </c>
      <c r="E615" s="44">
        <v>45954</v>
      </c>
      <c r="F615" s="45" t="s">
        <v>35</v>
      </c>
      <c r="G615" s="71" t="s">
        <v>36</v>
      </c>
      <c r="H615" s="76" t="s">
        <v>37</v>
      </c>
      <c r="I615" s="12" t="s">
        <v>38</v>
      </c>
      <c r="J615" s="43">
        <v>45733</v>
      </c>
      <c r="K615" s="104">
        <v>5</v>
      </c>
      <c r="L615" s="49">
        <f t="shared" si="27"/>
        <v>5</v>
      </c>
      <c r="M615" s="48">
        <f t="shared" si="29"/>
        <v>16525.400000000001</v>
      </c>
      <c r="N615" s="48">
        <v>3305.08</v>
      </c>
      <c r="O615" s="50">
        <v>9</v>
      </c>
      <c r="P615" s="50">
        <v>9</v>
      </c>
      <c r="Q615" s="51">
        <f t="shared" si="28"/>
        <v>19499.972000000002</v>
      </c>
      <c r="R615" s="48"/>
      <c r="S615" s="24" t="s">
        <v>734</v>
      </c>
      <c r="T615" s="43">
        <v>45953</v>
      </c>
      <c r="U615" s="43" t="s">
        <v>492</v>
      </c>
      <c r="V615" s="46" t="s">
        <v>33</v>
      </c>
      <c r="W615" s="54" t="s">
        <v>34</v>
      </c>
    </row>
    <row r="616" spans="1:23" s="27" customFormat="1" ht="34.950000000000003" customHeight="1" x14ac:dyDescent="0.25">
      <c r="A616" s="12">
        <f>SUBTOTAL(3,$B$2:B616)</f>
        <v>615</v>
      </c>
      <c r="B616" s="42">
        <v>313</v>
      </c>
      <c r="C616" s="43">
        <v>45953</v>
      </c>
      <c r="D616" s="42">
        <v>82601090001</v>
      </c>
      <c r="E616" s="44">
        <v>46031</v>
      </c>
      <c r="F616" s="45" t="s">
        <v>735</v>
      </c>
      <c r="G616" s="71" t="s">
        <v>463</v>
      </c>
      <c r="H616" s="76" t="s">
        <v>94</v>
      </c>
      <c r="I616" s="46" t="s">
        <v>736</v>
      </c>
      <c r="J616" s="43">
        <v>45943</v>
      </c>
      <c r="K616" s="80">
        <v>130</v>
      </c>
      <c r="L616" s="49">
        <f t="shared" si="27"/>
        <v>130</v>
      </c>
      <c r="M616" s="48">
        <f t="shared" si="29"/>
        <v>8580</v>
      </c>
      <c r="N616" s="48">
        <v>66</v>
      </c>
      <c r="O616" s="50">
        <v>9</v>
      </c>
      <c r="P616" s="50">
        <v>9</v>
      </c>
      <c r="Q616" s="51">
        <f t="shared" si="28"/>
        <v>10124.4</v>
      </c>
      <c r="R616" s="48"/>
      <c r="S616" s="24">
        <v>1353</v>
      </c>
      <c r="T616" s="43">
        <v>45953</v>
      </c>
      <c r="U616" s="43" t="s">
        <v>737</v>
      </c>
      <c r="V616" s="46" t="s">
        <v>33</v>
      </c>
      <c r="W616" s="54" t="s">
        <v>34</v>
      </c>
    </row>
    <row r="617" spans="1:23" s="27" customFormat="1" ht="34.950000000000003" customHeight="1" x14ac:dyDescent="0.25">
      <c r="A617" s="12">
        <f>SUBTOTAL(3,$B$2:B617)</f>
        <v>616</v>
      </c>
      <c r="B617" s="42">
        <v>313</v>
      </c>
      <c r="C617" s="43">
        <v>45953</v>
      </c>
      <c r="D617" s="42">
        <v>82601090001</v>
      </c>
      <c r="E617" s="44">
        <v>46031</v>
      </c>
      <c r="F617" s="45" t="s">
        <v>735</v>
      </c>
      <c r="G617" s="71" t="s">
        <v>470</v>
      </c>
      <c r="H617" s="76" t="s">
        <v>94</v>
      </c>
      <c r="I617" s="46" t="s">
        <v>736</v>
      </c>
      <c r="J617" s="43">
        <v>45943</v>
      </c>
      <c r="K617" s="80">
        <v>130</v>
      </c>
      <c r="L617" s="49">
        <f t="shared" si="27"/>
        <v>130</v>
      </c>
      <c r="M617" s="48">
        <f t="shared" si="29"/>
        <v>8450</v>
      </c>
      <c r="N617" s="48">
        <v>65</v>
      </c>
      <c r="O617" s="50">
        <v>9</v>
      </c>
      <c r="P617" s="50">
        <v>9</v>
      </c>
      <c r="Q617" s="51">
        <f t="shared" si="28"/>
        <v>9971</v>
      </c>
      <c r="R617" s="48"/>
      <c r="S617" s="24">
        <v>1353</v>
      </c>
      <c r="T617" s="43">
        <v>45953</v>
      </c>
      <c r="U617" s="43" t="s">
        <v>737</v>
      </c>
      <c r="V617" s="46" t="s">
        <v>33</v>
      </c>
      <c r="W617" s="54" t="s">
        <v>34</v>
      </c>
    </row>
    <row r="618" spans="1:23" s="27" customFormat="1" ht="34.950000000000003" customHeight="1" x14ac:dyDescent="0.25">
      <c r="A618" s="12">
        <f>SUBTOTAL(3,$B$2:B618)</f>
        <v>617</v>
      </c>
      <c r="B618" s="42">
        <v>313</v>
      </c>
      <c r="C618" s="43">
        <v>45953</v>
      </c>
      <c r="D618" s="42">
        <v>82601090001</v>
      </c>
      <c r="E618" s="44">
        <v>46031</v>
      </c>
      <c r="F618" s="45" t="s">
        <v>735</v>
      </c>
      <c r="G618" s="71" t="s">
        <v>471</v>
      </c>
      <c r="H618" s="76" t="s">
        <v>94</v>
      </c>
      <c r="I618" s="46" t="s">
        <v>736</v>
      </c>
      <c r="J618" s="43">
        <v>45943</v>
      </c>
      <c r="K618" s="80">
        <v>80</v>
      </c>
      <c r="L618" s="49">
        <f t="shared" si="27"/>
        <v>80</v>
      </c>
      <c r="M618" s="48">
        <f t="shared" si="29"/>
        <v>5200</v>
      </c>
      <c r="N618" s="48">
        <v>65</v>
      </c>
      <c r="O618" s="50">
        <v>9</v>
      </c>
      <c r="P618" s="50">
        <v>9</v>
      </c>
      <c r="Q618" s="51">
        <f t="shared" si="28"/>
        <v>6136</v>
      </c>
      <c r="R618" s="48"/>
      <c r="S618" s="24">
        <v>1353</v>
      </c>
      <c r="T618" s="43">
        <v>45953</v>
      </c>
      <c r="U618" s="43" t="s">
        <v>737</v>
      </c>
      <c r="V618" s="46" t="s">
        <v>33</v>
      </c>
      <c r="W618" s="54" t="s">
        <v>34</v>
      </c>
    </row>
    <row r="619" spans="1:23" s="27" customFormat="1" ht="34.950000000000003" customHeight="1" x14ac:dyDescent="0.25">
      <c r="A619" s="12">
        <f>SUBTOTAL(3,$B$2:B619)</f>
        <v>618</v>
      </c>
      <c r="B619" s="42">
        <v>313</v>
      </c>
      <c r="C619" s="43">
        <v>45953</v>
      </c>
      <c r="D619" s="42">
        <v>82601090001</v>
      </c>
      <c r="E619" s="44">
        <v>46031</v>
      </c>
      <c r="F619" s="45" t="s">
        <v>735</v>
      </c>
      <c r="G619" s="71" t="s">
        <v>461</v>
      </c>
      <c r="H619" s="76" t="s">
        <v>94</v>
      </c>
      <c r="I619" s="46" t="s">
        <v>736</v>
      </c>
      <c r="J619" s="43">
        <v>45943</v>
      </c>
      <c r="K619" s="80">
        <v>80</v>
      </c>
      <c r="L619" s="49">
        <f t="shared" si="27"/>
        <v>80</v>
      </c>
      <c r="M619" s="48">
        <f t="shared" si="29"/>
        <v>5200</v>
      </c>
      <c r="N619" s="48">
        <v>65</v>
      </c>
      <c r="O619" s="50">
        <v>9</v>
      </c>
      <c r="P619" s="50">
        <v>9</v>
      </c>
      <c r="Q619" s="51">
        <f t="shared" si="28"/>
        <v>6136</v>
      </c>
      <c r="R619" s="48"/>
      <c r="S619" s="24">
        <v>1353</v>
      </c>
      <c r="T619" s="43">
        <v>45953</v>
      </c>
      <c r="U619" s="43" t="s">
        <v>737</v>
      </c>
      <c r="V619" s="46" t="s">
        <v>33</v>
      </c>
      <c r="W619" s="54" t="s">
        <v>34</v>
      </c>
    </row>
    <row r="620" spans="1:23" s="27" customFormat="1" ht="34.950000000000003" customHeight="1" x14ac:dyDescent="0.25">
      <c r="A620" s="12">
        <f>SUBTOTAL(3,$B$2:B620)</f>
        <v>619</v>
      </c>
      <c r="B620" s="42">
        <v>313</v>
      </c>
      <c r="C620" s="43">
        <v>45953</v>
      </c>
      <c r="D620" s="42">
        <v>82601090001</v>
      </c>
      <c r="E620" s="44">
        <v>46031</v>
      </c>
      <c r="F620" s="45" t="s">
        <v>735</v>
      </c>
      <c r="G620" s="71" t="s">
        <v>738</v>
      </c>
      <c r="H620" s="76" t="s">
        <v>125</v>
      </c>
      <c r="I620" s="46" t="s">
        <v>736</v>
      </c>
      <c r="J620" s="43">
        <v>45943</v>
      </c>
      <c r="K620" s="80">
        <v>10</v>
      </c>
      <c r="L620" s="49">
        <f t="shared" si="27"/>
        <v>10</v>
      </c>
      <c r="M620" s="48">
        <f t="shared" si="29"/>
        <v>3700</v>
      </c>
      <c r="N620" s="48">
        <v>370</v>
      </c>
      <c r="O620" s="50">
        <v>2.5</v>
      </c>
      <c r="P620" s="50">
        <v>2.5</v>
      </c>
      <c r="Q620" s="51">
        <f t="shared" si="28"/>
        <v>3885</v>
      </c>
      <c r="R620" s="48"/>
      <c r="S620" s="24">
        <v>1353</v>
      </c>
      <c r="T620" s="43">
        <v>45953</v>
      </c>
      <c r="U620" s="43" t="s">
        <v>737</v>
      </c>
      <c r="V620" s="46" t="s">
        <v>33</v>
      </c>
      <c r="W620" s="54" t="s">
        <v>34</v>
      </c>
    </row>
    <row r="621" spans="1:23" s="27" customFormat="1" ht="34.950000000000003" customHeight="1" x14ac:dyDescent="0.25">
      <c r="A621" s="12">
        <f>SUBTOTAL(3,$B$2:B621)</f>
        <v>620</v>
      </c>
      <c r="B621" s="42">
        <v>313</v>
      </c>
      <c r="C621" s="43">
        <v>45953</v>
      </c>
      <c r="D621" s="42">
        <v>82601090001</v>
      </c>
      <c r="E621" s="44">
        <v>46031</v>
      </c>
      <c r="F621" s="45" t="s">
        <v>735</v>
      </c>
      <c r="G621" s="53" t="s">
        <v>739</v>
      </c>
      <c r="H621" s="76" t="s">
        <v>125</v>
      </c>
      <c r="I621" s="46" t="s">
        <v>736</v>
      </c>
      <c r="J621" s="43">
        <v>45943</v>
      </c>
      <c r="K621" s="80">
        <v>10</v>
      </c>
      <c r="L621" s="49">
        <f t="shared" si="27"/>
        <v>10</v>
      </c>
      <c r="M621" s="48">
        <f t="shared" si="29"/>
        <v>3700</v>
      </c>
      <c r="N621" s="48">
        <v>370</v>
      </c>
      <c r="O621" s="50">
        <v>2.5</v>
      </c>
      <c r="P621" s="50">
        <v>2.5</v>
      </c>
      <c r="Q621" s="51">
        <f t="shared" si="28"/>
        <v>3885</v>
      </c>
      <c r="R621" s="48"/>
      <c r="S621" s="24">
        <v>1353</v>
      </c>
      <c r="T621" s="43">
        <v>45953</v>
      </c>
      <c r="U621" s="43" t="s">
        <v>737</v>
      </c>
      <c r="V621" s="46" t="s">
        <v>33</v>
      </c>
      <c r="W621" s="54" t="s">
        <v>34</v>
      </c>
    </row>
    <row r="622" spans="1:23" s="27" customFormat="1" ht="34.950000000000003" customHeight="1" x14ac:dyDescent="0.25">
      <c r="A622" s="12">
        <f>SUBTOTAL(3,$B$2:B622)</f>
        <v>621</v>
      </c>
      <c r="B622" s="42">
        <v>313</v>
      </c>
      <c r="C622" s="43">
        <v>45953</v>
      </c>
      <c r="D622" s="42">
        <v>82601090001</v>
      </c>
      <c r="E622" s="44">
        <v>46031</v>
      </c>
      <c r="F622" s="45" t="s">
        <v>735</v>
      </c>
      <c r="G622" s="53" t="s">
        <v>135</v>
      </c>
      <c r="H622" s="76" t="s">
        <v>125</v>
      </c>
      <c r="I622" s="46" t="s">
        <v>736</v>
      </c>
      <c r="J622" s="43">
        <v>45943</v>
      </c>
      <c r="K622" s="80">
        <v>15</v>
      </c>
      <c r="L622" s="49">
        <f t="shared" si="27"/>
        <v>15</v>
      </c>
      <c r="M622" s="48">
        <f t="shared" si="29"/>
        <v>5550</v>
      </c>
      <c r="N622" s="48">
        <v>370</v>
      </c>
      <c r="O622" s="50">
        <v>2.5</v>
      </c>
      <c r="P622" s="50">
        <v>2.5</v>
      </c>
      <c r="Q622" s="51">
        <f t="shared" si="28"/>
        <v>5827.5</v>
      </c>
      <c r="R622" s="48"/>
      <c r="S622" s="24">
        <v>1353</v>
      </c>
      <c r="T622" s="43">
        <v>45953</v>
      </c>
      <c r="U622" s="43" t="s">
        <v>737</v>
      </c>
      <c r="V622" s="46" t="s">
        <v>33</v>
      </c>
      <c r="W622" s="54" t="s">
        <v>34</v>
      </c>
    </row>
    <row r="623" spans="1:23" s="27" customFormat="1" ht="34.950000000000003" customHeight="1" x14ac:dyDescent="0.25">
      <c r="A623" s="12">
        <f>SUBTOTAL(3,$B$2:B623)</f>
        <v>622</v>
      </c>
      <c r="B623" s="42">
        <v>313</v>
      </c>
      <c r="C623" s="43">
        <v>45953</v>
      </c>
      <c r="D623" s="42">
        <v>82601090001</v>
      </c>
      <c r="E623" s="44">
        <v>46031</v>
      </c>
      <c r="F623" s="45" t="s">
        <v>735</v>
      </c>
      <c r="G623" s="82" t="s">
        <v>740</v>
      </c>
      <c r="H623" s="76" t="s">
        <v>125</v>
      </c>
      <c r="I623" s="46" t="s">
        <v>736</v>
      </c>
      <c r="J623" s="43">
        <v>45943</v>
      </c>
      <c r="K623" s="80">
        <v>15</v>
      </c>
      <c r="L623" s="49">
        <f t="shared" si="27"/>
        <v>15</v>
      </c>
      <c r="M623" s="48">
        <f t="shared" si="29"/>
        <v>5550</v>
      </c>
      <c r="N623" s="48">
        <v>370</v>
      </c>
      <c r="O623" s="50">
        <v>2.5</v>
      </c>
      <c r="P623" s="50">
        <v>2.5</v>
      </c>
      <c r="Q623" s="51">
        <f t="shared" si="28"/>
        <v>5827.5</v>
      </c>
      <c r="R623" s="48"/>
      <c r="S623" s="24">
        <v>1353</v>
      </c>
      <c r="T623" s="43">
        <v>45953</v>
      </c>
      <c r="U623" s="43" t="s">
        <v>737</v>
      </c>
      <c r="V623" s="46" t="s">
        <v>33</v>
      </c>
      <c r="W623" s="54" t="s">
        <v>34</v>
      </c>
    </row>
    <row r="624" spans="1:23" s="27" customFormat="1" ht="34.950000000000003" customHeight="1" x14ac:dyDescent="0.25">
      <c r="A624" s="12">
        <f>SUBTOTAL(3,$B$2:B624)</f>
        <v>623</v>
      </c>
      <c r="B624" s="42">
        <v>313</v>
      </c>
      <c r="C624" s="43">
        <v>45953</v>
      </c>
      <c r="D624" s="42">
        <v>82601090001</v>
      </c>
      <c r="E624" s="44">
        <v>46031</v>
      </c>
      <c r="F624" s="45" t="s">
        <v>735</v>
      </c>
      <c r="G624" s="82" t="s">
        <v>741</v>
      </c>
      <c r="H624" s="76" t="s">
        <v>16</v>
      </c>
      <c r="I624" s="46" t="s">
        <v>736</v>
      </c>
      <c r="J624" s="43">
        <v>45943</v>
      </c>
      <c r="K624" s="80">
        <v>20</v>
      </c>
      <c r="L624" s="49">
        <f t="shared" si="27"/>
        <v>20</v>
      </c>
      <c r="M624" s="48">
        <f t="shared" si="29"/>
        <v>2000</v>
      </c>
      <c r="N624" s="48">
        <v>100</v>
      </c>
      <c r="O624" s="50">
        <v>9</v>
      </c>
      <c r="P624" s="50">
        <v>9</v>
      </c>
      <c r="Q624" s="51">
        <f t="shared" si="28"/>
        <v>2360</v>
      </c>
      <c r="R624" s="48"/>
      <c r="S624" s="24">
        <v>1353</v>
      </c>
      <c r="T624" s="43">
        <v>45953</v>
      </c>
      <c r="U624" s="43" t="s">
        <v>737</v>
      </c>
      <c r="V624" s="46" t="s">
        <v>33</v>
      </c>
      <c r="W624" s="54" t="s">
        <v>34</v>
      </c>
    </row>
    <row r="625" spans="1:23" s="27" customFormat="1" ht="34.950000000000003" customHeight="1" x14ac:dyDescent="0.25">
      <c r="A625" s="12">
        <f>SUBTOTAL(3,$B$2:B625)</f>
        <v>624</v>
      </c>
      <c r="B625" s="42">
        <v>313</v>
      </c>
      <c r="C625" s="43">
        <v>45953</v>
      </c>
      <c r="D625" s="42">
        <v>82601090001</v>
      </c>
      <c r="E625" s="44">
        <v>46031</v>
      </c>
      <c r="F625" s="45" t="s">
        <v>735</v>
      </c>
      <c r="G625" s="82" t="s">
        <v>742</v>
      </c>
      <c r="H625" s="76" t="s">
        <v>125</v>
      </c>
      <c r="I625" s="46" t="s">
        <v>736</v>
      </c>
      <c r="J625" s="43">
        <v>45943</v>
      </c>
      <c r="K625" s="80">
        <v>200</v>
      </c>
      <c r="L625" s="49">
        <f t="shared" si="27"/>
        <v>200</v>
      </c>
      <c r="M625" s="48">
        <f t="shared" si="29"/>
        <v>9000</v>
      </c>
      <c r="N625" s="48">
        <v>45</v>
      </c>
      <c r="O625" s="50">
        <v>9</v>
      </c>
      <c r="P625" s="50">
        <v>9</v>
      </c>
      <c r="Q625" s="51">
        <f t="shared" si="28"/>
        <v>10620</v>
      </c>
      <c r="R625" s="48"/>
      <c r="S625" s="24">
        <v>1353</v>
      </c>
      <c r="T625" s="43">
        <v>45953</v>
      </c>
      <c r="U625" s="43" t="s">
        <v>737</v>
      </c>
      <c r="V625" s="46" t="s">
        <v>33</v>
      </c>
      <c r="W625" s="54" t="s">
        <v>34</v>
      </c>
    </row>
    <row r="626" spans="1:23" s="27" customFormat="1" ht="34.950000000000003" customHeight="1" x14ac:dyDescent="0.25">
      <c r="A626" s="12">
        <f>SUBTOTAL(3,$B$2:B626)</f>
        <v>625</v>
      </c>
      <c r="B626" s="42">
        <v>313</v>
      </c>
      <c r="C626" s="43">
        <v>45953</v>
      </c>
      <c r="D626" s="42">
        <v>82601090001</v>
      </c>
      <c r="E626" s="44">
        <v>46031</v>
      </c>
      <c r="F626" s="45" t="s">
        <v>735</v>
      </c>
      <c r="G626" s="82" t="s">
        <v>123</v>
      </c>
      <c r="H626" s="76" t="s">
        <v>125</v>
      </c>
      <c r="I626" s="46" t="s">
        <v>736</v>
      </c>
      <c r="J626" s="43">
        <v>45943</v>
      </c>
      <c r="K626" s="80">
        <v>200</v>
      </c>
      <c r="L626" s="49">
        <f t="shared" si="27"/>
        <v>200</v>
      </c>
      <c r="M626" s="48">
        <f t="shared" si="29"/>
        <v>6000</v>
      </c>
      <c r="N626" s="48">
        <v>30</v>
      </c>
      <c r="O626" s="50">
        <v>9</v>
      </c>
      <c r="P626" s="50">
        <v>9</v>
      </c>
      <c r="Q626" s="51">
        <f t="shared" si="28"/>
        <v>7080</v>
      </c>
      <c r="R626" s="48"/>
      <c r="S626" s="24">
        <v>1353</v>
      </c>
      <c r="T626" s="43">
        <v>45953</v>
      </c>
      <c r="U626" s="43" t="s">
        <v>737</v>
      </c>
      <c r="V626" s="46" t="s">
        <v>33</v>
      </c>
      <c r="W626" s="54" t="s">
        <v>34</v>
      </c>
    </row>
    <row r="627" spans="1:23" s="27" customFormat="1" ht="34.950000000000003" customHeight="1" x14ac:dyDescent="0.25">
      <c r="A627" s="12">
        <f>SUBTOTAL(3,$B$2:B627)</f>
        <v>626</v>
      </c>
      <c r="B627" s="42">
        <v>313</v>
      </c>
      <c r="C627" s="43">
        <v>45953</v>
      </c>
      <c r="D627" s="42">
        <v>82601090001</v>
      </c>
      <c r="E627" s="44">
        <v>46031</v>
      </c>
      <c r="F627" s="45" t="s">
        <v>735</v>
      </c>
      <c r="G627" s="82" t="s">
        <v>743</v>
      </c>
      <c r="H627" s="76" t="s">
        <v>474</v>
      </c>
      <c r="I627" s="46" t="s">
        <v>736</v>
      </c>
      <c r="J627" s="43">
        <v>45943</v>
      </c>
      <c r="K627" s="80">
        <v>50</v>
      </c>
      <c r="L627" s="49">
        <f t="shared" si="27"/>
        <v>50</v>
      </c>
      <c r="M627" s="48">
        <f t="shared" si="29"/>
        <v>400</v>
      </c>
      <c r="N627" s="48">
        <v>8</v>
      </c>
      <c r="O627" s="50">
        <v>2.5</v>
      </c>
      <c r="P627" s="50">
        <v>2.5</v>
      </c>
      <c r="Q627" s="51">
        <f t="shared" si="28"/>
        <v>420</v>
      </c>
      <c r="R627" s="48"/>
      <c r="S627" s="24">
        <v>1353</v>
      </c>
      <c r="T627" s="43">
        <v>45953</v>
      </c>
      <c r="U627" s="43" t="s">
        <v>737</v>
      </c>
      <c r="V627" s="46" t="s">
        <v>33</v>
      </c>
      <c r="W627" s="54" t="s">
        <v>34</v>
      </c>
    </row>
    <row r="628" spans="1:23" s="27" customFormat="1" ht="34.950000000000003" customHeight="1" x14ac:dyDescent="0.25">
      <c r="A628" s="12">
        <f>SUBTOTAL(3,$B$2:B628)</f>
        <v>627</v>
      </c>
      <c r="B628" s="42">
        <v>313</v>
      </c>
      <c r="C628" s="43">
        <v>45953</v>
      </c>
      <c r="D628" s="42">
        <v>82601090001</v>
      </c>
      <c r="E628" s="44">
        <v>46031</v>
      </c>
      <c r="F628" s="45" t="s">
        <v>735</v>
      </c>
      <c r="G628" s="82" t="s">
        <v>744</v>
      </c>
      <c r="H628" s="76" t="s">
        <v>94</v>
      </c>
      <c r="I628" s="46" t="s">
        <v>736</v>
      </c>
      <c r="J628" s="43">
        <v>45943</v>
      </c>
      <c r="K628" s="80">
        <v>50</v>
      </c>
      <c r="L628" s="49">
        <f t="shared" si="27"/>
        <v>50</v>
      </c>
      <c r="M628" s="48">
        <f t="shared" si="29"/>
        <v>2500</v>
      </c>
      <c r="N628" s="48">
        <v>50</v>
      </c>
      <c r="O628" s="50">
        <v>9</v>
      </c>
      <c r="P628" s="50">
        <v>9</v>
      </c>
      <c r="Q628" s="51">
        <f t="shared" si="28"/>
        <v>2950</v>
      </c>
      <c r="R628" s="48"/>
      <c r="S628" s="24">
        <v>1353</v>
      </c>
      <c r="T628" s="43">
        <v>45953</v>
      </c>
      <c r="U628" s="43" t="s">
        <v>737</v>
      </c>
      <c r="V628" s="46" t="s">
        <v>33</v>
      </c>
      <c r="W628" s="54" t="s">
        <v>34</v>
      </c>
    </row>
    <row r="629" spans="1:23" s="27" customFormat="1" ht="34.950000000000003" customHeight="1" x14ac:dyDescent="0.25">
      <c r="A629" s="12">
        <f>SUBTOTAL(3,$B$2:B629)</f>
        <v>628</v>
      </c>
      <c r="B629" s="42">
        <v>313</v>
      </c>
      <c r="C629" s="43">
        <v>45953</v>
      </c>
      <c r="D629" s="42">
        <v>82601090001</v>
      </c>
      <c r="E629" s="44">
        <v>46031</v>
      </c>
      <c r="F629" s="45" t="s">
        <v>735</v>
      </c>
      <c r="G629" s="82" t="s">
        <v>745</v>
      </c>
      <c r="H629" s="76" t="s">
        <v>16</v>
      </c>
      <c r="I629" s="46" t="s">
        <v>736</v>
      </c>
      <c r="J629" s="43">
        <v>45943</v>
      </c>
      <c r="K629" s="80">
        <v>1</v>
      </c>
      <c r="L629" s="49">
        <f t="shared" si="27"/>
        <v>1</v>
      </c>
      <c r="M629" s="48">
        <f t="shared" si="29"/>
        <v>1400</v>
      </c>
      <c r="N629" s="48">
        <v>1400</v>
      </c>
      <c r="O629" s="50">
        <v>9</v>
      </c>
      <c r="P629" s="50">
        <v>9</v>
      </c>
      <c r="Q629" s="51">
        <f t="shared" si="28"/>
        <v>1652</v>
      </c>
      <c r="R629" s="48"/>
      <c r="S629" s="24">
        <v>1353</v>
      </c>
      <c r="T629" s="43">
        <v>45953</v>
      </c>
      <c r="U629" s="43" t="s">
        <v>737</v>
      </c>
      <c r="V629" s="46" t="s">
        <v>33</v>
      </c>
      <c r="W629" s="54" t="s">
        <v>34</v>
      </c>
    </row>
    <row r="630" spans="1:23" s="27" customFormat="1" ht="34.950000000000003" customHeight="1" x14ac:dyDescent="0.25">
      <c r="A630" s="12">
        <f>SUBTOTAL(3,$B$2:B630)</f>
        <v>629</v>
      </c>
      <c r="B630" s="42">
        <v>313</v>
      </c>
      <c r="C630" s="43">
        <v>45953</v>
      </c>
      <c r="D630" s="42">
        <v>82601090001</v>
      </c>
      <c r="E630" s="44">
        <v>46031</v>
      </c>
      <c r="F630" s="45" t="s">
        <v>735</v>
      </c>
      <c r="G630" s="82" t="s">
        <v>746</v>
      </c>
      <c r="H630" s="76" t="s">
        <v>16</v>
      </c>
      <c r="I630" s="46" t="s">
        <v>736</v>
      </c>
      <c r="J630" s="43">
        <v>45943</v>
      </c>
      <c r="K630" s="80">
        <v>1</v>
      </c>
      <c r="L630" s="49">
        <f t="shared" si="27"/>
        <v>1</v>
      </c>
      <c r="M630" s="48">
        <f t="shared" si="29"/>
        <v>7500</v>
      </c>
      <c r="N630" s="48">
        <v>7500</v>
      </c>
      <c r="O630" s="50">
        <v>9</v>
      </c>
      <c r="P630" s="50">
        <v>9</v>
      </c>
      <c r="Q630" s="51">
        <f t="shared" si="28"/>
        <v>8850</v>
      </c>
      <c r="R630" s="48"/>
      <c r="S630" s="24">
        <v>1353</v>
      </c>
      <c r="T630" s="43">
        <v>45953</v>
      </c>
      <c r="U630" s="43" t="s">
        <v>737</v>
      </c>
      <c r="V630" s="46" t="s">
        <v>33</v>
      </c>
      <c r="W630" s="54" t="s">
        <v>34</v>
      </c>
    </row>
    <row r="631" spans="1:23" s="27" customFormat="1" ht="34.950000000000003" customHeight="1" x14ac:dyDescent="0.25">
      <c r="A631" s="12">
        <f>SUBTOTAL(3,$B$2:B631)</f>
        <v>630</v>
      </c>
      <c r="B631" s="42">
        <v>313</v>
      </c>
      <c r="C631" s="43">
        <v>45953</v>
      </c>
      <c r="D631" s="42">
        <v>82601090001</v>
      </c>
      <c r="E631" s="44">
        <v>46031</v>
      </c>
      <c r="F631" s="45" t="s">
        <v>735</v>
      </c>
      <c r="G631" s="82" t="s">
        <v>195</v>
      </c>
      <c r="H631" s="76" t="s">
        <v>16</v>
      </c>
      <c r="I631" s="46" t="s">
        <v>736</v>
      </c>
      <c r="J631" s="43">
        <v>45943</v>
      </c>
      <c r="K631" s="80">
        <v>200</v>
      </c>
      <c r="L631" s="49">
        <f t="shared" si="27"/>
        <v>200</v>
      </c>
      <c r="M631" s="48">
        <f t="shared" si="29"/>
        <v>2000</v>
      </c>
      <c r="N631" s="48">
        <v>10</v>
      </c>
      <c r="O631" s="50">
        <v>9</v>
      </c>
      <c r="P631" s="50">
        <v>9</v>
      </c>
      <c r="Q631" s="51">
        <f t="shared" si="28"/>
        <v>2360</v>
      </c>
      <c r="R631" s="48"/>
      <c r="S631" s="24">
        <v>1353</v>
      </c>
      <c r="T631" s="43">
        <v>45953</v>
      </c>
      <c r="U631" s="43" t="s">
        <v>737</v>
      </c>
      <c r="V631" s="46" t="s">
        <v>33</v>
      </c>
      <c r="W631" s="54" t="s">
        <v>34</v>
      </c>
    </row>
    <row r="632" spans="1:23" s="27" customFormat="1" ht="34.950000000000003" customHeight="1" x14ac:dyDescent="0.25">
      <c r="A632" s="12">
        <f>SUBTOTAL(3,$B$2:B632)</f>
        <v>631</v>
      </c>
      <c r="B632" s="42">
        <v>313</v>
      </c>
      <c r="C632" s="43">
        <v>45953</v>
      </c>
      <c r="D632" s="42">
        <v>82601090001</v>
      </c>
      <c r="E632" s="44">
        <v>46031</v>
      </c>
      <c r="F632" s="45" t="s">
        <v>735</v>
      </c>
      <c r="G632" s="82" t="s">
        <v>196</v>
      </c>
      <c r="H632" s="76" t="s">
        <v>16</v>
      </c>
      <c r="I632" s="46" t="s">
        <v>736</v>
      </c>
      <c r="J632" s="43">
        <v>45943</v>
      </c>
      <c r="K632" s="80">
        <v>50</v>
      </c>
      <c r="L632" s="49">
        <f t="shared" si="27"/>
        <v>50</v>
      </c>
      <c r="M632" s="48">
        <f t="shared" si="29"/>
        <v>500</v>
      </c>
      <c r="N632" s="48">
        <v>10</v>
      </c>
      <c r="O632" s="50">
        <v>9</v>
      </c>
      <c r="P632" s="50">
        <v>9</v>
      </c>
      <c r="Q632" s="51">
        <f t="shared" si="28"/>
        <v>590</v>
      </c>
      <c r="R632" s="48"/>
      <c r="S632" s="24">
        <v>1353</v>
      </c>
      <c r="T632" s="43">
        <v>45953</v>
      </c>
      <c r="U632" s="43" t="s">
        <v>737</v>
      </c>
      <c r="V632" s="46" t="s">
        <v>33</v>
      </c>
      <c r="W632" s="54" t="s">
        <v>34</v>
      </c>
    </row>
    <row r="633" spans="1:23" s="27" customFormat="1" ht="34.950000000000003" customHeight="1" x14ac:dyDescent="0.25">
      <c r="A633" s="12">
        <f>SUBTOTAL(3,$B$2:B633)</f>
        <v>632</v>
      </c>
      <c r="B633" s="42">
        <v>313</v>
      </c>
      <c r="C633" s="43">
        <v>45953</v>
      </c>
      <c r="D633" s="42">
        <v>82601090001</v>
      </c>
      <c r="E633" s="44">
        <v>46031</v>
      </c>
      <c r="F633" s="45" t="s">
        <v>735</v>
      </c>
      <c r="G633" s="82" t="s">
        <v>144</v>
      </c>
      <c r="H633" s="76" t="s">
        <v>16</v>
      </c>
      <c r="I633" s="46" t="s">
        <v>736</v>
      </c>
      <c r="J633" s="43">
        <v>45943</v>
      </c>
      <c r="K633" s="80">
        <v>5</v>
      </c>
      <c r="L633" s="49">
        <f t="shared" si="27"/>
        <v>5</v>
      </c>
      <c r="M633" s="48">
        <f t="shared" si="29"/>
        <v>2850</v>
      </c>
      <c r="N633" s="48">
        <v>570</v>
      </c>
      <c r="O633" s="50">
        <v>9</v>
      </c>
      <c r="P633" s="50">
        <v>9</v>
      </c>
      <c r="Q633" s="51">
        <f t="shared" si="28"/>
        <v>3363</v>
      </c>
      <c r="R633" s="48"/>
      <c r="S633" s="24">
        <v>1353</v>
      </c>
      <c r="T633" s="43">
        <v>45953</v>
      </c>
      <c r="U633" s="43" t="s">
        <v>737</v>
      </c>
      <c r="V633" s="46" t="s">
        <v>33</v>
      </c>
      <c r="W633" s="54" t="s">
        <v>34</v>
      </c>
    </row>
    <row r="634" spans="1:23" s="27" customFormat="1" ht="34.950000000000003" customHeight="1" x14ac:dyDescent="0.25">
      <c r="A634" s="12">
        <f>SUBTOTAL(3,$B$2:B634)</f>
        <v>633</v>
      </c>
      <c r="B634" s="42">
        <v>313</v>
      </c>
      <c r="C634" s="43">
        <v>45953</v>
      </c>
      <c r="D634" s="42">
        <v>82601090001</v>
      </c>
      <c r="E634" s="44">
        <v>46031</v>
      </c>
      <c r="F634" s="45" t="s">
        <v>735</v>
      </c>
      <c r="G634" s="82" t="s">
        <v>747</v>
      </c>
      <c r="H634" s="76" t="s">
        <v>478</v>
      </c>
      <c r="I634" s="46" t="s">
        <v>736</v>
      </c>
      <c r="J634" s="43">
        <v>45943</v>
      </c>
      <c r="K634" s="80">
        <v>20</v>
      </c>
      <c r="L634" s="49">
        <f t="shared" si="27"/>
        <v>20</v>
      </c>
      <c r="M634" s="48">
        <f t="shared" si="29"/>
        <v>3800</v>
      </c>
      <c r="N634" s="48">
        <v>190</v>
      </c>
      <c r="O634" s="50">
        <v>9</v>
      </c>
      <c r="P634" s="50">
        <v>9</v>
      </c>
      <c r="Q634" s="51">
        <f t="shared" si="28"/>
        <v>4484</v>
      </c>
      <c r="R634" s="48"/>
      <c r="S634" s="24">
        <v>1353</v>
      </c>
      <c r="T634" s="43">
        <v>45953</v>
      </c>
      <c r="U634" s="43" t="s">
        <v>737</v>
      </c>
      <c r="V634" s="46" t="s">
        <v>33</v>
      </c>
      <c r="W634" s="54" t="s">
        <v>34</v>
      </c>
    </row>
    <row r="635" spans="1:23" s="27" customFormat="1" ht="34.950000000000003" customHeight="1" x14ac:dyDescent="0.25">
      <c r="A635" s="12">
        <f>SUBTOTAL(3,$B$2:B635)</f>
        <v>634</v>
      </c>
      <c r="B635" s="42">
        <v>313</v>
      </c>
      <c r="C635" s="43">
        <v>45953</v>
      </c>
      <c r="D635" s="42">
        <v>82601090001</v>
      </c>
      <c r="E635" s="44">
        <v>46031</v>
      </c>
      <c r="F635" s="45" t="s">
        <v>735</v>
      </c>
      <c r="G635" s="71" t="s">
        <v>748</v>
      </c>
      <c r="H635" s="76" t="s">
        <v>478</v>
      </c>
      <c r="I635" s="46" t="s">
        <v>736</v>
      </c>
      <c r="J635" s="43">
        <v>45943</v>
      </c>
      <c r="K635" s="80">
        <v>20</v>
      </c>
      <c r="L635" s="49">
        <f t="shared" si="27"/>
        <v>20</v>
      </c>
      <c r="M635" s="48">
        <f t="shared" si="29"/>
        <v>2800</v>
      </c>
      <c r="N635" s="48">
        <v>140</v>
      </c>
      <c r="O635" s="50">
        <v>9</v>
      </c>
      <c r="P635" s="50">
        <v>9</v>
      </c>
      <c r="Q635" s="51">
        <f t="shared" si="28"/>
        <v>3304</v>
      </c>
      <c r="R635" s="48"/>
      <c r="S635" s="24">
        <v>1353</v>
      </c>
      <c r="T635" s="43">
        <v>45953</v>
      </c>
      <c r="U635" s="43" t="s">
        <v>737</v>
      </c>
      <c r="V635" s="46" t="s">
        <v>33</v>
      </c>
      <c r="W635" s="54" t="s">
        <v>34</v>
      </c>
    </row>
    <row r="636" spans="1:23" s="27" customFormat="1" ht="34.950000000000003" customHeight="1" x14ac:dyDescent="0.25">
      <c r="A636" s="12">
        <f>SUBTOTAL(3,$B$2:B636)</f>
        <v>635</v>
      </c>
      <c r="B636" s="42">
        <v>313</v>
      </c>
      <c r="C636" s="43">
        <v>45953</v>
      </c>
      <c r="D636" s="42">
        <v>82601090001</v>
      </c>
      <c r="E636" s="44">
        <v>46031</v>
      </c>
      <c r="F636" s="45" t="s">
        <v>735</v>
      </c>
      <c r="G636" s="71" t="s">
        <v>582</v>
      </c>
      <c r="H636" s="76" t="s">
        <v>16</v>
      </c>
      <c r="I636" s="46" t="s">
        <v>736</v>
      </c>
      <c r="J636" s="43">
        <v>45943</v>
      </c>
      <c r="K636" s="80">
        <v>5</v>
      </c>
      <c r="L636" s="49">
        <f t="shared" si="27"/>
        <v>5</v>
      </c>
      <c r="M636" s="48">
        <f t="shared" si="29"/>
        <v>150</v>
      </c>
      <c r="N636" s="48">
        <v>30</v>
      </c>
      <c r="O636" s="50">
        <v>9</v>
      </c>
      <c r="P636" s="50">
        <v>9</v>
      </c>
      <c r="Q636" s="51">
        <f t="shared" si="28"/>
        <v>177</v>
      </c>
      <c r="R636" s="48"/>
      <c r="S636" s="24">
        <v>1353</v>
      </c>
      <c r="T636" s="43">
        <v>45953</v>
      </c>
      <c r="U636" s="43" t="s">
        <v>737</v>
      </c>
      <c r="V636" s="46" t="s">
        <v>33</v>
      </c>
      <c r="W636" s="54" t="s">
        <v>34</v>
      </c>
    </row>
    <row r="637" spans="1:23" s="27" customFormat="1" ht="34.950000000000003" customHeight="1" x14ac:dyDescent="0.25">
      <c r="A637" s="12">
        <f>SUBTOTAL(3,$B$2:B637)</f>
        <v>636</v>
      </c>
      <c r="B637" s="42">
        <v>313</v>
      </c>
      <c r="C637" s="43">
        <v>45953</v>
      </c>
      <c r="D637" s="42">
        <v>82601090001</v>
      </c>
      <c r="E637" s="44">
        <v>46031</v>
      </c>
      <c r="F637" s="45" t="s">
        <v>735</v>
      </c>
      <c r="G637" s="71" t="s">
        <v>749</v>
      </c>
      <c r="H637" s="76" t="s">
        <v>16</v>
      </c>
      <c r="I637" s="46" t="s">
        <v>736</v>
      </c>
      <c r="J637" s="43">
        <v>45943</v>
      </c>
      <c r="K637" s="80">
        <v>5</v>
      </c>
      <c r="L637" s="49">
        <f t="shared" si="27"/>
        <v>5</v>
      </c>
      <c r="M637" s="48">
        <f t="shared" si="29"/>
        <v>200</v>
      </c>
      <c r="N637" s="48">
        <v>40</v>
      </c>
      <c r="O637" s="50">
        <v>9</v>
      </c>
      <c r="P637" s="50">
        <v>9</v>
      </c>
      <c r="Q637" s="51">
        <f t="shared" si="28"/>
        <v>236</v>
      </c>
      <c r="R637" s="48"/>
      <c r="S637" s="24">
        <v>1353</v>
      </c>
      <c r="T637" s="43">
        <v>45953</v>
      </c>
      <c r="U637" s="43" t="s">
        <v>737</v>
      </c>
      <c r="V637" s="46" t="s">
        <v>33</v>
      </c>
      <c r="W637" s="54" t="s">
        <v>34</v>
      </c>
    </row>
    <row r="638" spans="1:23" s="27" customFormat="1" ht="34.950000000000003" customHeight="1" x14ac:dyDescent="0.25">
      <c r="A638" s="12">
        <f>SUBTOTAL(3,$B$2:B638)</f>
        <v>637</v>
      </c>
      <c r="B638" s="42">
        <v>313</v>
      </c>
      <c r="C638" s="43">
        <v>45953</v>
      </c>
      <c r="D638" s="42">
        <v>82601090001</v>
      </c>
      <c r="E638" s="44">
        <v>46031</v>
      </c>
      <c r="F638" s="45" t="s">
        <v>735</v>
      </c>
      <c r="G638" s="71" t="s">
        <v>750</v>
      </c>
      <c r="H638" s="76" t="s">
        <v>16</v>
      </c>
      <c r="I638" s="46" t="s">
        <v>736</v>
      </c>
      <c r="J638" s="43">
        <v>45943</v>
      </c>
      <c r="K638" s="80">
        <v>5</v>
      </c>
      <c r="L638" s="49">
        <f t="shared" si="27"/>
        <v>5</v>
      </c>
      <c r="M638" s="48">
        <f t="shared" si="29"/>
        <v>100</v>
      </c>
      <c r="N638" s="48">
        <v>20</v>
      </c>
      <c r="O638" s="50">
        <v>9</v>
      </c>
      <c r="P638" s="50">
        <v>9</v>
      </c>
      <c r="Q638" s="51">
        <f t="shared" si="28"/>
        <v>118</v>
      </c>
      <c r="R638" s="48"/>
      <c r="S638" s="24">
        <v>1353</v>
      </c>
      <c r="T638" s="43">
        <v>45953</v>
      </c>
      <c r="U638" s="43" t="s">
        <v>737</v>
      </c>
      <c r="V638" s="46" t="s">
        <v>33</v>
      </c>
      <c r="W638" s="54" t="s">
        <v>34</v>
      </c>
    </row>
    <row r="639" spans="1:23" s="27" customFormat="1" ht="34.950000000000003" customHeight="1" x14ac:dyDescent="0.25">
      <c r="A639" s="12">
        <f>SUBTOTAL(3,$B$2:B639)</f>
        <v>638</v>
      </c>
      <c r="B639" s="42">
        <v>313</v>
      </c>
      <c r="C639" s="43">
        <v>45953</v>
      </c>
      <c r="D639" s="42">
        <v>82601090001</v>
      </c>
      <c r="E639" s="44">
        <v>46031</v>
      </c>
      <c r="F639" s="45" t="s">
        <v>735</v>
      </c>
      <c r="G639" s="71" t="s">
        <v>516</v>
      </c>
      <c r="H639" s="76" t="s">
        <v>478</v>
      </c>
      <c r="I639" s="46" t="s">
        <v>736</v>
      </c>
      <c r="J639" s="43">
        <v>45943</v>
      </c>
      <c r="K639" s="80">
        <v>40</v>
      </c>
      <c r="L639" s="49">
        <f t="shared" si="27"/>
        <v>40</v>
      </c>
      <c r="M639" s="48">
        <f t="shared" si="29"/>
        <v>5000</v>
      </c>
      <c r="N639" s="48">
        <v>125</v>
      </c>
      <c r="O639" s="50">
        <v>9</v>
      </c>
      <c r="P639" s="50">
        <v>9</v>
      </c>
      <c r="Q639" s="51">
        <f t="shared" si="28"/>
        <v>5900</v>
      </c>
      <c r="R639" s="48"/>
      <c r="S639" s="24">
        <v>1353</v>
      </c>
      <c r="T639" s="43">
        <v>45953</v>
      </c>
      <c r="U639" s="43" t="s">
        <v>737</v>
      </c>
      <c r="V639" s="46" t="s">
        <v>33</v>
      </c>
      <c r="W639" s="54" t="s">
        <v>34</v>
      </c>
    </row>
    <row r="640" spans="1:23" s="27" customFormat="1" ht="34.950000000000003" customHeight="1" x14ac:dyDescent="0.25">
      <c r="A640" s="12">
        <f>SUBTOTAL(3,$B$2:B640)</f>
        <v>639</v>
      </c>
      <c r="B640" s="42">
        <v>313</v>
      </c>
      <c r="C640" s="43">
        <v>45953</v>
      </c>
      <c r="D640" s="42">
        <v>82601090001</v>
      </c>
      <c r="E640" s="44">
        <v>46031</v>
      </c>
      <c r="F640" s="45" t="s">
        <v>735</v>
      </c>
      <c r="G640" s="53" t="s">
        <v>200</v>
      </c>
      <c r="H640" s="76" t="s">
        <v>16</v>
      </c>
      <c r="I640" s="46" t="s">
        <v>736</v>
      </c>
      <c r="J640" s="43">
        <v>45943</v>
      </c>
      <c r="K640" s="80">
        <v>3000</v>
      </c>
      <c r="L640" s="49">
        <f t="shared" si="27"/>
        <v>3000</v>
      </c>
      <c r="M640" s="48">
        <f t="shared" si="29"/>
        <v>9000</v>
      </c>
      <c r="N640" s="48">
        <v>3</v>
      </c>
      <c r="O640" s="50">
        <v>9</v>
      </c>
      <c r="P640" s="50">
        <v>9</v>
      </c>
      <c r="Q640" s="51">
        <f t="shared" si="28"/>
        <v>10620</v>
      </c>
      <c r="R640" s="48"/>
      <c r="S640" s="24">
        <v>1353</v>
      </c>
      <c r="T640" s="43">
        <v>45953</v>
      </c>
      <c r="U640" s="43" t="s">
        <v>737</v>
      </c>
      <c r="V640" s="46" t="s">
        <v>33</v>
      </c>
      <c r="W640" s="54" t="s">
        <v>34</v>
      </c>
    </row>
    <row r="641" spans="1:23" s="27" customFormat="1" ht="34.950000000000003" customHeight="1" x14ac:dyDescent="0.25">
      <c r="A641" s="12">
        <f>SUBTOTAL(3,$B$2:B641)</f>
        <v>640</v>
      </c>
      <c r="B641" s="42">
        <v>313</v>
      </c>
      <c r="C641" s="43">
        <v>45953</v>
      </c>
      <c r="D641" s="42">
        <v>82601090001</v>
      </c>
      <c r="E641" s="44">
        <v>46031</v>
      </c>
      <c r="F641" s="45" t="s">
        <v>735</v>
      </c>
      <c r="G641" s="52" t="s">
        <v>198</v>
      </c>
      <c r="H641" s="46" t="s">
        <v>16</v>
      </c>
      <c r="I641" s="46" t="s">
        <v>736</v>
      </c>
      <c r="J641" s="43">
        <v>45943</v>
      </c>
      <c r="K641" s="73">
        <v>2000</v>
      </c>
      <c r="L641" s="49">
        <f t="shared" si="27"/>
        <v>2000</v>
      </c>
      <c r="M641" s="48">
        <f t="shared" si="29"/>
        <v>2800</v>
      </c>
      <c r="N641" s="48">
        <v>1.4</v>
      </c>
      <c r="O641" s="50">
        <v>9</v>
      </c>
      <c r="P641" s="50">
        <v>9</v>
      </c>
      <c r="Q641" s="51">
        <f t="shared" si="28"/>
        <v>3304</v>
      </c>
      <c r="R641" s="48"/>
      <c r="S641" s="24">
        <v>1353</v>
      </c>
      <c r="T641" s="43">
        <v>45953</v>
      </c>
      <c r="U641" s="24" t="s">
        <v>737</v>
      </c>
      <c r="V641" s="46" t="s">
        <v>33</v>
      </c>
      <c r="W641" s="54" t="s">
        <v>34</v>
      </c>
    </row>
    <row r="642" spans="1:23" s="27" customFormat="1" ht="34.950000000000003" customHeight="1" x14ac:dyDescent="0.25">
      <c r="A642" s="12">
        <f>SUBTOTAL(3,$B$2:B642)</f>
        <v>641</v>
      </c>
      <c r="B642" s="42">
        <v>313</v>
      </c>
      <c r="C642" s="43">
        <v>45953</v>
      </c>
      <c r="D642" s="42">
        <v>82601090001</v>
      </c>
      <c r="E642" s="44">
        <v>46031</v>
      </c>
      <c r="F642" s="45" t="s">
        <v>735</v>
      </c>
      <c r="G642" s="71" t="s">
        <v>751</v>
      </c>
      <c r="H642" s="76" t="s">
        <v>752</v>
      </c>
      <c r="I642" s="46" t="s">
        <v>736</v>
      </c>
      <c r="J642" s="43">
        <v>45943</v>
      </c>
      <c r="K642" s="80">
        <v>1350</v>
      </c>
      <c r="L642" s="49">
        <f t="shared" ref="L642:L705" si="30">K642</f>
        <v>1350</v>
      </c>
      <c r="M642" s="48">
        <f t="shared" si="29"/>
        <v>38000</v>
      </c>
      <c r="N642" s="48">
        <v>28.148148148148149</v>
      </c>
      <c r="O642" s="50">
        <v>9</v>
      </c>
      <c r="P642" s="50">
        <v>9</v>
      </c>
      <c r="Q642" s="51">
        <f t="shared" ref="Q642:Q705" si="31">IF(M642="","",M642*(1+(O642+P642)/100))</f>
        <v>44840</v>
      </c>
      <c r="R642" s="48"/>
      <c r="S642" s="24">
        <v>1353</v>
      </c>
      <c r="T642" s="43">
        <v>45953</v>
      </c>
      <c r="U642" s="24" t="s">
        <v>737</v>
      </c>
      <c r="V642" s="46" t="s">
        <v>33</v>
      </c>
      <c r="W642" s="54" t="s">
        <v>34</v>
      </c>
    </row>
    <row r="643" spans="1:23" s="27" customFormat="1" ht="34.950000000000003" customHeight="1" x14ac:dyDescent="0.35">
      <c r="A643" s="12">
        <f>SUBTOTAL(3,$B$2:B643)</f>
        <v>642</v>
      </c>
      <c r="B643" s="42">
        <v>313</v>
      </c>
      <c r="C643" s="43">
        <v>45953</v>
      </c>
      <c r="D643" s="42">
        <v>82601090001</v>
      </c>
      <c r="E643" s="44">
        <v>46031</v>
      </c>
      <c r="F643" s="45" t="s">
        <v>735</v>
      </c>
      <c r="G643" s="53" t="s">
        <v>207</v>
      </c>
      <c r="H643" s="72" t="s">
        <v>752</v>
      </c>
      <c r="I643" s="46" t="s">
        <v>736</v>
      </c>
      <c r="J643" s="43">
        <v>45943</v>
      </c>
      <c r="K643" s="80">
        <v>1950</v>
      </c>
      <c r="L643" s="49">
        <f t="shared" si="30"/>
        <v>1950</v>
      </c>
      <c r="M643" s="48">
        <f t="shared" si="29"/>
        <v>40000</v>
      </c>
      <c r="N643" s="48">
        <v>20.512820512820515</v>
      </c>
      <c r="O643" s="50">
        <v>2.5</v>
      </c>
      <c r="P643" s="50">
        <v>2.5</v>
      </c>
      <c r="Q643" s="51">
        <f t="shared" si="31"/>
        <v>42000</v>
      </c>
      <c r="R643" s="48"/>
      <c r="S643" s="24">
        <v>1353</v>
      </c>
      <c r="T643" s="43">
        <v>45953</v>
      </c>
      <c r="U643" s="24" t="s">
        <v>737</v>
      </c>
      <c r="V643" s="46" t="s">
        <v>33</v>
      </c>
      <c r="W643" s="54" t="s">
        <v>34</v>
      </c>
    </row>
    <row r="644" spans="1:23" s="27" customFormat="1" ht="34.950000000000003" customHeight="1" x14ac:dyDescent="0.25">
      <c r="A644" s="12">
        <f>SUBTOTAL(3,$B$2:B644)</f>
        <v>643</v>
      </c>
      <c r="B644" s="42">
        <v>313</v>
      </c>
      <c r="C644" s="43">
        <v>45953</v>
      </c>
      <c r="D644" s="42">
        <v>82601090001</v>
      </c>
      <c r="E644" s="44">
        <v>46031</v>
      </c>
      <c r="F644" s="45" t="s">
        <v>735</v>
      </c>
      <c r="G644" s="71" t="s">
        <v>753</v>
      </c>
      <c r="H644" s="76" t="s">
        <v>16</v>
      </c>
      <c r="I644" s="46" t="s">
        <v>736</v>
      </c>
      <c r="J644" s="43">
        <v>45943</v>
      </c>
      <c r="K644" s="80">
        <v>100</v>
      </c>
      <c r="L644" s="49">
        <f t="shared" si="30"/>
        <v>100</v>
      </c>
      <c r="M644" s="48">
        <f t="shared" ref="M644:M707" si="32">L644*N644</f>
        <v>44000</v>
      </c>
      <c r="N644" s="48">
        <v>440</v>
      </c>
      <c r="O644" s="50">
        <v>2.5</v>
      </c>
      <c r="P644" s="50">
        <v>2.5</v>
      </c>
      <c r="Q644" s="51">
        <f t="shared" si="31"/>
        <v>46200</v>
      </c>
      <c r="R644" s="48"/>
      <c r="S644" s="24">
        <v>1353</v>
      </c>
      <c r="T644" s="43">
        <v>45953</v>
      </c>
      <c r="U644" s="24" t="s">
        <v>737</v>
      </c>
      <c r="V644" s="46" t="s">
        <v>33</v>
      </c>
      <c r="W644" s="54" t="s">
        <v>34</v>
      </c>
    </row>
    <row r="645" spans="1:23" s="27" customFormat="1" ht="34.950000000000003" customHeight="1" x14ac:dyDescent="0.35">
      <c r="A645" s="12">
        <f>SUBTOTAL(3,$B$2:B645)</f>
        <v>644</v>
      </c>
      <c r="B645" s="42">
        <v>313</v>
      </c>
      <c r="C645" s="43">
        <v>45953</v>
      </c>
      <c r="D645" s="42">
        <v>82601090001</v>
      </c>
      <c r="E645" s="44">
        <v>46031</v>
      </c>
      <c r="F645" s="45" t="s">
        <v>735</v>
      </c>
      <c r="G645" s="71" t="s">
        <v>593</v>
      </c>
      <c r="H645" s="72" t="s">
        <v>16</v>
      </c>
      <c r="I645" s="46" t="s">
        <v>736</v>
      </c>
      <c r="J645" s="43">
        <v>45943</v>
      </c>
      <c r="K645" s="80">
        <v>20</v>
      </c>
      <c r="L645" s="49">
        <f t="shared" si="30"/>
        <v>20</v>
      </c>
      <c r="M645" s="48">
        <f t="shared" si="32"/>
        <v>5000</v>
      </c>
      <c r="N645" s="48">
        <v>250</v>
      </c>
      <c r="O645" s="50">
        <v>9</v>
      </c>
      <c r="P645" s="50">
        <v>9</v>
      </c>
      <c r="Q645" s="51">
        <f t="shared" si="31"/>
        <v>5900</v>
      </c>
      <c r="R645" s="48"/>
      <c r="S645" s="24">
        <v>1353</v>
      </c>
      <c r="T645" s="43">
        <v>45953</v>
      </c>
      <c r="U645" s="24" t="s">
        <v>737</v>
      </c>
      <c r="V645" s="46" t="s">
        <v>33</v>
      </c>
      <c r="W645" s="54" t="s">
        <v>34</v>
      </c>
    </row>
    <row r="646" spans="1:23" s="27" customFormat="1" ht="34.950000000000003" customHeight="1" x14ac:dyDescent="0.35">
      <c r="A646" s="12">
        <f>SUBTOTAL(3,$B$2:B646)</f>
        <v>645</v>
      </c>
      <c r="B646" s="42">
        <v>313</v>
      </c>
      <c r="C646" s="43">
        <v>45953</v>
      </c>
      <c r="D646" s="42">
        <v>82601090001</v>
      </c>
      <c r="E646" s="44">
        <v>46031</v>
      </c>
      <c r="F646" s="45" t="s">
        <v>735</v>
      </c>
      <c r="G646" s="53" t="s">
        <v>502</v>
      </c>
      <c r="H646" s="72" t="s">
        <v>16</v>
      </c>
      <c r="I646" s="46" t="s">
        <v>736</v>
      </c>
      <c r="J646" s="43">
        <v>45943</v>
      </c>
      <c r="K646" s="80">
        <v>20</v>
      </c>
      <c r="L646" s="49">
        <f t="shared" si="30"/>
        <v>20</v>
      </c>
      <c r="M646" s="48">
        <f t="shared" si="32"/>
        <v>2500</v>
      </c>
      <c r="N646" s="48">
        <v>125</v>
      </c>
      <c r="O646" s="50">
        <v>9</v>
      </c>
      <c r="P646" s="50">
        <v>9</v>
      </c>
      <c r="Q646" s="51">
        <f t="shared" si="31"/>
        <v>2950</v>
      </c>
      <c r="R646" s="48"/>
      <c r="S646" s="24">
        <v>1353</v>
      </c>
      <c r="T646" s="43">
        <v>45953</v>
      </c>
      <c r="U646" s="24" t="s">
        <v>737</v>
      </c>
      <c r="V646" s="46" t="s">
        <v>33</v>
      </c>
      <c r="W646" s="54" t="s">
        <v>34</v>
      </c>
    </row>
    <row r="647" spans="1:23" s="27" customFormat="1" ht="34.950000000000003" customHeight="1" x14ac:dyDescent="0.35">
      <c r="A647" s="12">
        <f>SUBTOTAL(3,$B$2:B647)</f>
        <v>646</v>
      </c>
      <c r="B647" s="42">
        <v>313</v>
      </c>
      <c r="C647" s="43">
        <v>45953</v>
      </c>
      <c r="D647" s="42">
        <v>82601090001</v>
      </c>
      <c r="E647" s="44">
        <v>46031</v>
      </c>
      <c r="F647" s="45" t="s">
        <v>735</v>
      </c>
      <c r="G647" s="53" t="s">
        <v>754</v>
      </c>
      <c r="H647" s="72" t="s">
        <v>16</v>
      </c>
      <c r="I647" s="46" t="s">
        <v>736</v>
      </c>
      <c r="J647" s="43">
        <v>45943</v>
      </c>
      <c r="K647" s="80">
        <v>2</v>
      </c>
      <c r="L647" s="49">
        <f t="shared" si="30"/>
        <v>2</v>
      </c>
      <c r="M647" s="48">
        <f t="shared" si="32"/>
        <v>9600</v>
      </c>
      <c r="N647" s="48">
        <v>4800</v>
      </c>
      <c r="O647" s="50">
        <v>9</v>
      </c>
      <c r="P647" s="50">
        <v>9</v>
      </c>
      <c r="Q647" s="51">
        <f t="shared" si="31"/>
        <v>11328</v>
      </c>
      <c r="R647" s="48"/>
      <c r="S647" s="24">
        <v>1353</v>
      </c>
      <c r="T647" s="43">
        <v>45953</v>
      </c>
      <c r="U647" s="24" t="s">
        <v>737</v>
      </c>
      <c r="V647" s="46" t="s">
        <v>33</v>
      </c>
      <c r="W647" s="54" t="s">
        <v>166</v>
      </c>
    </row>
    <row r="648" spans="1:23" s="27" customFormat="1" ht="34.950000000000003" customHeight="1" x14ac:dyDescent="0.35">
      <c r="A648" s="12">
        <f>SUBTOTAL(3,$B$2:B648)</f>
        <v>647</v>
      </c>
      <c r="B648" s="42">
        <v>313</v>
      </c>
      <c r="C648" s="43">
        <v>45953</v>
      </c>
      <c r="D648" s="42">
        <v>82601090001</v>
      </c>
      <c r="E648" s="44">
        <v>46031</v>
      </c>
      <c r="F648" s="45" t="s">
        <v>735</v>
      </c>
      <c r="G648" s="109" t="s">
        <v>65</v>
      </c>
      <c r="H648" s="72" t="s">
        <v>16</v>
      </c>
      <c r="I648" s="46" t="s">
        <v>736</v>
      </c>
      <c r="J648" s="43">
        <v>45943</v>
      </c>
      <c r="K648" s="80">
        <v>300</v>
      </c>
      <c r="L648" s="49">
        <f t="shared" si="30"/>
        <v>300</v>
      </c>
      <c r="M648" s="48">
        <f t="shared" si="32"/>
        <v>12000</v>
      </c>
      <c r="N648" s="48">
        <v>40</v>
      </c>
      <c r="O648" s="50">
        <v>9</v>
      </c>
      <c r="P648" s="50">
        <v>9</v>
      </c>
      <c r="Q648" s="51">
        <f t="shared" si="31"/>
        <v>14160</v>
      </c>
      <c r="R648" s="48"/>
      <c r="S648" s="24">
        <v>1353</v>
      </c>
      <c r="T648" s="43">
        <v>45953</v>
      </c>
      <c r="U648" s="24" t="s">
        <v>737</v>
      </c>
      <c r="V648" s="46" t="s">
        <v>33</v>
      </c>
      <c r="W648" s="54" t="s">
        <v>34</v>
      </c>
    </row>
    <row r="649" spans="1:23" s="27" customFormat="1" ht="34.950000000000003" customHeight="1" x14ac:dyDescent="0.35">
      <c r="A649" s="12">
        <f>SUBTOTAL(3,$B$2:B649)</f>
        <v>648</v>
      </c>
      <c r="B649" s="42">
        <v>313</v>
      </c>
      <c r="C649" s="43">
        <v>45953</v>
      </c>
      <c r="D649" s="42">
        <v>82601090001</v>
      </c>
      <c r="E649" s="44">
        <v>46031</v>
      </c>
      <c r="F649" s="45" t="s">
        <v>735</v>
      </c>
      <c r="G649" s="53" t="s">
        <v>57</v>
      </c>
      <c r="H649" s="72" t="s">
        <v>16</v>
      </c>
      <c r="I649" s="46" t="s">
        <v>736</v>
      </c>
      <c r="J649" s="43">
        <v>45943</v>
      </c>
      <c r="K649" s="80">
        <v>100</v>
      </c>
      <c r="L649" s="49">
        <f t="shared" si="30"/>
        <v>100</v>
      </c>
      <c r="M649" s="48">
        <f t="shared" si="32"/>
        <v>900</v>
      </c>
      <c r="N649" s="48">
        <v>9</v>
      </c>
      <c r="O649" s="50">
        <v>9</v>
      </c>
      <c r="P649" s="50">
        <v>9</v>
      </c>
      <c r="Q649" s="51">
        <f t="shared" si="31"/>
        <v>1062</v>
      </c>
      <c r="R649" s="48"/>
      <c r="S649" s="24">
        <v>1353</v>
      </c>
      <c r="T649" s="43">
        <v>45953</v>
      </c>
      <c r="U649" s="24" t="s">
        <v>737</v>
      </c>
      <c r="V649" s="46" t="s">
        <v>33</v>
      </c>
      <c r="W649" s="54" t="s">
        <v>34</v>
      </c>
    </row>
    <row r="650" spans="1:23" s="27" customFormat="1" ht="34.950000000000003" customHeight="1" x14ac:dyDescent="0.25">
      <c r="A650" s="12">
        <f>SUBTOTAL(3,$B$2:B650)</f>
        <v>649</v>
      </c>
      <c r="B650" s="42">
        <v>313</v>
      </c>
      <c r="C650" s="43">
        <v>45953</v>
      </c>
      <c r="D650" s="42">
        <v>82601090001</v>
      </c>
      <c r="E650" s="44">
        <v>46031</v>
      </c>
      <c r="F650" s="45" t="s">
        <v>735</v>
      </c>
      <c r="G650" s="52" t="s">
        <v>755</v>
      </c>
      <c r="H650" s="46" t="s">
        <v>16</v>
      </c>
      <c r="I650" s="46" t="s">
        <v>736</v>
      </c>
      <c r="J650" s="43">
        <v>45943</v>
      </c>
      <c r="K650" s="47">
        <v>1</v>
      </c>
      <c r="L650" s="49">
        <f t="shared" si="30"/>
        <v>1</v>
      </c>
      <c r="M650" s="48">
        <f t="shared" si="32"/>
        <v>12500</v>
      </c>
      <c r="N650" s="48">
        <v>12500</v>
      </c>
      <c r="O650" s="50">
        <v>9</v>
      </c>
      <c r="P650" s="50">
        <v>9</v>
      </c>
      <c r="Q650" s="51">
        <f t="shared" si="31"/>
        <v>14750</v>
      </c>
      <c r="R650" s="48"/>
      <c r="S650" s="24">
        <v>1353</v>
      </c>
      <c r="T650" s="43">
        <v>45953</v>
      </c>
      <c r="U650" s="43" t="s">
        <v>737</v>
      </c>
      <c r="V650" s="46" t="s">
        <v>33</v>
      </c>
      <c r="W650" s="54" t="s">
        <v>166</v>
      </c>
    </row>
    <row r="651" spans="1:23" s="27" customFormat="1" ht="34.950000000000003" customHeight="1" x14ac:dyDescent="0.25">
      <c r="A651" s="12">
        <f>SUBTOTAL(3,$B$2:B651)</f>
        <v>650</v>
      </c>
      <c r="B651" s="42">
        <v>313</v>
      </c>
      <c r="C651" s="43">
        <v>45953</v>
      </c>
      <c r="D651" s="42">
        <v>82601090001</v>
      </c>
      <c r="E651" s="44">
        <v>46031</v>
      </c>
      <c r="F651" s="45" t="s">
        <v>735</v>
      </c>
      <c r="G651" s="52" t="s">
        <v>756</v>
      </c>
      <c r="H651" s="46" t="s">
        <v>16</v>
      </c>
      <c r="I651" s="46" t="s">
        <v>736</v>
      </c>
      <c r="J651" s="43">
        <v>45943</v>
      </c>
      <c r="K651" s="47">
        <v>1</v>
      </c>
      <c r="L651" s="49">
        <f t="shared" si="30"/>
        <v>1</v>
      </c>
      <c r="M651" s="48">
        <f t="shared" si="32"/>
        <v>14200</v>
      </c>
      <c r="N651" s="48">
        <v>14200</v>
      </c>
      <c r="O651" s="50">
        <v>9</v>
      </c>
      <c r="P651" s="50">
        <v>9</v>
      </c>
      <c r="Q651" s="51">
        <f t="shared" si="31"/>
        <v>16756</v>
      </c>
      <c r="R651" s="48"/>
      <c r="S651" s="24">
        <v>1353</v>
      </c>
      <c r="T651" s="43">
        <v>45953</v>
      </c>
      <c r="U651" s="43" t="s">
        <v>737</v>
      </c>
      <c r="V651" s="46" t="s">
        <v>33</v>
      </c>
      <c r="W651" s="54" t="s">
        <v>179</v>
      </c>
    </row>
    <row r="652" spans="1:23" s="27" customFormat="1" ht="34.950000000000003" customHeight="1" x14ac:dyDescent="0.25">
      <c r="A652" s="12">
        <f>SUBTOTAL(3,$B$2:B652)</f>
        <v>651</v>
      </c>
      <c r="B652" s="42">
        <v>313</v>
      </c>
      <c r="C652" s="43">
        <v>45953</v>
      </c>
      <c r="D652" s="42">
        <v>82601090001</v>
      </c>
      <c r="E652" s="44">
        <v>46031</v>
      </c>
      <c r="F652" s="45" t="s">
        <v>735</v>
      </c>
      <c r="G652" s="52" t="s">
        <v>757</v>
      </c>
      <c r="H652" s="46" t="s">
        <v>16</v>
      </c>
      <c r="I652" s="46" t="s">
        <v>736</v>
      </c>
      <c r="J652" s="43">
        <v>45943</v>
      </c>
      <c r="K652" s="59">
        <v>2</v>
      </c>
      <c r="L652" s="49">
        <f t="shared" si="30"/>
        <v>2</v>
      </c>
      <c r="M652" s="48">
        <f t="shared" si="32"/>
        <v>10584</v>
      </c>
      <c r="N652" s="48">
        <v>5292</v>
      </c>
      <c r="O652" s="50">
        <v>9</v>
      </c>
      <c r="P652" s="50">
        <v>9</v>
      </c>
      <c r="Q652" s="51">
        <f t="shared" si="31"/>
        <v>12489.119999999999</v>
      </c>
      <c r="R652" s="48"/>
      <c r="S652" s="24">
        <v>1353</v>
      </c>
      <c r="T652" s="43">
        <v>45953</v>
      </c>
      <c r="U652" s="43" t="s">
        <v>737</v>
      </c>
      <c r="V652" s="46" t="s">
        <v>33</v>
      </c>
      <c r="W652" s="54" t="s">
        <v>758</v>
      </c>
    </row>
    <row r="653" spans="1:23" s="27" customFormat="1" ht="34.950000000000003" customHeight="1" x14ac:dyDescent="0.25">
      <c r="A653" s="12">
        <f>SUBTOTAL(3,$B$2:B653)</f>
        <v>652</v>
      </c>
      <c r="B653" s="42">
        <v>313</v>
      </c>
      <c r="C653" s="43">
        <v>45953</v>
      </c>
      <c r="D653" s="42">
        <v>82601090001</v>
      </c>
      <c r="E653" s="44">
        <v>46031</v>
      </c>
      <c r="F653" s="45" t="s">
        <v>735</v>
      </c>
      <c r="G653" s="52" t="s">
        <v>759</v>
      </c>
      <c r="H653" s="46" t="s">
        <v>16</v>
      </c>
      <c r="I653" s="46" t="s">
        <v>736</v>
      </c>
      <c r="J653" s="43">
        <v>45943</v>
      </c>
      <c r="K653" s="59">
        <v>2</v>
      </c>
      <c r="L653" s="49">
        <f t="shared" si="30"/>
        <v>2</v>
      </c>
      <c r="M653" s="48">
        <f t="shared" si="32"/>
        <v>8820</v>
      </c>
      <c r="N653" s="48">
        <v>4410</v>
      </c>
      <c r="O653" s="50">
        <v>9</v>
      </c>
      <c r="P653" s="50">
        <v>9</v>
      </c>
      <c r="Q653" s="51">
        <f t="shared" si="31"/>
        <v>10407.599999999999</v>
      </c>
      <c r="R653" s="48">
        <v>4133</v>
      </c>
      <c r="S653" s="24">
        <v>1353</v>
      </c>
      <c r="T653" s="43">
        <v>45953</v>
      </c>
      <c r="U653" s="43" t="s">
        <v>737</v>
      </c>
      <c r="V653" s="46" t="s">
        <v>33</v>
      </c>
      <c r="W653" s="54"/>
    </row>
    <row r="654" spans="1:23" s="27" customFormat="1" ht="34.950000000000003" customHeight="1" x14ac:dyDescent="0.35">
      <c r="A654" s="12">
        <f>SUBTOTAL(3,$B$2:B654)</f>
        <v>653</v>
      </c>
      <c r="B654" s="42">
        <v>314</v>
      </c>
      <c r="C654" s="43">
        <v>45958</v>
      </c>
      <c r="D654" s="42">
        <v>82510280001</v>
      </c>
      <c r="E654" s="44">
        <v>45958</v>
      </c>
      <c r="F654" s="65" t="s">
        <v>445</v>
      </c>
      <c r="G654" s="66" t="s">
        <v>446</v>
      </c>
      <c r="H654" s="46" t="s">
        <v>16</v>
      </c>
      <c r="I654" s="46" t="s">
        <v>447</v>
      </c>
      <c r="J654" s="43">
        <v>45820</v>
      </c>
      <c r="K654" s="111">
        <v>522</v>
      </c>
      <c r="L654" s="49">
        <f t="shared" si="30"/>
        <v>522</v>
      </c>
      <c r="M654" s="48">
        <f t="shared" si="32"/>
        <v>86130</v>
      </c>
      <c r="N654" s="48">
        <v>165</v>
      </c>
      <c r="O654" s="50">
        <v>9</v>
      </c>
      <c r="P654" s="50">
        <v>9</v>
      </c>
      <c r="Q654" s="51">
        <f t="shared" si="31"/>
        <v>101633.4</v>
      </c>
      <c r="R654" s="48"/>
      <c r="S654" s="24" t="s">
        <v>760</v>
      </c>
      <c r="T654" s="43">
        <v>45958</v>
      </c>
      <c r="U654" s="43" t="s">
        <v>761</v>
      </c>
      <c r="V654" s="46" t="s">
        <v>33</v>
      </c>
      <c r="W654" s="54"/>
    </row>
    <row r="655" spans="1:23" s="27" customFormat="1" ht="34.950000000000003" customHeight="1" x14ac:dyDescent="0.25">
      <c r="A655" s="12">
        <f>SUBTOTAL(3,$B$2:B655)</f>
        <v>654</v>
      </c>
      <c r="B655" s="42">
        <v>314</v>
      </c>
      <c r="C655" s="43">
        <v>45958</v>
      </c>
      <c r="D655" s="42">
        <v>82510280001</v>
      </c>
      <c r="E655" s="44">
        <v>45958</v>
      </c>
      <c r="F655" s="45" t="s">
        <v>445</v>
      </c>
      <c r="G655" s="52" t="s">
        <v>467</v>
      </c>
      <c r="H655" s="46" t="s">
        <v>16</v>
      </c>
      <c r="I655" s="46" t="s">
        <v>447</v>
      </c>
      <c r="J655" s="43">
        <v>45820</v>
      </c>
      <c r="K655" s="47">
        <v>150</v>
      </c>
      <c r="L655" s="49">
        <f t="shared" si="30"/>
        <v>150</v>
      </c>
      <c r="M655" s="48">
        <f t="shared" si="32"/>
        <v>45000</v>
      </c>
      <c r="N655" s="48">
        <v>300</v>
      </c>
      <c r="O655" s="50">
        <v>9</v>
      </c>
      <c r="P655" s="50">
        <v>9</v>
      </c>
      <c r="Q655" s="51">
        <f t="shared" si="31"/>
        <v>53100</v>
      </c>
      <c r="R655" s="48"/>
      <c r="S655" s="24" t="s">
        <v>760</v>
      </c>
      <c r="T655" s="43">
        <v>45958</v>
      </c>
      <c r="U655" s="43" t="s">
        <v>761</v>
      </c>
      <c r="V655" s="46" t="s">
        <v>33</v>
      </c>
      <c r="W655" s="54"/>
    </row>
    <row r="656" spans="1:23" s="27" customFormat="1" ht="34.950000000000003" customHeight="1" x14ac:dyDescent="0.25">
      <c r="A656" s="12">
        <f>SUBTOTAL(3,$B$2:B656)</f>
        <v>655</v>
      </c>
      <c r="B656" s="42">
        <v>315</v>
      </c>
      <c r="C656" s="43">
        <v>45958</v>
      </c>
      <c r="D656" s="42">
        <v>82510300001</v>
      </c>
      <c r="E656" s="44">
        <v>45960</v>
      </c>
      <c r="F656" s="45" t="s">
        <v>35</v>
      </c>
      <c r="G656" s="52" t="s">
        <v>485</v>
      </c>
      <c r="H656" s="46" t="s">
        <v>37</v>
      </c>
      <c r="I656" s="12" t="s">
        <v>38</v>
      </c>
      <c r="J656" s="43">
        <v>45733</v>
      </c>
      <c r="K656" s="55">
        <v>6</v>
      </c>
      <c r="L656" s="49">
        <f t="shared" si="30"/>
        <v>6</v>
      </c>
      <c r="M656" s="48">
        <f t="shared" si="32"/>
        <v>30254.22</v>
      </c>
      <c r="N656" s="48">
        <v>5042.37</v>
      </c>
      <c r="O656" s="50">
        <v>9</v>
      </c>
      <c r="P656" s="50">
        <v>9</v>
      </c>
      <c r="Q656" s="51">
        <f t="shared" si="31"/>
        <v>35699.979599999999</v>
      </c>
      <c r="R656" s="48"/>
      <c r="S656" s="24" t="s">
        <v>762</v>
      </c>
      <c r="T656" s="43">
        <v>45958</v>
      </c>
      <c r="U656" s="43" t="s">
        <v>97</v>
      </c>
      <c r="V656" s="46" t="s">
        <v>33</v>
      </c>
      <c r="W656" s="54"/>
    </row>
    <row r="657" spans="1:23" s="27" customFormat="1" ht="34.950000000000003" customHeight="1" x14ac:dyDescent="0.25">
      <c r="A657" s="12">
        <f>SUBTOTAL(3,$B$2:B657)</f>
        <v>656</v>
      </c>
      <c r="B657" s="42">
        <v>316</v>
      </c>
      <c r="C657" s="43">
        <v>45958</v>
      </c>
      <c r="D657" s="42">
        <v>82510300002</v>
      </c>
      <c r="E657" s="44">
        <v>45960</v>
      </c>
      <c r="F657" s="45" t="s">
        <v>35</v>
      </c>
      <c r="G657" s="52" t="s">
        <v>485</v>
      </c>
      <c r="H657" s="46" t="s">
        <v>37</v>
      </c>
      <c r="I657" s="12" t="s">
        <v>38</v>
      </c>
      <c r="J657" s="43">
        <v>45733</v>
      </c>
      <c r="K657" s="63">
        <v>1</v>
      </c>
      <c r="L657" s="49">
        <f t="shared" si="30"/>
        <v>1</v>
      </c>
      <c r="M657" s="48">
        <f t="shared" si="32"/>
        <v>5042.37</v>
      </c>
      <c r="N657" s="48">
        <v>5042.37</v>
      </c>
      <c r="O657" s="50">
        <v>9</v>
      </c>
      <c r="P657" s="50">
        <v>9</v>
      </c>
      <c r="Q657" s="51">
        <f t="shared" si="31"/>
        <v>5949.9965999999995</v>
      </c>
      <c r="R657" s="48"/>
      <c r="S657" s="24" t="s">
        <v>763</v>
      </c>
      <c r="T657" s="43">
        <v>45958</v>
      </c>
      <c r="U657" s="43" t="s">
        <v>97</v>
      </c>
      <c r="V657" s="46" t="s">
        <v>33</v>
      </c>
      <c r="W657" s="54"/>
    </row>
    <row r="658" spans="1:23" s="27" customFormat="1" ht="34.950000000000003" customHeight="1" x14ac:dyDescent="0.25">
      <c r="A658" s="12">
        <f>SUBTOTAL(3,$B$2:B658)</f>
        <v>657</v>
      </c>
      <c r="B658" s="42">
        <v>317</v>
      </c>
      <c r="C658" s="43">
        <v>45958</v>
      </c>
      <c r="D658" s="42">
        <v>82510300003</v>
      </c>
      <c r="E658" s="44">
        <v>45960</v>
      </c>
      <c r="F658" s="45" t="s">
        <v>35</v>
      </c>
      <c r="G658" s="52" t="s">
        <v>485</v>
      </c>
      <c r="H658" s="46" t="s">
        <v>37</v>
      </c>
      <c r="I658" s="12" t="s">
        <v>38</v>
      </c>
      <c r="J658" s="43">
        <v>45733</v>
      </c>
      <c r="K658" s="55">
        <v>7</v>
      </c>
      <c r="L658" s="49">
        <f t="shared" si="30"/>
        <v>7</v>
      </c>
      <c r="M658" s="48">
        <f t="shared" si="32"/>
        <v>35296.589999999997</v>
      </c>
      <c r="N658" s="48">
        <v>5042.37</v>
      </c>
      <c r="O658" s="50">
        <v>9</v>
      </c>
      <c r="P658" s="50">
        <v>9</v>
      </c>
      <c r="Q658" s="51">
        <f t="shared" si="31"/>
        <v>41649.97619999999</v>
      </c>
      <c r="R658" s="48"/>
      <c r="S658" s="24" t="s">
        <v>764</v>
      </c>
      <c r="T658" s="43">
        <v>45958</v>
      </c>
      <c r="U658" s="24" t="s">
        <v>230</v>
      </c>
      <c r="V658" s="46" t="s">
        <v>33</v>
      </c>
      <c r="W658" s="54"/>
    </row>
    <row r="659" spans="1:23" s="27" customFormat="1" ht="34.950000000000003" customHeight="1" x14ac:dyDescent="0.35">
      <c r="A659" s="12">
        <f>SUBTOTAL(3,$B$2:B659)</f>
        <v>658</v>
      </c>
      <c r="B659" s="42">
        <v>318</v>
      </c>
      <c r="C659" s="43">
        <v>45958</v>
      </c>
      <c r="D659" s="42">
        <v>82510310001</v>
      </c>
      <c r="E659" s="44">
        <v>45961</v>
      </c>
      <c r="F659" s="45" t="s">
        <v>35</v>
      </c>
      <c r="G659" s="53" t="s">
        <v>485</v>
      </c>
      <c r="H659" s="72" t="s">
        <v>37</v>
      </c>
      <c r="I659" s="12" t="s">
        <v>38</v>
      </c>
      <c r="J659" s="43">
        <v>45733</v>
      </c>
      <c r="K659" s="55">
        <v>4.5</v>
      </c>
      <c r="L659" s="49">
        <f t="shared" si="30"/>
        <v>4.5</v>
      </c>
      <c r="M659" s="48">
        <f t="shared" si="32"/>
        <v>22690.665000000001</v>
      </c>
      <c r="N659" s="48">
        <v>5042.37</v>
      </c>
      <c r="O659" s="50">
        <v>9</v>
      </c>
      <c r="P659" s="50">
        <v>9</v>
      </c>
      <c r="Q659" s="51">
        <f t="shared" si="31"/>
        <v>26774.984700000001</v>
      </c>
      <c r="R659" s="48"/>
      <c r="S659" s="24" t="s">
        <v>765</v>
      </c>
      <c r="T659" s="43">
        <v>45958</v>
      </c>
      <c r="U659" s="24" t="s">
        <v>101</v>
      </c>
      <c r="V659" s="46" t="s">
        <v>33</v>
      </c>
      <c r="W659" s="54"/>
    </row>
    <row r="660" spans="1:23" s="27" customFormat="1" ht="34.950000000000003" customHeight="1" x14ac:dyDescent="0.25">
      <c r="A660" s="12">
        <f>SUBTOTAL(3,$B$2:B660)</f>
        <v>659</v>
      </c>
      <c r="B660" s="42">
        <v>319</v>
      </c>
      <c r="C660" s="43">
        <v>45958</v>
      </c>
      <c r="D660" s="42">
        <v>82510310002</v>
      </c>
      <c r="E660" s="44">
        <v>45961</v>
      </c>
      <c r="F660" s="45" t="s">
        <v>35</v>
      </c>
      <c r="G660" s="71" t="s">
        <v>485</v>
      </c>
      <c r="H660" s="76" t="s">
        <v>37</v>
      </c>
      <c r="I660" s="12" t="s">
        <v>38</v>
      </c>
      <c r="J660" s="43">
        <v>45733</v>
      </c>
      <c r="K660" s="55">
        <v>2</v>
      </c>
      <c r="L660" s="49">
        <f t="shared" si="30"/>
        <v>2</v>
      </c>
      <c r="M660" s="48">
        <f t="shared" si="32"/>
        <v>10084.74</v>
      </c>
      <c r="N660" s="48">
        <v>5042.37</v>
      </c>
      <c r="O660" s="50">
        <v>9</v>
      </c>
      <c r="P660" s="50">
        <v>9</v>
      </c>
      <c r="Q660" s="51">
        <f t="shared" si="31"/>
        <v>11899.993199999999</v>
      </c>
      <c r="R660" s="48"/>
      <c r="S660" s="24" t="s">
        <v>766</v>
      </c>
      <c r="T660" s="43">
        <v>45958</v>
      </c>
      <c r="U660" s="24" t="s">
        <v>101</v>
      </c>
      <c r="V660" s="46" t="s">
        <v>33</v>
      </c>
      <c r="W660" s="54"/>
    </row>
    <row r="661" spans="1:23" s="27" customFormat="1" ht="34.950000000000003" customHeight="1" x14ac:dyDescent="0.25">
      <c r="A661" s="12">
        <f>SUBTOTAL(3,$B$2:B661)</f>
        <v>660</v>
      </c>
      <c r="B661" s="42">
        <v>320</v>
      </c>
      <c r="C661" s="43">
        <v>45960</v>
      </c>
      <c r="D661" s="42">
        <v>82510310003</v>
      </c>
      <c r="E661" s="43">
        <v>45961</v>
      </c>
      <c r="F661" s="45" t="s">
        <v>644</v>
      </c>
      <c r="G661" s="71" t="s">
        <v>680</v>
      </c>
      <c r="H661" s="76" t="s">
        <v>478</v>
      </c>
      <c r="I661" s="46"/>
      <c r="J661" s="43"/>
      <c r="K661" s="73">
        <v>10</v>
      </c>
      <c r="L661" s="49">
        <f t="shared" si="30"/>
        <v>10</v>
      </c>
      <c r="M661" s="48">
        <f t="shared" si="32"/>
        <v>1075.1000000000001</v>
      </c>
      <c r="N661" s="48">
        <v>107.51</v>
      </c>
      <c r="O661" s="50"/>
      <c r="P661" s="50"/>
      <c r="Q661" s="51">
        <f t="shared" si="31"/>
        <v>1075.1000000000001</v>
      </c>
      <c r="R661" s="48"/>
      <c r="S661" s="24" t="s">
        <v>767</v>
      </c>
      <c r="T661" s="43">
        <v>45958</v>
      </c>
      <c r="U661" s="24" t="s">
        <v>719</v>
      </c>
      <c r="V661" s="46" t="s">
        <v>247</v>
      </c>
      <c r="W661" s="54"/>
    </row>
    <row r="662" spans="1:23" s="27" customFormat="1" ht="34.950000000000003" customHeight="1" x14ac:dyDescent="0.35">
      <c r="A662" s="12">
        <f>SUBTOTAL(3,$B$2:B662)</f>
        <v>661</v>
      </c>
      <c r="B662" s="42">
        <v>321</v>
      </c>
      <c r="C662" s="43">
        <v>45962</v>
      </c>
      <c r="D662" s="42">
        <v>82511030001</v>
      </c>
      <c r="E662" s="43">
        <v>45964</v>
      </c>
      <c r="F662" s="45" t="s">
        <v>644</v>
      </c>
      <c r="G662" s="53" t="s">
        <v>680</v>
      </c>
      <c r="H662" s="72" t="s">
        <v>478</v>
      </c>
      <c r="I662" s="46"/>
      <c r="J662" s="43"/>
      <c r="K662" s="73">
        <v>18.690000000000001</v>
      </c>
      <c r="L662" s="49">
        <f t="shared" si="30"/>
        <v>18.690000000000001</v>
      </c>
      <c r="M662" s="48">
        <f t="shared" si="32"/>
        <v>2009.3619000000003</v>
      </c>
      <c r="N662" s="48">
        <v>107.51</v>
      </c>
      <c r="O662" s="50"/>
      <c r="P662" s="50"/>
      <c r="Q662" s="51">
        <f t="shared" si="31"/>
        <v>2009.3619000000003</v>
      </c>
      <c r="R662" s="48"/>
      <c r="S662" s="24">
        <v>1903</v>
      </c>
      <c r="T662" s="43">
        <v>45962</v>
      </c>
      <c r="U662" s="24" t="s">
        <v>719</v>
      </c>
      <c r="V662" s="46" t="s">
        <v>247</v>
      </c>
      <c r="W662" s="54"/>
    </row>
    <row r="663" spans="1:23" s="27" customFormat="1" ht="34.950000000000003" customHeight="1" x14ac:dyDescent="0.25">
      <c r="A663" s="12">
        <f>SUBTOTAL(3,$B$2:B663)</f>
        <v>662</v>
      </c>
      <c r="B663" s="42">
        <v>322</v>
      </c>
      <c r="C663" s="43">
        <v>45964</v>
      </c>
      <c r="D663" s="42">
        <v>82511040001</v>
      </c>
      <c r="E663" s="44">
        <v>45965</v>
      </c>
      <c r="F663" s="45" t="s">
        <v>35</v>
      </c>
      <c r="G663" s="71" t="s">
        <v>36</v>
      </c>
      <c r="H663" s="76" t="s">
        <v>37</v>
      </c>
      <c r="I663" s="12" t="s">
        <v>38</v>
      </c>
      <c r="J663" s="43">
        <v>45733</v>
      </c>
      <c r="K663" s="55">
        <v>7</v>
      </c>
      <c r="L663" s="49">
        <f t="shared" si="30"/>
        <v>7</v>
      </c>
      <c r="M663" s="48">
        <f t="shared" si="32"/>
        <v>23135.559999999998</v>
      </c>
      <c r="N663" s="48">
        <v>3305.08</v>
      </c>
      <c r="O663" s="50">
        <v>9</v>
      </c>
      <c r="P663" s="50">
        <v>9</v>
      </c>
      <c r="Q663" s="51">
        <f t="shared" si="31"/>
        <v>27299.960799999997</v>
      </c>
      <c r="R663" s="48"/>
      <c r="S663" s="24" t="s">
        <v>768</v>
      </c>
      <c r="T663" s="43">
        <v>45964</v>
      </c>
      <c r="U663" s="24" t="s">
        <v>230</v>
      </c>
      <c r="V663" s="46" t="s">
        <v>33</v>
      </c>
      <c r="W663" s="54"/>
    </row>
    <row r="664" spans="1:23" s="27" customFormat="1" ht="34.950000000000003" customHeight="1" x14ac:dyDescent="0.35">
      <c r="A664" s="12">
        <f>SUBTOTAL(3,$B$2:B664)</f>
        <v>663</v>
      </c>
      <c r="B664" s="42">
        <v>323</v>
      </c>
      <c r="C664" s="43">
        <v>45964</v>
      </c>
      <c r="D664" s="42">
        <v>82511040002</v>
      </c>
      <c r="E664" s="44">
        <v>45965</v>
      </c>
      <c r="F664" s="45" t="s">
        <v>35</v>
      </c>
      <c r="G664" s="53" t="s">
        <v>36</v>
      </c>
      <c r="H664" s="72" t="s">
        <v>37</v>
      </c>
      <c r="I664" s="12" t="s">
        <v>38</v>
      </c>
      <c r="J664" s="43">
        <v>45733</v>
      </c>
      <c r="K664" s="55">
        <v>7</v>
      </c>
      <c r="L664" s="49">
        <f t="shared" si="30"/>
        <v>7</v>
      </c>
      <c r="M664" s="48">
        <f t="shared" si="32"/>
        <v>23135.559999999998</v>
      </c>
      <c r="N664" s="48">
        <v>3305.08</v>
      </c>
      <c r="O664" s="50">
        <v>9</v>
      </c>
      <c r="P664" s="50">
        <v>9</v>
      </c>
      <c r="Q664" s="51">
        <f t="shared" si="31"/>
        <v>27299.960799999997</v>
      </c>
      <c r="R664" s="48"/>
      <c r="S664" s="24" t="s">
        <v>769</v>
      </c>
      <c r="T664" s="43">
        <v>45964</v>
      </c>
      <c r="U664" s="24" t="s">
        <v>101</v>
      </c>
      <c r="V664" s="46" t="s">
        <v>33</v>
      </c>
      <c r="W664" s="54"/>
    </row>
    <row r="665" spans="1:23" s="27" customFormat="1" ht="34.950000000000003" customHeight="1" x14ac:dyDescent="0.25">
      <c r="A665" s="12">
        <f>SUBTOTAL(3,$B$2:B665)</f>
        <v>664</v>
      </c>
      <c r="B665" s="42">
        <v>324</v>
      </c>
      <c r="C665" s="43">
        <v>45964</v>
      </c>
      <c r="D665" s="42">
        <v>82511040003</v>
      </c>
      <c r="E665" s="44">
        <v>45965</v>
      </c>
      <c r="F665" s="45" t="s">
        <v>35</v>
      </c>
      <c r="G665" s="71" t="s">
        <v>36</v>
      </c>
      <c r="H665" s="76" t="s">
        <v>37</v>
      </c>
      <c r="I665" s="12" t="s">
        <v>38</v>
      </c>
      <c r="J665" s="43">
        <v>45733</v>
      </c>
      <c r="K665" s="55">
        <v>7</v>
      </c>
      <c r="L665" s="49">
        <f t="shared" si="30"/>
        <v>7</v>
      </c>
      <c r="M665" s="48">
        <f t="shared" si="32"/>
        <v>23135.559999999998</v>
      </c>
      <c r="N665" s="48">
        <v>3305.08</v>
      </c>
      <c r="O665" s="50">
        <v>9</v>
      </c>
      <c r="P665" s="50">
        <v>9</v>
      </c>
      <c r="Q665" s="51">
        <f t="shared" si="31"/>
        <v>27299.960799999997</v>
      </c>
      <c r="R665" s="48"/>
      <c r="S665" s="24" t="s">
        <v>770</v>
      </c>
      <c r="T665" s="43">
        <v>45964</v>
      </c>
      <c r="U665" s="24" t="s">
        <v>97</v>
      </c>
      <c r="V665" s="46" t="s">
        <v>33</v>
      </c>
      <c r="W665" s="54"/>
    </row>
    <row r="666" spans="1:23" s="27" customFormat="1" ht="34.950000000000003" customHeight="1" x14ac:dyDescent="0.25">
      <c r="A666" s="12">
        <f>SUBTOTAL(3,$B$2:B666)</f>
        <v>665</v>
      </c>
      <c r="B666" s="42">
        <v>325</v>
      </c>
      <c r="C666" s="43">
        <v>45964</v>
      </c>
      <c r="D666" s="42">
        <v>82511040004</v>
      </c>
      <c r="E666" s="44">
        <v>45965</v>
      </c>
      <c r="F666" s="45" t="s">
        <v>35</v>
      </c>
      <c r="G666" s="71" t="s">
        <v>36</v>
      </c>
      <c r="H666" s="76" t="s">
        <v>37</v>
      </c>
      <c r="I666" s="12" t="s">
        <v>38</v>
      </c>
      <c r="J666" s="43">
        <v>45733</v>
      </c>
      <c r="K666" s="55">
        <v>7</v>
      </c>
      <c r="L666" s="49">
        <f t="shared" si="30"/>
        <v>7</v>
      </c>
      <c r="M666" s="48">
        <f t="shared" si="32"/>
        <v>23135.559999999998</v>
      </c>
      <c r="N666" s="48">
        <v>3305.08</v>
      </c>
      <c r="O666" s="50">
        <v>9</v>
      </c>
      <c r="P666" s="50">
        <v>9</v>
      </c>
      <c r="Q666" s="51">
        <f t="shared" si="31"/>
        <v>27299.960799999997</v>
      </c>
      <c r="R666" s="48"/>
      <c r="S666" s="24" t="s">
        <v>771</v>
      </c>
      <c r="T666" s="43">
        <v>45964</v>
      </c>
      <c r="U666" s="24" t="s">
        <v>492</v>
      </c>
      <c r="V666" s="46" t="s">
        <v>33</v>
      </c>
      <c r="W666" s="54"/>
    </row>
    <row r="667" spans="1:23" s="27" customFormat="1" ht="34.950000000000003" customHeight="1" x14ac:dyDescent="0.25">
      <c r="A667" s="12">
        <f>SUBTOTAL(3,$B$2:B667)</f>
        <v>666</v>
      </c>
      <c r="B667" s="42">
        <v>326</v>
      </c>
      <c r="C667" s="43">
        <v>45964</v>
      </c>
      <c r="D667" s="42">
        <v>82511040005</v>
      </c>
      <c r="E667" s="44">
        <v>45965</v>
      </c>
      <c r="F667" s="45" t="s">
        <v>35</v>
      </c>
      <c r="G667" s="71" t="s">
        <v>36</v>
      </c>
      <c r="H667" s="76" t="s">
        <v>37</v>
      </c>
      <c r="I667" s="12" t="s">
        <v>38</v>
      </c>
      <c r="J667" s="43">
        <v>45733</v>
      </c>
      <c r="K667" s="55">
        <v>1.5</v>
      </c>
      <c r="L667" s="49">
        <f t="shared" si="30"/>
        <v>1.5</v>
      </c>
      <c r="M667" s="48">
        <f t="shared" si="32"/>
        <v>4957.62</v>
      </c>
      <c r="N667" s="48">
        <v>3305.08</v>
      </c>
      <c r="O667" s="50">
        <v>9</v>
      </c>
      <c r="P667" s="50">
        <v>9</v>
      </c>
      <c r="Q667" s="51">
        <f t="shared" si="31"/>
        <v>5849.9915999999994</v>
      </c>
      <c r="R667" s="48"/>
      <c r="S667" s="24" t="s">
        <v>772</v>
      </c>
      <c r="T667" s="43">
        <v>45964</v>
      </c>
      <c r="U667" s="24" t="s">
        <v>230</v>
      </c>
      <c r="V667" s="46" t="s">
        <v>33</v>
      </c>
      <c r="W667" s="54"/>
    </row>
    <row r="668" spans="1:23" s="27" customFormat="1" ht="34.950000000000003" customHeight="1" x14ac:dyDescent="0.25">
      <c r="A668" s="12">
        <f>SUBTOTAL(3,$B$2:B668)</f>
        <v>667</v>
      </c>
      <c r="B668" s="42">
        <v>327</v>
      </c>
      <c r="C668" s="43">
        <v>45966</v>
      </c>
      <c r="D668" s="42">
        <v>82511070001</v>
      </c>
      <c r="E668" s="44">
        <v>45968</v>
      </c>
      <c r="F668" s="45" t="s">
        <v>735</v>
      </c>
      <c r="G668" s="71" t="s">
        <v>184</v>
      </c>
      <c r="H668" s="76" t="s">
        <v>94</v>
      </c>
      <c r="I668" s="46" t="s">
        <v>773</v>
      </c>
      <c r="J668" s="43">
        <v>45964</v>
      </c>
      <c r="K668" s="73">
        <v>1500</v>
      </c>
      <c r="L668" s="49">
        <f t="shared" si="30"/>
        <v>1500</v>
      </c>
      <c r="M668" s="48">
        <f t="shared" si="32"/>
        <v>93000</v>
      </c>
      <c r="N668" s="48">
        <v>62</v>
      </c>
      <c r="O668" s="50">
        <v>9</v>
      </c>
      <c r="P668" s="50">
        <v>9</v>
      </c>
      <c r="Q668" s="51">
        <f t="shared" si="31"/>
        <v>109740</v>
      </c>
      <c r="R668" s="48"/>
      <c r="S668" s="24">
        <v>1430</v>
      </c>
      <c r="T668" s="43">
        <v>45966</v>
      </c>
      <c r="U668" s="24" t="s">
        <v>774</v>
      </c>
      <c r="V668" s="46" t="s">
        <v>33</v>
      </c>
      <c r="W668" s="54"/>
    </row>
    <row r="669" spans="1:23" s="27" customFormat="1" ht="34.950000000000003" customHeight="1" x14ac:dyDescent="0.35">
      <c r="A669" s="12">
        <f>SUBTOTAL(3,$B$2:B669)</f>
        <v>668</v>
      </c>
      <c r="B669" s="42">
        <v>327</v>
      </c>
      <c r="C669" s="43">
        <v>45966</v>
      </c>
      <c r="D669" s="42">
        <v>82511070001</v>
      </c>
      <c r="E669" s="44">
        <v>45968</v>
      </c>
      <c r="F669" s="45" t="s">
        <v>735</v>
      </c>
      <c r="G669" s="71" t="s">
        <v>137</v>
      </c>
      <c r="H669" s="72" t="s">
        <v>16</v>
      </c>
      <c r="I669" s="46" t="s">
        <v>773</v>
      </c>
      <c r="J669" s="43">
        <v>45964</v>
      </c>
      <c r="K669" s="73">
        <v>5</v>
      </c>
      <c r="L669" s="49">
        <f t="shared" si="30"/>
        <v>5</v>
      </c>
      <c r="M669" s="48">
        <f t="shared" si="32"/>
        <v>390</v>
      </c>
      <c r="N669" s="48">
        <v>78</v>
      </c>
      <c r="O669" s="50">
        <v>9</v>
      </c>
      <c r="P669" s="50">
        <v>9</v>
      </c>
      <c r="Q669" s="51">
        <f t="shared" si="31"/>
        <v>460.2</v>
      </c>
      <c r="R669" s="48"/>
      <c r="S669" s="24">
        <v>1430</v>
      </c>
      <c r="T669" s="43">
        <v>45966</v>
      </c>
      <c r="U669" s="24" t="s">
        <v>774</v>
      </c>
      <c r="V669" s="46" t="s">
        <v>33</v>
      </c>
      <c r="W669" s="54"/>
    </row>
    <row r="670" spans="1:23" s="27" customFormat="1" ht="34.950000000000003" customHeight="1" x14ac:dyDescent="0.35">
      <c r="A670" s="12">
        <f>SUBTOTAL(3,$B$2:B670)</f>
        <v>669</v>
      </c>
      <c r="B670" s="42">
        <v>327</v>
      </c>
      <c r="C670" s="43">
        <v>45966</v>
      </c>
      <c r="D670" s="42">
        <v>82511070001</v>
      </c>
      <c r="E670" s="44">
        <v>45968</v>
      </c>
      <c r="F670" s="45" t="s">
        <v>735</v>
      </c>
      <c r="G670" s="53" t="s">
        <v>775</v>
      </c>
      <c r="H670" s="72" t="s">
        <v>16</v>
      </c>
      <c r="I670" s="46" t="s">
        <v>773</v>
      </c>
      <c r="J670" s="43">
        <v>45964</v>
      </c>
      <c r="K670" s="73">
        <v>2</v>
      </c>
      <c r="L670" s="49">
        <f t="shared" si="30"/>
        <v>2</v>
      </c>
      <c r="M670" s="48">
        <f t="shared" si="32"/>
        <v>820</v>
      </c>
      <c r="N670" s="48">
        <v>410</v>
      </c>
      <c r="O670" s="50">
        <v>9</v>
      </c>
      <c r="P670" s="50">
        <v>9</v>
      </c>
      <c r="Q670" s="51">
        <f t="shared" si="31"/>
        <v>967.59999999999991</v>
      </c>
      <c r="R670" s="48">
        <v>2360</v>
      </c>
      <c r="S670" s="24">
        <v>1430</v>
      </c>
      <c r="T670" s="43">
        <v>45966</v>
      </c>
      <c r="U670" s="24" t="s">
        <v>774</v>
      </c>
      <c r="V670" s="46" t="s">
        <v>33</v>
      </c>
      <c r="W670" s="54" t="s">
        <v>112</v>
      </c>
    </row>
    <row r="671" spans="1:23" s="27" customFormat="1" ht="34.950000000000003" customHeight="1" x14ac:dyDescent="0.25">
      <c r="A671" s="12">
        <f>SUBTOTAL(3,$B$2:B671)</f>
        <v>670</v>
      </c>
      <c r="B671" s="42">
        <v>328</v>
      </c>
      <c r="C671" s="43">
        <v>45966</v>
      </c>
      <c r="D671" s="42">
        <v>82511060002</v>
      </c>
      <c r="E671" s="43">
        <v>45967</v>
      </c>
      <c r="F671" s="45" t="s">
        <v>644</v>
      </c>
      <c r="G671" s="71" t="s">
        <v>680</v>
      </c>
      <c r="H671" s="76" t="s">
        <v>478</v>
      </c>
      <c r="I671" s="46"/>
      <c r="J671" s="43"/>
      <c r="K671" s="73">
        <v>18.88</v>
      </c>
      <c r="L671" s="49">
        <f t="shared" si="30"/>
        <v>18.88</v>
      </c>
      <c r="M671" s="48">
        <f t="shared" si="32"/>
        <v>2029.7888</v>
      </c>
      <c r="N671" s="48">
        <v>107.51</v>
      </c>
      <c r="O671" s="50"/>
      <c r="P671" s="50"/>
      <c r="Q671" s="51">
        <f t="shared" si="31"/>
        <v>2029.7888</v>
      </c>
      <c r="R671" s="48"/>
      <c r="S671" s="24" t="s">
        <v>776</v>
      </c>
      <c r="T671" s="43">
        <v>45966</v>
      </c>
      <c r="U671" s="24" t="s">
        <v>638</v>
      </c>
      <c r="V671" s="46" t="s">
        <v>247</v>
      </c>
      <c r="W671" s="54"/>
    </row>
    <row r="672" spans="1:23" s="27" customFormat="1" ht="34.950000000000003" customHeight="1" x14ac:dyDescent="0.25">
      <c r="A672" s="12">
        <f>SUBTOTAL(3,$B$2:B672)</f>
        <v>671</v>
      </c>
      <c r="B672" s="42">
        <v>329</v>
      </c>
      <c r="C672" s="43">
        <v>45967</v>
      </c>
      <c r="D672" s="42">
        <v>82511060001</v>
      </c>
      <c r="E672" s="43">
        <v>45967</v>
      </c>
      <c r="F672" s="45" t="s">
        <v>417</v>
      </c>
      <c r="G672" s="71" t="s">
        <v>418</v>
      </c>
      <c r="H672" s="76" t="s">
        <v>709</v>
      </c>
      <c r="I672" s="46"/>
      <c r="J672" s="43"/>
      <c r="K672" s="73">
        <v>4</v>
      </c>
      <c r="L672" s="49">
        <f t="shared" si="30"/>
        <v>4</v>
      </c>
      <c r="M672" s="48">
        <f t="shared" si="32"/>
        <v>15200</v>
      </c>
      <c r="N672" s="48">
        <v>3800</v>
      </c>
      <c r="O672" s="50">
        <v>9</v>
      </c>
      <c r="P672" s="50">
        <v>9</v>
      </c>
      <c r="Q672" s="51">
        <f t="shared" si="31"/>
        <v>17936</v>
      </c>
      <c r="R672" s="48"/>
      <c r="S672" s="24">
        <v>5129</v>
      </c>
      <c r="T672" s="43">
        <v>45966</v>
      </c>
      <c r="U672" s="24" t="s">
        <v>638</v>
      </c>
      <c r="V672" s="46" t="s">
        <v>247</v>
      </c>
      <c r="W672" s="54"/>
    </row>
    <row r="673" spans="1:23" s="27" customFormat="1" ht="34.950000000000003" customHeight="1" x14ac:dyDescent="0.25">
      <c r="A673" s="12">
        <f>SUBTOTAL(3,$B$2:B673)</f>
        <v>672</v>
      </c>
      <c r="B673" s="42">
        <v>330</v>
      </c>
      <c r="C673" s="43">
        <v>45967</v>
      </c>
      <c r="D673" s="42">
        <v>82511070002</v>
      </c>
      <c r="E673" s="43">
        <v>45968</v>
      </c>
      <c r="F673" s="45" t="s">
        <v>644</v>
      </c>
      <c r="G673" s="71" t="s">
        <v>680</v>
      </c>
      <c r="H673" s="76" t="s">
        <v>478</v>
      </c>
      <c r="I673" s="46"/>
      <c r="J673" s="43"/>
      <c r="K673" s="73">
        <v>10</v>
      </c>
      <c r="L673" s="49">
        <f t="shared" si="30"/>
        <v>10</v>
      </c>
      <c r="M673" s="48">
        <f t="shared" si="32"/>
        <v>1075.1000000000001</v>
      </c>
      <c r="N673" s="48">
        <v>107.51</v>
      </c>
      <c r="O673" s="50"/>
      <c r="P673" s="50"/>
      <c r="Q673" s="51">
        <f t="shared" si="31"/>
        <v>1075.1000000000001</v>
      </c>
      <c r="R673" s="48"/>
      <c r="S673" s="24" t="s">
        <v>777</v>
      </c>
      <c r="T673" s="43">
        <v>45967</v>
      </c>
      <c r="U673" s="24" t="s">
        <v>638</v>
      </c>
      <c r="V673" s="46" t="s">
        <v>247</v>
      </c>
      <c r="W673" s="54"/>
    </row>
    <row r="674" spans="1:23" s="27" customFormat="1" ht="34.950000000000003" customHeight="1" x14ac:dyDescent="0.35">
      <c r="A674" s="12">
        <f>SUBTOTAL(3,$B$2:B674)</f>
        <v>673</v>
      </c>
      <c r="B674" s="42">
        <v>331</v>
      </c>
      <c r="C674" s="43">
        <v>45967</v>
      </c>
      <c r="D674" s="42">
        <v>82511070003</v>
      </c>
      <c r="E674" s="43">
        <v>45968</v>
      </c>
      <c r="F674" s="45" t="s">
        <v>644</v>
      </c>
      <c r="G674" s="53" t="s">
        <v>680</v>
      </c>
      <c r="H674" s="72" t="s">
        <v>478</v>
      </c>
      <c r="I674" s="46"/>
      <c r="J674" s="43"/>
      <c r="K674" s="73">
        <v>10</v>
      </c>
      <c r="L674" s="49">
        <f t="shared" si="30"/>
        <v>10</v>
      </c>
      <c r="M674" s="48">
        <f t="shared" si="32"/>
        <v>1075.1000000000001</v>
      </c>
      <c r="N674" s="48">
        <v>107.51</v>
      </c>
      <c r="O674" s="50"/>
      <c r="P674" s="50"/>
      <c r="Q674" s="51">
        <f t="shared" si="31"/>
        <v>1075.1000000000001</v>
      </c>
      <c r="R674" s="48"/>
      <c r="S674" s="24" t="s">
        <v>778</v>
      </c>
      <c r="T674" s="43">
        <v>45967</v>
      </c>
      <c r="U674" s="24" t="s">
        <v>638</v>
      </c>
      <c r="V674" s="46" t="s">
        <v>247</v>
      </c>
      <c r="W674" s="54"/>
    </row>
    <row r="675" spans="1:23" s="27" customFormat="1" ht="34.950000000000003" customHeight="1" x14ac:dyDescent="0.25">
      <c r="A675" s="12">
        <f>SUBTOTAL(3,$B$2:B675)</f>
        <v>674</v>
      </c>
      <c r="B675" s="42">
        <v>332</v>
      </c>
      <c r="C675" s="43">
        <v>45967</v>
      </c>
      <c r="D675" s="42">
        <v>0</v>
      </c>
      <c r="E675" s="43">
        <v>0</v>
      </c>
      <c r="F675" s="45" t="s">
        <v>438</v>
      </c>
      <c r="G675" s="71" t="s">
        <v>779</v>
      </c>
      <c r="H675" s="76" t="s">
        <v>16</v>
      </c>
      <c r="I675" s="46"/>
      <c r="J675" s="43"/>
      <c r="K675" s="73">
        <v>2</v>
      </c>
      <c r="L675" s="62">
        <f t="shared" si="30"/>
        <v>2</v>
      </c>
      <c r="M675" s="48">
        <f t="shared" si="32"/>
        <v>30000</v>
      </c>
      <c r="N675" s="48">
        <v>15000</v>
      </c>
      <c r="O675" s="50"/>
      <c r="P675" s="50"/>
      <c r="Q675" s="51">
        <f t="shared" si="31"/>
        <v>30000</v>
      </c>
      <c r="R675" s="48"/>
      <c r="S675" s="24">
        <v>32511060284</v>
      </c>
      <c r="T675" s="43">
        <v>45967</v>
      </c>
      <c r="U675" s="24" t="s">
        <v>774</v>
      </c>
      <c r="V675" s="46" t="s">
        <v>25</v>
      </c>
      <c r="W675" s="54"/>
    </row>
    <row r="676" spans="1:23" s="27" customFormat="1" ht="34.950000000000003" customHeight="1" x14ac:dyDescent="0.25">
      <c r="A676" s="12">
        <f>SUBTOTAL(3,$B$2:B676)</f>
        <v>675</v>
      </c>
      <c r="B676" s="42">
        <v>332</v>
      </c>
      <c r="C676" s="43">
        <v>45967</v>
      </c>
      <c r="D676" s="42">
        <v>0</v>
      </c>
      <c r="E676" s="43">
        <v>0</v>
      </c>
      <c r="F676" s="45" t="s">
        <v>438</v>
      </c>
      <c r="G676" s="71" t="s">
        <v>780</v>
      </c>
      <c r="H676" s="76" t="s">
        <v>16</v>
      </c>
      <c r="I676" s="46"/>
      <c r="J676" s="43"/>
      <c r="K676" s="73">
        <v>1</v>
      </c>
      <c r="L676" s="62">
        <f t="shared" si="30"/>
        <v>1</v>
      </c>
      <c r="M676" s="48">
        <f t="shared" si="32"/>
        <v>7500</v>
      </c>
      <c r="N676" s="48">
        <v>7500</v>
      </c>
      <c r="O676" s="50"/>
      <c r="P676" s="50"/>
      <c r="Q676" s="51">
        <f t="shared" si="31"/>
        <v>7500</v>
      </c>
      <c r="R676" s="48"/>
      <c r="S676" s="24">
        <v>32511060284</v>
      </c>
      <c r="T676" s="43">
        <v>45967</v>
      </c>
      <c r="U676" s="24" t="s">
        <v>774</v>
      </c>
      <c r="V676" s="46" t="s">
        <v>25</v>
      </c>
      <c r="W676" s="54"/>
    </row>
    <row r="677" spans="1:23" s="27" customFormat="1" ht="34.950000000000003" customHeight="1" x14ac:dyDescent="0.25">
      <c r="A677" s="12">
        <f>SUBTOTAL(3,$B$2:B677)</f>
        <v>676</v>
      </c>
      <c r="B677" s="42">
        <v>333</v>
      </c>
      <c r="C677" s="43">
        <v>45967</v>
      </c>
      <c r="D677" s="42">
        <v>82512160001</v>
      </c>
      <c r="E677" s="43">
        <v>46007</v>
      </c>
      <c r="F677" s="45" t="s">
        <v>110</v>
      </c>
      <c r="G677" s="52" t="s">
        <v>781</v>
      </c>
      <c r="H677" s="46" t="s">
        <v>16</v>
      </c>
      <c r="I677" s="12"/>
      <c r="J677" s="43"/>
      <c r="K677" s="59">
        <v>2</v>
      </c>
      <c r="L677" s="49">
        <f t="shared" si="30"/>
        <v>2</v>
      </c>
      <c r="M677" s="48">
        <f t="shared" si="32"/>
        <v>450</v>
      </c>
      <c r="N677" s="48">
        <v>225</v>
      </c>
      <c r="O677" s="50"/>
      <c r="P677" s="50"/>
      <c r="Q677" s="51">
        <f t="shared" si="31"/>
        <v>450</v>
      </c>
      <c r="R677" s="48"/>
      <c r="S677" s="24">
        <v>3807</v>
      </c>
      <c r="T677" s="43">
        <v>45967</v>
      </c>
      <c r="U677" s="43" t="s">
        <v>638</v>
      </c>
      <c r="V677" s="46" t="s">
        <v>247</v>
      </c>
      <c r="W677" s="54"/>
    </row>
    <row r="678" spans="1:23" s="27" customFormat="1" ht="34.950000000000003" customHeight="1" x14ac:dyDescent="0.25">
      <c r="A678" s="12">
        <f>SUBTOTAL(3,$B$2:B678)</f>
        <v>677</v>
      </c>
      <c r="B678" s="42">
        <v>333</v>
      </c>
      <c r="C678" s="43">
        <v>45967</v>
      </c>
      <c r="D678" s="42">
        <v>82512160001</v>
      </c>
      <c r="E678" s="43">
        <v>46007</v>
      </c>
      <c r="F678" s="45" t="s">
        <v>110</v>
      </c>
      <c r="G678" s="52" t="s">
        <v>782</v>
      </c>
      <c r="H678" s="46" t="s">
        <v>16</v>
      </c>
      <c r="I678" s="12"/>
      <c r="J678" s="43"/>
      <c r="K678" s="59">
        <v>2</v>
      </c>
      <c r="L678" s="49">
        <f t="shared" si="30"/>
        <v>2</v>
      </c>
      <c r="M678" s="48">
        <f t="shared" si="32"/>
        <v>80</v>
      </c>
      <c r="N678" s="48">
        <v>40</v>
      </c>
      <c r="O678" s="50"/>
      <c r="P678" s="50"/>
      <c r="Q678" s="51">
        <f t="shared" si="31"/>
        <v>80</v>
      </c>
      <c r="R678" s="48"/>
      <c r="S678" s="24">
        <v>3807</v>
      </c>
      <c r="T678" s="43">
        <v>45967</v>
      </c>
      <c r="U678" s="43" t="s">
        <v>638</v>
      </c>
      <c r="V678" s="46" t="s">
        <v>247</v>
      </c>
      <c r="W678" s="54"/>
    </row>
    <row r="679" spans="1:23" s="27" customFormat="1" ht="34.950000000000003" customHeight="1" x14ac:dyDescent="0.25">
      <c r="A679" s="12">
        <f>SUBTOTAL(3,$B$2:B679)</f>
        <v>678</v>
      </c>
      <c r="B679" s="42">
        <v>333</v>
      </c>
      <c r="C679" s="43">
        <v>45967</v>
      </c>
      <c r="D679" s="42">
        <v>82512160001</v>
      </c>
      <c r="E679" s="43">
        <v>46007</v>
      </c>
      <c r="F679" s="45" t="s">
        <v>110</v>
      </c>
      <c r="G679" s="52" t="s">
        <v>783</v>
      </c>
      <c r="H679" s="46" t="s">
        <v>16</v>
      </c>
      <c r="I679" s="12"/>
      <c r="J679" s="43"/>
      <c r="K679" s="59">
        <v>8</v>
      </c>
      <c r="L679" s="49">
        <f t="shared" si="30"/>
        <v>8</v>
      </c>
      <c r="M679" s="48">
        <f t="shared" si="32"/>
        <v>120</v>
      </c>
      <c r="N679" s="48">
        <v>15</v>
      </c>
      <c r="O679" s="50"/>
      <c r="P679" s="50"/>
      <c r="Q679" s="51">
        <f t="shared" si="31"/>
        <v>120</v>
      </c>
      <c r="R679" s="48"/>
      <c r="S679" s="24">
        <v>3807</v>
      </c>
      <c r="T679" s="43">
        <v>45967</v>
      </c>
      <c r="U679" s="43" t="s">
        <v>638</v>
      </c>
      <c r="V679" s="46" t="s">
        <v>247</v>
      </c>
      <c r="W679" s="54"/>
    </row>
    <row r="680" spans="1:23" s="27" customFormat="1" ht="34.950000000000003" customHeight="1" x14ac:dyDescent="0.25">
      <c r="A680" s="12">
        <f>SUBTOTAL(3,$B$2:B680)</f>
        <v>679</v>
      </c>
      <c r="B680" s="42">
        <v>333</v>
      </c>
      <c r="C680" s="43">
        <v>45967</v>
      </c>
      <c r="D680" s="42">
        <v>82512160001</v>
      </c>
      <c r="E680" s="43">
        <v>46007</v>
      </c>
      <c r="F680" s="45" t="s">
        <v>110</v>
      </c>
      <c r="G680" s="52" t="s">
        <v>346</v>
      </c>
      <c r="H680" s="46" t="s">
        <v>16</v>
      </c>
      <c r="I680" s="12"/>
      <c r="J680" s="43"/>
      <c r="K680" s="47">
        <v>2</v>
      </c>
      <c r="L680" s="49">
        <f t="shared" si="30"/>
        <v>2</v>
      </c>
      <c r="M680" s="48">
        <f t="shared" si="32"/>
        <v>320</v>
      </c>
      <c r="N680" s="48">
        <v>160</v>
      </c>
      <c r="O680" s="50"/>
      <c r="P680" s="50"/>
      <c r="Q680" s="51">
        <f t="shared" si="31"/>
        <v>320</v>
      </c>
      <c r="R680" s="48"/>
      <c r="S680" s="24">
        <v>3807</v>
      </c>
      <c r="T680" s="43">
        <v>45967</v>
      </c>
      <c r="U680" s="43" t="s">
        <v>638</v>
      </c>
      <c r="V680" s="46" t="s">
        <v>247</v>
      </c>
      <c r="W680" s="54"/>
    </row>
    <row r="681" spans="1:23" s="27" customFormat="1" ht="34.950000000000003" customHeight="1" x14ac:dyDescent="0.25">
      <c r="A681" s="12">
        <f>SUBTOTAL(3,$B$2:B681)</f>
        <v>680</v>
      </c>
      <c r="B681" s="42">
        <v>334</v>
      </c>
      <c r="C681" s="43">
        <v>45969</v>
      </c>
      <c r="D681" s="42">
        <v>82511100001</v>
      </c>
      <c r="E681" s="44">
        <v>45971</v>
      </c>
      <c r="F681" s="45" t="s">
        <v>35</v>
      </c>
      <c r="G681" s="52" t="s">
        <v>485</v>
      </c>
      <c r="H681" s="46" t="s">
        <v>37</v>
      </c>
      <c r="I681" s="12" t="s">
        <v>38</v>
      </c>
      <c r="J681" s="43">
        <v>45733</v>
      </c>
      <c r="K681" s="63">
        <v>2</v>
      </c>
      <c r="L681" s="49">
        <f t="shared" si="30"/>
        <v>2</v>
      </c>
      <c r="M681" s="48">
        <f t="shared" si="32"/>
        <v>10084.74</v>
      </c>
      <c r="N681" s="48">
        <v>5042.37</v>
      </c>
      <c r="O681" s="50">
        <v>9</v>
      </c>
      <c r="P681" s="50">
        <v>9</v>
      </c>
      <c r="Q681" s="51">
        <f t="shared" si="31"/>
        <v>11899.993199999999</v>
      </c>
      <c r="R681" s="48"/>
      <c r="S681" s="24" t="s">
        <v>784</v>
      </c>
      <c r="T681" s="43">
        <v>45969</v>
      </c>
      <c r="U681" s="43" t="s">
        <v>40</v>
      </c>
      <c r="V681" s="46" t="s">
        <v>33</v>
      </c>
      <c r="W681" s="54"/>
    </row>
    <row r="682" spans="1:23" s="27" customFormat="1" ht="34.950000000000003" customHeight="1" x14ac:dyDescent="0.25">
      <c r="A682" s="12">
        <f>SUBTOTAL(3,$B$2:B682)</f>
        <v>681</v>
      </c>
      <c r="B682" s="42">
        <v>335</v>
      </c>
      <c r="C682" s="43">
        <v>45970</v>
      </c>
      <c r="D682" s="42">
        <v>0</v>
      </c>
      <c r="E682" s="43">
        <v>0</v>
      </c>
      <c r="F682" s="45" t="s">
        <v>785</v>
      </c>
      <c r="G682" s="52" t="s">
        <v>786</v>
      </c>
      <c r="H682" s="46" t="s">
        <v>16</v>
      </c>
      <c r="I682" s="12"/>
      <c r="J682" s="43"/>
      <c r="K682" s="59">
        <v>400</v>
      </c>
      <c r="L682" s="62">
        <f t="shared" si="30"/>
        <v>400</v>
      </c>
      <c r="M682" s="48">
        <f t="shared" si="32"/>
        <v>0</v>
      </c>
      <c r="N682" s="48">
        <v>0</v>
      </c>
      <c r="O682" s="50"/>
      <c r="P682" s="50"/>
      <c r="Q682" s="51">
        <f t="shared" si="31"/>
        <v>0</v>
      </c>
      <c r="R682" s="48"/>
      <c r="S682" s="24" t="s">
        <v>787</v>
      </c>
      <c r="T682" s="43">
        <v>45970</v>
      </c>
      <c r="U682" s="43" t="s">
        <v>296</v>
      </c>
      <c r="V682" s="46" t="s">
        <v>788</v>
      </c>
      <c r="W682" s="54"/>
    </row>
    <row r="683" spans="1:23" s="27" customFormat="1" ht="34.950000000000003" customHeight="1" x14ac:dyDescent="0.25">
      <c r="A683" s="12">
        <f>SUBTOTAL(3,$B$2:B683)</f>
        <v>682</v>
      </c>
      <c r="B683" s="42">
        <v>335</v>
      </c>
      <c r="C683" s="43">
        <v>45970</v>
      </c>
      <c r="D683" s="42">
        <v>0</v>
      </c>
      <c r="E683" s="43">
        <v>0</v>
      </c>
      <c r="F683" s="45" t="s">
        <v>785</v>
      </c>
      <c r="G683" s="52" t="s">
        <v>789</v>
      </c>
      <c r="H683" s="46" t="s">
        <v>16</v>
      </c>
      <c r="I683" s="12"/>
      <c r="J683" s="43"/>
      <c r="K683" s="59">
        <v>80</v>
      </c>
      <c r="L683" s="62">
        <f t="shared" si="30"/>
        <v>80</v>
      </c>
      <c r="M683" s="48">
        <f t="shared" si="32"/>
        <v>0</v>
      </c>
      <c r="N683" s="48"/>
      <c r="O683" s="50"/>
      <c r="P683" s="50"/>
      <c r="Q683" s="51">
        <f t="shared" si="31"/>
        <v>0</v>
      </c>
      <c r="R683" s="48"/>
      <c r="S683" s="24" t="s">
        <v>787</v>
      </c>
      <c r="T683" s="43">
        <v>45970</v>
      </c>
      <c r="U683" s="43" t="s">
        <v>296</v>
      </c>
      <c r="V683" s="46" t="s">
        <v>788</v>
      </c>
      <c r="W683" s="54"/>
    </row>
    <row r="684" spans="1:23" s="27" customFormat="1" ht="34.950000000000003" customHeight="1" x14ac:dyDescent="0.25">
      <c r="A684" s="12">
        <f>SUBTOTAL(3,$B$2:B684)</f>
        <v>683</v>
      </c>
      <c r="B684" s="42">
        <v>336</v>
      </c>
      <c r="C684" s="43">
        <v>45971</v>
      </c>
      <c r="D684" s="42">
        <v>0</v>
      </c>
      <c r="E684" s="43">
        <v>0</v>
      </c>
      <c r="F684" s="45" t="s">
        <v>785</v>
      </c>
      <c r="G684" s="52" t="s">
        <v>789</v>
      </c>
      <c r="H684" s="46" t="s">
        <v>16</v>
      </c>
      <c r="I684" s="12"/>
      <c r="J684" s="43"/>
      <c r="K684" s="47">
        <v>120</v>
      </c>
      <c r="L684" s="62">
        <f t="shared" si="30"/>
        <v>120</v>
      </c>
      <c r="M684" s="48">
        <f t="shared" si="32"/>
        <v>0</v>
      </c>
      <c r="N684" s="48">
        <v>0</v>
      </c>
      <c r="O684" s="50"/>
      <c r="P684" s="50"/>
      <c r="Q684" s="51">
        <f t="shared" si="31"/>
        <v>0</v>
      </c>
      <c r="R684" s="48"/>
      <c r="S684" s="24" t="s">
        <v>790</v>
      </c>
      <c r="T684" s="43">
        <v>45971</v>
      </c>
      <c r="U684" s="43" t="s">
        <v>296</v>
      </c>
      <c r="V684" s="46" t="s">
        <v>788</v>
      </c>
      <c r="W684" s="54"/>
    </row>
    <row r="685" spans="1:23" s="27" customFormat="1" ht="34.950000000000003" customHeight="1" x14ac:dyDescent="0.25">
      <c r="A685" s="12">
        <f>SUBTOTAL(3,$B$2:B685)</f>
        <v>684</v>
      </c>
      <c r="B685" s="42">
        <v>336</v>
      </c>
      <c r="C685" s="43">
        <v>45971</v>
      </c>
      <c r="D685" s="42">
        <v>0</v>
      </c>
      <c r="E685" s="43">
        <v>0</v>
      </c>
      <c r="F685" s="45" t="s">
        <v>785</v>
      </c>
      <c r="G685" s="52" t="s">
        <v>791</v>
      </c>
      <c r="H685" s="46" t="s">
        <v>16</v>
      </c>
      <c r="I685" s="12"/>
      <c r="J685" s="43"/>
      <c r="K685" s="47">
        <v>300</v>
      </c>
      <c r="L685" s="62">
        <f t="shared" si="30"/>
        <v>300</v>
      </c>
      <c r="M685" s="48">
        <f t="shared" si="32"/>
        <v>0</v>
      </c>
      <c r="N685" s="48"/>
      <c r="O685" s="50"/>
      <c r="P685" s="50"/>
      <c r="Q685" s="51">
        <f t="shared" si="31"/>
        <v>0</v>
      </c>
      <c r="R685" s="48"/>
      <c r="S685" s="24" t="s">
        <v>790</v>
      </c>
      <c r="T685" s="43">
        <v>45971</v>
      </c>
      <c r="U685" s="43" t="s">
        <v>296</v>
      </c>
      <c r="V685" s="46" t="s">
        <v>788</v>
      </c>
      <c r="W685" s="54"/>
    </row>
    <row r="686" spans="1:23" s="27" customFormat="1" ht="34.950000000000003" customHeight="1" x14ac:dyDescent="0.25">
      <c r="A686" s="12">
        <f>SUBTOTAL(3,$B$2:B686)</f>
        <v>685</v>
      </c>
      <c r="B686" s="42">
        <v>337</v>
      </c>
      <c r="C686" s="43">
        <v>45971</v>
      </c>
      <c r="D686" s="42">
        <v>0</v>
      </c>
      <c r="E686" s="43">
        <v>0</v>
      </c>
      <c r="F686" s="45" t="s">
        <v>785</v>
      </c>
      <c r="G686" s="52" t="s">
        <v>792</v>
      </c>
      <c r="H686" s="57" t="s">
        <v>16</v>
      </c>
      <c r="I686" s="46"/>
      <c r="J686" s="43"/>
      <c r="K686" s="59">
        <v>800</v>
      </c>
      <c r="L686" s="62">
        <f t="shared" si="30"/>
        <v>800</v>
      </c>
      <c r="M686" s="48">
        <f t="shared" si="32"/>
        <v>0</v>
      </c>
      <c r="N686" s="48"/>
      <c r="O686" s="50"/>
      <c r="P686" s="50"/>
      <c r="Q686" s="51">
        <f t="shared" si="31"/>
        <v>0</v>
      </c>
      <c r="R686" s="48"/>
      <c r="S686" s="24" t="s">
        <v>793</v>
      </c>
      <c r="T686" s="43">
        <v>45971</v>
      </c>
      <c r="U686" s="43" t="s">
        <v>296</v>
      </c>
      <c r="V686" s="46" t="s">
        <v>788</v>
      </c>
      <c r="W686" s="54"/>
    </row>
    <row r="687" spans="1:23" s="27" customFormat="1" ht="34.950000000000003" customHeight="1" x14ac:dyDescent="0.25">
      <c r="A687" s="12">
        <f>SUBTOTAL(3,$B$2:B687)</f>
        <v>686</v>
      </c>
      <c r="B687" s="42">
        <v>337</v>
      </c>
      <c r="C687" s="43">
        <v>45971</v>
      </c>
      <c r="D687" s="42">
        <v>0</v>
      </c>
      <c r="E687" s="43">
        <v>0</v>
      </c>
      <c r="F687" s="45" t="s">
        <v>785</v>
      </c>
      <c r="G687" s="52" t="s">
        <v>786</v>
      </c>
      <c r="H687" s="46" t="s">
        <v>16</v>
      </c>
      <c r="I687" s="12"/>
      <c r="J687" s="43"/>
      <c r="K687" s="47">
        <v>400</v>
      </c>
      <c r="L687" s="62">
        <f t="shared" si="30"/>
        <v>400</v>
      </c>
      <c r="M687" s="48">
        <f t="shared" si="32"/>
        <v>0</v>
      </c>
      <c r="N687" s="48">
        <v>0</v>
      </c>
      <c r="O687" s="50"/>
      <c r="P687" s="50"/>
      <c r="Q687" s="51">
        <f t="shared" si="31"/>
        <v>0</v>
      </c>
      <c r="R687" s="48"/>
      <c r="S687" s="24" t="s">
        <v>793</v>
      </c>
      <c r="T687" s="43">
        <v>45971</v>
      </c>
      <c r="U687" s="43" t="s">
        <v>296</v>
      </c>
      <c r="V687" s="46" t="s">
        <v>788</v>
      </c>
      <c r="W687" s="54"/>
    </row>
    <row r="688" spans="1:23" s="27" customFormat="1" ht="34.950000000000003" customHeight="1" x14ac:dyDescent="0.25">
      <c r="A688" s="12">
        <f>SUBTOTAL(3,$B$2:B688)</f>
        <v>687</v>
      </c>
      <c r="B688" s="42">
        <v>338</v>
      </c>
      <c r="C688" s="43">
        <v>45972</v>
      </c>
      <c r="D688" s="42">
        <v>82511150002</v>
      </c>
      <c r="E688" s="44">
        <v>45976</v>
      </c>
      <c r="F688" s="45" t="s">
        <v>35</v>
      </c>
      <c r="G688" s="52" t="s">
        <v>36</v>
      </c>
      <c r="H688" s="46" t="s">
        <v>37</v>
      </c>
      <c r="I688" s="12" t="s">
        <v>38</v>
      </c>
      <c r="J688" s="43">
        <v>45733</v>
      </c>
      <c r="K688" s="55">
        <v>4</v>
      </c>
      <c r="L688" s="49">
        <f t="shared" si="30"/>
        <v>4</v>
      </c>
      <c r="M688" s="48">
        <f t="shared" si="32"/>
        <v>13220.32</v>
      </c>
      <c r="N688" s="48">
        <v>3305.08</v>
      </c>
      <c r="O688" s="50">
        <v>9</v>
      </c>
      <c r="P688" s="50">
        <v>9</v>
      </c>
      <c r="Q688" s="51">
        <f t="shared" si="31"/>
        <v>15599.977599999998</v>
      </c>
      <c r="R688" s="48"/>
      <c r="S688" s="24" t="s">
        <v>794</v>
      </c>
      <c r="T688" s="43">
        <v>45972</v>
      </c>
      <c r="U688" s="43" t="s">
        <v>230</v>
      </c>
      <c r="V688" s="46" t="s">
        <v>33</v>
      </c>
      <c r="W688" s="54"/>
    </row>
    <row r="689" spans="1:23" s="27" customFormat="1" ht="34.950000000000003" customHeight="1" x14ac:dyDescent="0.25">
      <c r="A689" s="12">
        <f>SUBTOTAL(3,$B$2:B689)</f>
        <v>688</v>
      </c>
      <c r="B689" s="42">
        <v>339</v>
      </c>
      <c r="C689" s="43">
        <v>45972</v>
      </c>
      <c r="D689" s="42">
        <v>82511120001</v>
      </c>
      <c r="E689" s="44">
        <v>45973</v>
      </c>
      <c r="F689" s="45" t="s">
        <v>35</v>
      </c>
      <c r="G689" s="52" t="s">
        <v>36</v>
      </c>
      <c r="H689" s="57" t="s">
        <v>37</v>
      </c>
      <c r="I689" s="12" t="s">
        <v>38</v>
      </c>
      <c r="J689" s="43">
        <v>45733</v>
      </c>
      <c r="K689" s="63">
        <v>2</v>
      </c>
      <c r="L689" s="49">
        <f t="shared" si="30"/>
        <v>2</v>
      </c>
      <c r="M689" s="48">
        <f t="shared" si="32"/>
        <v>6610.16</v>
      </c>
      <c r="N689" s="48">
        <v>3305.08</v>
      </c>
      <c r="O689" s="50">
        <v>9</v>
      </c>
      <c r="P689" s="50">
        <v>9</v>
      </c>
      <c r="Q689" s="51">
        <f t="shared" si="31"/>
        <v>7799.9887999999992</v>
      </c>
      <c r="R689" s="48"/>
      <c r="S689" s="24" t="s">
        <v>795</v>
      </c>
      <c r="T689" s="43">
        <v>45972</v>
      </c>
      <c r="U689" s="43" t="s">
        <v>230</v>
      </c>
      <c r="V689" s="46" t="s">
        <v>33</v>
      </c>
      <c r="W689" s="54"/>
    </row>
    <row r="690" spans="1:23" s="27" customFormat="1" ht="34.950000000000003" customHeight="1" x14ac:dyDescent="0.25">
      <c r="A690" s="12">
        <f>SUBTOTAL(3,$B$2:B690)</f>
        <v>689</v>
      </c>
      <c r="B690" s="42">
        <v>340</v>
      </c>
      <c r="C690" s="43">
        <v>45972</v>
      </c>
      <c r="D690" s="42">
        <v>82511120002</v>
      </c>
      <c r="E690" s="44">
        <v>45973</v>
      </c>
      <c r="F690" s="79" t="s">
        <v>35</v>
      </c>
      <c r="G690" s="45" t="s">
        <v>36</v>
      </c>
      <c r="H690" s="46" t="s">
        <v>37</v>
      </c>
      <c r="I690" s="12" t="s">
        <v>38</v>
      </c>
      <c r="J690" s="43">
        <v>45733</v>
      </c>
      <c r="K690" s="104">
        <v>1</v>
      </c>
      <c r="L690" s="49">
        <f t="shared" si="30"/>
        <v>1</v>
      </c>
      <c r="M690" s="48">
        <f t="shared" si="32"/>
        <v>3305.08</v>
      </c>
      <c r="N690" s="48">
        <v>3305.08</v>
      </c>
      <c r="O690" s="50">
        <v>9</v>
      </c>
      <c r="P690" s="50">
        <v>9</v>
      </c>
      <c r="Q690" s="51">
        <f t="shared" si="31"/>
        <v>3899.9943999999996</v>
      </c>
      <c r="R690" s="48"/>
      <c r="S690" s="24" t="s">
        <v>796</v>
      </c>
      <c r="T690" s="43">
        <v>45972</v>
      </c>
      <c r="U690" s="24" t="s">
        <v>101</v>
      </c>
      <c r="V690" s="46" t="s">
        <v>33</v>
      </c>
      <c r="W690" s="54"/>
    </row>
    <row r="691" spans="1:23" s="27" customFormat="1" ht="34.950000000000003" customHeight="1" x14ac:dyDescent="0.25">
      <c r="A691" s="12">
        <f>SUBTOTAL(3,$B$2:B691)</f>
        <v>690</v>
      </c>
      <c r="B691" s="42">
        <v>341</v>
      </c>
      <c r="C691" s="43">
        <v>45972</v>
      </c>
      <c r="D691" s="42">
        <v>82511120003</v>
      </c>
      <c r="E691" s="44">
        <v>45973</v>
      </c>
      <c r="F691" s="45" t="s">
        <v>35</v>
      </c>
      <c r="G691" s="52" t="s">
        <v>36</v>
      </c>
      <c r="H691" s="46" t="s">
        <v>37</v>
      </c>
      <c r="I691" s="12" t="s">
        <v>38</v>
      </c>
      <c r="J691" s="43">
        <v>45733</v>
      </c>
      <c r="K691" s="55">
        <v>0.5</v>
      </c>
      <c r="L691" s="49">
        <f t="shared" si="30"/>
        <v>0.5</v>
      </c>
      <c r="M691" s="48">
        <f t="shared" si="32"/>
        <v>1652.54</v>
      </c>
      <c r="N691" s="48">
        <v>3305.08</v>
      </c>
      <c r="O691" s="50">
        <v>9</v>
      </c>
      <c r="P691" s="50">
        <v>9</v>
      </c>
      <c r="Q691" s="51">
        <f t="shared" si="31"/>
        <v>1949.9971999999998</v>
      </c>
      <c r="R691" s="48"/>
      <c r="S691" s="24" t="s">
        <v>797</v>
      </c>
      <c r="T691" s="43">
        <v>45972</v>
      </c>
      <c r="U691" s="24" t="s">
        <v>101</v>
      </c>
      <c r="V691" s="46" t="s">
        <v>33</v>
      </c>
      <c r="W691" s="54"/>
    </row>
    <row r="692" spans="1:23" s="27" customFormat="1" ht="34.950000000000003" customHeight="1" x14ac:dyDescent="0.25">
      <c r="A692" s="12">
        <f>SUBTOTAL(3,$B$2:B692)</f>
        <v>691</v>
      </c>
      <c r="B692" s="42">
        <v>342</v>
      </c>
      <c r="C692" s="43">
        <v>45972</v>
      </c>
      <c r="D692" s="42">
        <v>82511110001</v>
      </c>
      <c r="E692" s="43">
        <v>45972</v>
      </c>
      <c r="F692" s="45" t="s">
        <v>644</v>
      </c>
      <c r="G692" s="71" t="s">
        <v>680</v>
      </c>
      <c r="H692" s="76" t="s">
        <v>478</v>
      </c>
      <c r="I692" s="46"/>
      <c r="J692" s="43"/>
      <c r="K692" s="73">
        <v>10</v>
      </c>
      <c r="L692" s="49">
        <f t="shared" si="30"/>
        <v>10</v>
      </c>
      <c r="M692" s="48">
        <f t="shared" si="32"/>
        <v>1075.1000000000001</v>
      </c>
      <c r="N692" s="48">
        <v>107.51</v>
      </c>
      <c r="O692" s="50"/>
      <c r="P692" s="50"/>
      <c r="Q692" s="51">
        <f t="shared" si="31"/>
        <v>1075.1000000000001</v>
      </c>
      <c r="R692" s="48"/>
      <c r="S692" s="24" t="s">
        <v>798</v>
      </c>
      <c r="T692" s="43">
        <v>45972</v>
      </c>
      <c r="U692" s="24" t="s">
        <v>638</v>
      </c>
      <c r="V692" s="46" t="s">
        <v>247</v>
      </c>
      <c r="W692" s="54"/>
    </row>
    <row r="693" spans="1:23" s="27" customFormat="1" ht="34.950000000000003" customHeight="1" x14ac:dyDescent="0.35">
      <c r="A693" s="12">
        <f>SUBTOTAL(3,$B$2:B693)</f>
        <v>692</v>
      </c>
      <c r="B693" s="42">
        <v>343</v>
      </c>
      <c r="C693" s="43">
        <v>45974</v>
      </c>
      <c r="D693" s="42">
        <v>0</v>
      </c>
      <c r="E693" s="43">
        <v>0</v>
      </c>
      <c r="F693" s="45" t="s">
        <v>799</v>
      </c>
      <c r="G693" s="71" t="s">
        <v>800</v>
      </c>
      <c r="H693" s="72" t="s">
        <v>16</v>
      </c>
      <c r="I693" s="46"/>
      <c r="J693" s="43"/>
      <c r="K693" s="73">
        <v>400</v>
      </c>
      <c r="L693" s="62">
        <f t="shared" si="30"/>
        <v>400</v>
      </c>
      <c r="M693" s="48">
        <f t="shared" si="32"/>
        <v>162000</v>
      </c>
      <c r="N693" s="48">
        <v>405</v>
      </c>
      <c r="O693" s="50"/>
      <c r="P693" s="50"/>
      <c r="Q693" s="51">
        <f t="shared" si="31"/>
        <v>162000</v>
      </c>
      <c r="R693" s="48"/>
      <c r="S693" s="24">
        <v>32511130324</v>
      </c>
      <c r="T693" s="43">
        <v>45974</v>
      </c>
      <c r="U693" s="24" t="s">
        <v>296</v>
      </c>
      <c r="V693" s="46" t="s">
        <v>25</v>
      </c>
      <c r="W693" s="54"/>
    </row>
    <row r="694" spans="1:23" s="27" customFormat="1" ht="34.950000000000003" customHeight="1" x14ac:dyDescent="0.25">
      <c r="A694" s="12">
        <f>SUBTOTAL(3,$B$2:B694)</f>
        <v>693</v>
      </c>
      <c r="B694" s="42">
        <v>343</v>
      </c>
      <c r="C694" s="43">
        <v>45974</v>
      </c>
      <c r="D694" s="42">
        <v>0</v>
      </c>
      <c r="E694" s="43">
        <v>0</v>
      </c>
      <c r="F694" s="45" t="s">
        <v>799</v>
      </c>
      <c r="G694" s="71" t="s">
        <v>801</v>
      </c>
      <c r="H694" s="76" t="s">
        <v>16</v>
      </c>
      <c r="I694" s="46"/>
      <c r="J694" s="43"/>
      <c r="K694" s="73">
        <v>100</v>
      </c>
      <c r="L694" s="62">
        <f t="shared" si="30"/>
        <v>100</v>
      </c>
      <c r="M694" s="48">
        <f t="shared" si="32"/>
        <v>31000</v>
      </c>
      <c r="N694" s="48">
        <v>310</v>
      </c>
      <c r="O694" s="50"/>
      <c r="P694" s="50"/>
      <c r="Q694" s="51">
        <f t="shared" si="31"/>
        <v>31000</v>
      </c>
      <c r="R694" s="48"/>
      <c r="S694" s="24">
        <v>32511130324</v>
      </c>
      <c r="T694" s="43">
        <v>45974</v>
      </c>
      <c r="U694" s="24" t="s">
        <v>296</v>
      </c>
      <c r="V694" s="46" t="s">
        <v>25</v>
      </c>
      <c r="W694" s="54"/>
    </row>
    <row r="695" spans="1:23" s="27" customFormat="1" ht="34.950000000000003" customHeight="1" x14ac:dyDescent="0.25">
      <c r="A695" s="12">
        <f>SUBTOTAL(3,$B$2:B695)</f>
        <v>694</v>
      </c>
      <c r="B695" s="42">
        <v>344</v>
      </c>
      <c r="C695" s="43">
        <v>45975</v>
      </c>
      <c r="D695" s="42">
        <v>0</v>
      </c>
      <c r="E695" s="43">
        <v>0</v>
      </c>
      <c r="F695" s="45" t="s">
        <v>799</v>
      </c>
      <c r="G695" s="71" t="s">
        <v>800</v>
      </c>
      <c r="H695" s="76" t="s">
        <v>16</v>
      </c>
      <c r="I695" s="46"/>
      <c r="J695" s="43"/>
      <c r="K695" s="73">
        <v>400</v>
      </c>
      <c r="L695" s="62">
        <f t="shared" si="30"/>
        <v>400</v>
      </c>
      <c r="M695" s="48">
        <f t="shared" si="32"/>
        <v>162000</v>
      </c>
      <c r="N695" s="48">
        <v>405</v>
      </c>
      <c r="O695" s="50"/>
      <c r="P695" s="50"/>
      <c r="Q695" s="51">
        <f t="shared" si="31"/>
        <v>162000</v>
      </c>
      <c r="R695" s="48"/>
      <c r="S695" s="24">
        <v>3251114084</v>
      </c>
      <c r="T695" s="43">
        <v>45975</v>
      </c>
      <c r="U695" s="24" t="s">
        <v>296</v>
      </c>
      <c r="V695" s="46" t="s">
        <v>25</v>
      </c>
      <c r="W695" s="54"/>
    </row>
    <row r="696" spans="1:23" s="27" customFormat="1" ht="34.950000000000003" customHeight="1" x14ac:dyDescent="0.35">
      <c r="A696" s="12">
        <f>SUBTOTAL(3,$B$2:B696)</f>
        <v>695</v>
      </c>
      <c r="B696" s="42">
        <v>345</v>
      </c>
      <c r="C696" s="43">
        <v>45976</v>
      </c>
      <c r="D696" s="42">
        <v>82511150001</v>
      </c>
      <c r="E696" s="44">
        <v>45976</v>
      </c>
      <c r="F696" s="45" t="s">
        <v>445</v>
      </c>
      <c r="G696" s="53" t="s">
        <v>450</v>
      </c>
      <c r="H696" s="72" t="s">
        <v>16</v>
      </c>
      <c r="I696" s="46" t="s">
        <v>802</v>
      </c>
      <c r="J696" s="43">
        <v>45978</v>
      </c>
      <c r="K696" s="73">
        <v>100</v>
      </c>
      <c r="L696" s="49">
        <f t="shared" si="30"/>
        <v>100</v>
      </c>
      <c r="M696" s="48">
        <f t="shared" si="32"/>
        <v>149000</v>
      </c>
      <c r="N696" s="48">
        <v>1490</v>
      </c>
      <c r="O696" s="50">
        <v>9</v>
      </c>
      <c r="P696" s="50">
        <v>9</v>
      </c>
      <c r="Q696" s="51">
        <f t="shared" si="31"/>
        <v>175820</v>
      </c>
      <c r="R696" s="48"/>
      <c r="S696" s="24" t="s">
        <v>803</v>
      </c>
      <c r="T696" s="43">
        <v>45976</v>
      </c>
      <c r="U696" s="24" t="s">
        <v>452</v>
      </c>
      <c r="V696" s="46" t="s">
        <v>33</v>
      </c>
      <c r="W696" s="54"/>
    </row>
    <row r="697" spans="1:23" s="27" customFormat="1" ht="34.950000000000003" customHeight="1" x14ac:dyDescent="0.25">
      <c r="A697" s="12">
        <f>SUBTOTAL(3,$B$2:B697)</f>
        <v>696</v>
      </c>
      <c r="B697" s="42">
        <v>346</v>
      </c>
      <c r="C697" s="43">
        <v>45978</v>
      </c>
      <c r="D697" s="42">
        <v>0</v>
      </c>
      <c r="E697" s="43">
        <v>0</v>
      </c>
      <c r="F697" s="45" t="s">
        <v>799</v>
      </c>
      <c r="G697" s="71" t="s">
        <v>800</v>
      </c>
      <c r="H697" s="76" t="s">
        <v>16</v>
      </c>
      <c r="I697" s="46"/>
      <c r="J697" s="43"/>
      <c r="K697" s="73">
        <v>400</v>
      </c>
      <c r="L697" s="62">
        <f t="shared" si="30"/>
        <v>400</v>
      </c>
      <c r="M697" s="48">
        <f t="shared" si="32"/>
        <v>162000</v>
      </c>
      <c r="N697" s="48">
        <v>405</v>
      </c>
      <c r="O697" s="50"/>
      <c r="P697" s="50"/>
      <c r="Q697" s="51">
        <f t="shared" si="31"/>
        <v>162000</v>
      </c>
      <c r="R697" s="48"/>
      <c r="S697" s="24">
        <v>32511170393</v>
      </c>
      <c r="T697" s="43">
        <v>45978</v>
      </c>
      <c r="U697" s="24" t="s">
        <v>296</v>
      </c>
      <c r="V697" s="46" t="s">
        <v>25</v>
      </c>
      <c r="W697" s="54"/>
    </row>
    <row r="698" spans="1:23" s="27" customFormat="1" ht="34.950000000000003" customHeight="1" x14ac:dyDescent="0.25">
      <c r="A698" s="12">
        <f>SUBTOTAL(3,$B$2:B698)</f>
        <v>697</v>
      </c>
      <c r="B698" s="42">
        <v>347</v>
      </c>
      <c r="C698" s="43">
        <v>45980</v>
      </c>
      <c r="D698" s="42">
        <v>82511240001</v>
      </c>
      <c r="E698" s="44">
        <v>45985</v>
      </c>
      <c r="F698" s="45" t="s">
        <v>445</v>
      </c>
      <c r="G698" s="71" t="s">
        <v>450</v>
      </c>
      <c r="H698" s="76" t="s">
        <v>16</v>
      </c>
      <c r="I698" s="46" t="s">
        <v>802</v>
      </c>
      <c r="J698" s="43">
        <v>45978</v>
      </c>
      <c r="K698" s="73">
        <v>100</v>
      </c>
      <c r="L698" s="49">
        <f t="shared" si="30"/>
        <v>100</v>
      </c>
      <c r="M698" s="48">
        <f t="shared" si="32"/>
        <v>160000</v>
      </c>
      <c r="N698" s="48">
        <v>1600</v>
      </c>
      <c r="O698" s="50">
        <v>9</v>
      </c>
      <c r="P698" s="50">
        <v>9</v>
      </c>
      <c r="Q698" s="51">
        <f t="shared" si="31"/>
        <v>188800</v>
      </c>
      <c r="R698" s="48"/>
      <c r="S698" s="24" t="s">
        <v>804</v>
      </c>
      <c r="T698" s="43">
        <v>45980</v>
      </c>
      <c r="U698" s="24" t="s">
        <v>469</v>
      </c>
      <c r="V698" s="46" t="s">
        <v>33</v>
      </c>
      <c r="W698" s="54"/>
    </row>
    <row r="699" spans="1:23" s="27" customFormat="1" ht="34.950000000000003" customHeight="1" x14ac:dyDescent="0.35">
      <c r="A699" s="12">
        <f>SUBTOTAL(3,$B$2:B699)</f>
        <v>698</v>
      </c>
      <c r="B699" s="42">
        <v>348</v>
      </c>
      <c r="C699" s="43">
        <v>45980</v>
      </c>
      <c r="D699" s="42">
        <v>82512190001</v>
      </c>
      <c r="E699" s="43">
        <v>46010</v>
      </c>
      <c r="F699" s="45" t="s">
        <v>619</v>
      </c>
      <c r="G699" s="53" t="s">
        <v>805</v>
      </c>
      <c r="H699" s="72" t="s">
        <v>16</v>
      </c>
      <c r="I699" s="46"/>
      <c r="J699" s="43"/>
      <c r="K699" s="73">
        <v>30</v>
      </c>
      <c r="L699" s="49">
        <f t="shared" si="30"/>
        <v>30</v>
      </c>
      <c r="M699" s="48">
        <f t="shared" si="32"/>
        <v>2400</v>
      </c>
      <c r="N699" s="48">
        <v>80</v>
      </c>
      <c r="O699" s="50">
        <v>9</v>
      </c>
      <c r="P699" s="50">
        <v>9</v>
      </c>
      <c r="Q699" s="51">
        <f t="shared" si="31"/>
        <v>2832</v>
      </c>
      <c r="R699" s="48"/>
      <c r="S699" s="24">
        <v>132</v>
      </c>
      <c r="T699" s="43">
        <v>45980</v>
      </c>
      <c r="U699" s="24" t="s">
        <v>638</v>
      </c>
      <c r="V699" s="46" t="s">
        <v>247</v>
      </c>
      <c r="W699" s="54"/>
    </row>
    <row r="700" spans="1:23" s="27" customFormat="1" ht="34.950000000000003" customHeight="1" x14ac:dyDescent="0.35">
      <c r="A700" s="12">
        <f>SUBTOTAL(3,$B$2:B700)</f>
        <v>699</v>
      </c>
      <c r="B700" s="42">
        <v>348</v>
      </c>
      <c r="C700" s="43">
        <v>45980</v>
      </c>
      <c r="D700" s="42">
        <v>82512190001</v>
      </c>
      <c r="E700" s="43">
        <v>46010</v>
      </c>
      <c r="F700" s="45" t="s">
        <v>619</v>
      </c>
      <c r="G700" s="53" t="s">
        <v>806</v>
      </c>
      <c r="H700" s="72" t="s">
        <v>16</v>
      </c>
      <c r="I700" s="46"/>
      <c r="J700" s="43"/>
      <c r="K700" s="73">
        <v>2</v>
      </c>
      <c r="L700" s="49">
        <f t="shared" si="30"/>
        <v>2</v>
      </c>
      <c r="M700" s="48">
        <f t="shared" si="32"/>
        <v>280</v>
      </c>
      <c r="N700" s="48">
        <v>140</v>
      </c>
      <c r="O700" s="50">
        <v>9</v>
      </c>
      <c r="P700" s="50">
        <v>9</v>
      </c>
      <c r="Q700" s="51">
        <f t="shared" si="31"/>
        <v>330.4</v>
      </c>
      <c r="R700" s="48"/>
      <c r="S700" s="24">
        <v>132</v>
      </c>
      <c r="T700" s="43">
        <v>45980</v>
      </c>
      <c r="U700" s="24" t="s">
        <v>638</v>
      </c>
      <c r="V700" s="46" t="s">
        <v>247</v>
      </c>
      <c r="W700" s="54"/>
    </row>
    <row r="701" spans="1:23" s="27" customFormat="1" ht="34.950000000000003" customHeight="1" x14ac:dyDescent="0.35">
      <c r="A701" s="12">
        <f>SUBTOTAL(3,$B$2:B701)</f>
        <v>700</v>
      </c>
      <c r="B701" s="42">
        <v>349</v>
      </c>
      <c r="C701" s="43">
        <v>45980</v>
      </c>
      <c r="D701" s="42">
        <v>82511240002</v>
      </c>
      <c r="E701" s="44">
        <v>45985</v>
      </c>
      <c r="F701" s="45" t="s">
        <v>445</v>
      </c>
      <c r="G701" s="53" t="s">
        <v>573</v>
      </c>
      <c r="H701" s="72" t="s">
        <v>16</v>
      </c>
      <c r="I701" s="46" t="s">
        <v>802</v>
      </c>
      <c r="J701" s="43">
        <v>45978</v>
      </c>
      <c r="K701" s="73">
        <v>300</v>
      </c>
      <c r="L701" s="49">
        <f t="shared" si="30"/>
        <v>300</v>
      </c>
      <c r="M701" s="48">
        <f t="shared" si="32"/>
        <v>118500</v>
      </c>
      <c r="N701" s="48">
        <v>395</v>
      </c>
      <c r="O701" s="50">
        <v>9</v>
      </c>
      <c r="P701" s="50">
        <v>9</v>
      </c>
      <c r="Q701" s="51">
        <f t="shared" si="31"/>
        <v>139830</v>
      </c>
      <c r="R701" s="48"/>
      <c r="S701" s="24" t="s">
        <v>804</v>
      </c>
      <c r="T701" s="43">
        <v>45980</v>
      </c>
      <c r="U701" s="24" t="s">
        <v>807</v>
      </c>
      <c r="V701" s="46" t="s">
        <v>33</v>
      </c>
      <c r="W701" s="54"/>
    </row>
    <row r="702" spans="1:23" s="27" customFormat="1" ht="34.950000000000003" customHeight="1" x14ac:dyDescent="0.25">
      <c r="A702" s="12">
        <f>SUBTOTAL(3,$B$2:B702)</f>
        <v>701</v>
      </c>
      <c r="B702" s="42">
        <v>350</v>
      </c>
      <c r="C702" s="43">
        <v>45983</v>
      </c>
      <c r="D702" s="42">
        <v>82511240004</v>
      </c>
      <c r="E702" s="44">
        <v>45985</v>
      </c>
      <c r="F702" s="45" t="s">
        <v>35</v>
      </c>
      <c r="G702" s="71" t="s">
        <v>485</v>
      </c>
      <c r="H702" s="76" t="s">
        <v>37</v>
      </c>
      <c r="I702" s="12" t="s">
        <v>38</v>
      </c>
      <c r="J702" s="43">
        <v>45733</v>
      </c>
      <c r="K702" s="55">
        <v>7</v>
      </c>
      <c r="L702" s="49">
        <f t="shared" si="30"/>
        <v>7</v>
      </c>
      <c r="M702" s="48">
        <f t="shared" si="32"/>
        <v>35296.589999999997</v>
      </c>
      <c r="N702" s="48">
        <v>5042.37</v>
      </c>
      <c r="O702" s="50">
        <v>9</v>
      </c>
      <c r="P702" s="50">
        <v>9</v>
      </c>
      <c r="Q702" s="51">
        <f t="shared" si="31"/>
        <v>41649.97619999999</v>
      </c>
      <c r="R702" s="48"/>
      <c r="S702" s="24" t="s">
        <v>808</v>
      </c>
      <c r="T702" s="43">
        <v>45983</v>
      </c>
      <c r="U702" s="24" t="s">
        <v>40</v>
      </c>
      <c r="V702" s="46" t="s">
        <v>33</v>
      </c>
      <c r="W702" s="54"/>
    </row>
    <row r="703" spans="1:23" s="27" customFormat="1" ht="34.950000000000003" customHeight="1" x14ac:dyDescent="0.25">
      <c r="A703" s="12">
        <f>SUBTOTAL(3,$B$2:B703)</f>
        <v>702</v>
      </c>
      <c r="B703" s="42">
        <v>351</v>
      </c>
      <c r="C703" s="43">
        <v>45983</v>
      </c>
      <c r="D703" s="42">
        <v>82511240005</v>
      </c>
      <c r="E703" s="44">
        <v>45985</v>
      </c>
      <c r="F703" s="45" t="s">
        <v>35</v>
      </c>
      <c r="G703" s="71" t="s">
        <v>485</v>
      </c>
      <c r="H703" s="76" t="s">
        <v>37</v>
      </c>
      <c r="I703" s="12" t="s">
        <v>38</v>
      </c>
      <c r="J703" s="43">
        <v>45733</v>
      </c>
      <c r="K703" s="55">
        <v>7</v>
      </c>
      <c r="L703" s="49">
        <f t="shared" si="30"/>
        <v>7</v>
      </c>
      <c r="M703" s="48">
        <f t="shared" si="32"/>
        <v>35296.589999999997</v>
      </c>
      <c r="N703" s="48">
        <v>5042.37</v>
      </c>
      <c r="O703" s="50">
        <v>9</v>
      </c>
      <c r="P703" s="50">
        <v>9</v>
      </c>
      <c r="Q703" s="51">
        <f t="shared" si="31"/>
        <v>41649.97619999999</v>
      </c>
      <c r="R703" s="48"/>
      <c r="S703" s="24" t="s">
        <v>809</v>
      </c>
      <c r="T703" s="43">
        <v>45983</v>
      </c>
      <c r="U703" s="24" t="s">
        <v>492</v>
      </c>
      <c r="V703" s="46" t="s">
        <v>33</v>
      </c>
      <c r="W703" s="54"/>
    </row>
    <row r="704" spans="1:23" s="27" customFormat="1" ht="34.950000000000003" customHeight="1" x14ac:dyDescent="0.25">
      <c r="A704" s="12">
        <f>SUBTOTAL(3,$B$2:B704)</f>
        <v>703</v>
      </c>
      <c r="B704" s="42">
        <v>352</v>
      </c>
      <c r="C704" s="43">
        <v>45983</v>
      </c>
      <c r="D704" s="42">
        <v>82511240009</v>
      </c>
      <c r="E704" s="44">
        <v>45985</v>
      </c>
      <c r="F704" s="45" t="s">
        <v>35</v>
      </c>
      <c r="G704" s="71" t="s">
        <v>485</v>
      </c>
      <c r="H704" s="76" t="s">
        <v>37</v>
      </c>
      <c r="I704" s="12" t="s">
        <v>38</v>
      </c>
      <c r="J704" s="43">
        <v>45733</v>
      </c>
      <c r="K704" s="55">
        <v>7</v>
      </c>
      <c r="L704" s="49">
        <f t="shared" si="30"/>
        <v>7</v>
      </c>
      <c r="M704" s="48">
        <f t="shared" si="32"/>
        <v>35296.589999999997</v>
      </c>
      <c r="N704" s="48">
        <v>5042.37</v>
      </c>
      <c r="O704" s="50">
        <v>9</v>
      </c>
      <c r="P704" s="50">
        <v>9</v>
      </c>
      <c r="Q704" s="51">
        <f t="shared" si="31"/>
        <v>41649.97619999999</v>
      </c>
      <c r="R704" s="48"/>
      <c r="S704" s="24" t="s">
        <v>810</v>
      </c>
      <c r="T704" s="43">
        <v>45983</v>
      </c>
      <c r="U704" s="24" t="s">
        <v>99</v>
      </c>
      <c r="V704" s="46" t="s">
        <v>33</v>
      </c>
      <c r="W704" s="54"/>
    </row>
    <row r="705" spans="1:23" s="27" customFormat="1" ht="34.950000000000003" customHeight="1" x14ac:dyDescent="0.25">
      <c r="A705" s="12">
        <f>SUBTOTAL(3,$B$2:B705)</f>
        <v>704</v>
      </c>
      <c r="B705" s="42">
        <v>353</v>
      </c>
      <c r="C705" s="43">
        <v>45983</v>
      </c>
      <c r="D705" s="42">
        <v>82511240006</v>
      </c>
      <c r="E705" s="44">
        <v>45985</v>
      </c>
      <c r="F705" s="45" t="s">
        <v>35</v>
      </c>
      <c r="G705" s="71" t="s">
        <v>485</v>
      </c>
      <c r="H705" s="76" t="s">
        <v>37</v>
      </c>
      <c r="I705" s="12" t="s">
        <v>38</v>
      </c>
      <c r="J705" s="43">
        <v>45733</v>
      </c>
      <c r="K705" s="55">
        <v>7</v>
      </c>
      <c r="L705" s="49">
        <f t="shared" si="30"/>
        <v>7</v>
      </c>
      <c r="M705" s="48">
        <f t="shared" si="32"/>
        <v>35296.589999999997</v>
      </c>
      <c r="N705" s="48">
        <v>5042.37</v>
      </c>
      <c r="O705" s="50">
        <v>9</v>
      </c>
      <c r="P705" s="50">
        <v>9</v>
      </c>
      <c r="Q705" s="51">
        <f t="shared" si="31"/>
        <v>41649.97619999999</v>
      </c>
      <c r="R705" s="48"/>
      <c r="S705" s="24" t="s">
        <v>811</v>
      </c>
      <c r="T705" s="43">
        <v>45983</v>
      </c>
      <c r="U705" s="24" t="s">
        <v>492</v>
      </c>
      <c r="V705" s="46" t="s">
        <v>33</v>
      </c>
      <c r="W705" s="54"/>
    </row>
    <row r="706" spans="1:23" s="27" customFormat="1" ht="34.950000000000003" customHeight="1" x14ac:dyDescent="0.25">
      <c r="A706" s="12">
        <f>SUBTOTAL(3,$B$2:B706)</f>
        <v>705</v>
      </c>
      <c r="B706" s="42">
        <v>354</v>
      </c>
      <c r="C706" s="43">
        <v>45983</v>
      </c>
      <c r="D706" s="42">
        <v>82511240007</v>
      </c>
      <c r="E706" s="44">
        <v>45985</v>
      </c>
      <c r="F706" s="45" t="s">
        <v>35</v>
      </c>
      <c r="G706" s="71" t="s">
        <v>485</v>
      </c>
      <c r="H706" s="76" t="s">
        <v>37</v>
      </c>
      <c r="I706" s="12" t="s">
        <v>38</v>
      </c>
      <c r="J706" s="43">
        <v>45733</v>
      </c>
      <c r="K706" s="112">
        <v>7</v>
      </c>
      <c r="L706" s="49">
        <f t="shared" ref="L706:L769" si="33">K706</f>
        <v>7</v>
      </c>
      <c r="M706" s="48">
        <f t="shared" si="32"/>
        <v>35296.589999999997</v>
      </c>
      <c r="N706" s="48">
        <v>5042.37</v>
      </c>
      <c r="O706" s="50">
        <v>9</v>
      </c>
      <c r="P706" s="50">
        <v>9</v>
      </c>
      <c r="Q706" s="51">
        <f t="shared" ref="Q706:Q769" si="34">IF(M706="","",M706*(1+(O706+P706)/100))</f>
        <v>41649.97619999999</v>
      </c>
      <c r="R706" s="48"/>
      <c r="S706" s="24" t="s">
        <v>812</v>
      </c>
      <c r="T706" s="43">
        <v>45983</v>
      </c>
      <c r="U706" s="24" t="s">
        <v>99</v>
      </c>
      <c r="V706" s="46" t="s">
        <v>33</v>
      </c>
      <c r="W706" s="54"/>
    </row>
    <row r="707" spans="1:23" s="27" customFormat="1" ht="34.950000000000003" customHeight="1" x14ac:dyDescent="0.25">
      <c r="A707" s="12">
        <f>SUBTOTAL(3,$B$2:B707)</f>
        <v>706</v>
      </c>
      <c r="B707" s="42">
        <v>355</v>
      </c>
      <c r="C707" s="43">
        <v>45983</v>
      </c>
      <c r="D707" s="42">
        <v>82511240008</v>
      </c>
      <c r="E707" s="44">
        <v>45985</v>
      </c>
      <c r="F707" s="45" t="s">
        <v>35</v>
      </c>
      <c r="G707" s="71" t="s">
        <v>485</v>
      </c>
      <c r="H707" s="76" t="s">
        <v>37</v>
      </c>
      <c r="I707" s="12" t="s">
        <v>38</v>
      </c>
      <c r="J707" s="43">
        <v>45733</v>
      </c>
      <c r="K707" s="55">
        <v>1</v>
      </c>
      <c r="L707" s="49">
        <f t="shared" si="33"/>
        <v>1</v>
      </c>
      <c r="M707" s="48">
        <f t="shared" si="32"/>
        <v>5042.37</v>
      </c>
      <c r="N707" s="48">
        <v>5042.37</v>
      </c>
      <c r="O707" s="50">
        <v>9</v>
      </c>
      <c r="P707" s="50">
        <v>9</v>
      </c>
      <c r="Q707" s="51">
        <f t="shared" si="34"/>
        <v>5949.9965999999995</v>
      </c>
      <c r="R707" s="48"/>
      <c r="S707" s="24" t="s">
        <v>813</v>
      </c>
      <c r="T707" s="43">
        <v>45983</v>
      </c>
      <c r="U707" s="24" t="s">
        <v>101</v>
      </c>
      <c r="V707" s="46" t="s">
        <v>33</v>
      </c>
      <c r="W707" s="54"/>
    </row>
    <row r="708" spans="1:23" s="27" customFormat="1" ht="34.950000000000003" customHeight="1" x14ac:dyDescent="0.25">
      <c r="A708" s="12">
        <f>SUBTOTAL(3,$B$2:B708)</f>
        <v>707</v>
      </c>
      <c r="B708" s="42">
        <v>356</v>
      </c>
      <c r="C708" s="43">
        <v>45983</v>
      </c>
      <c r="D708" s="42">
        <v>0</v>
      </c>
      <c r="E708" s="43">
        <v>0</v>
      </c>
      <c r="F708" s="45" t="s">
        <v>799</v>
      </c>
      <c r="G708" s="71" t="s">
        <v>800</v>
      </c>
      <c r="H708" s="76" t="s">
        <v>16</v>
      </c>
      <c r="I708" s="46"/>
      <c r="J708" s="43"/>
      <c r="K708" s="73">
        <v>400</v>
      </c>
      <c r="L708" s="62">
        <f t="shared" si="33"/>
        <v>400</v>
      </c>
      <c r="M708" s="48">
        <f t="shared" ref="M708:M771" si="35">L708*N708</f>
        <v>162000</v>
      </c>
      <c r="N708" s="48">
        <v>405</v>
      </c>
      <c r="O708" s="50"/>
      <c r="P708" s="50"/>
      <c r="Q708" s="51">
        <f t="shared" si="34"/>
        <v>162000</v>
      </c>
      <c r="R708" s="48"/>
      <c r="S708" s="24">
        <v>32511210284</v>
      </c>
      <c r="T708" s="43">
        <v>45982</v>
      </c>
      <c r="U708" s="24" t="s">
        <v>814</v>
      </c>
      <c r="V708" s="46" t="s">
        <v>25</v>
      </c>
      <c r="W708" s="54"/>
    </row>
    <row r="709" spans="1:23" s="27" customFormat="1" ht="34.950000000000003" customHeight="1" x14ac:dyDescent="0.25">
      <c r="A709" s="12">
        <f>SUBTOTAL(3,$B$2:B709)</f>
        <v>708</v>
      </c>
      <c r="B709" s="42">
        <v>357</v>
      </c>
      <c r="C709" s="43">
        <v>45985</v>
      </c>
      <c r="D709" s="42">
        <v>82511240003</v>
      </c>
      <c r="E709" s="44">
        <v>45985</v>
      </c>
      <c r="F709" s="45" t="s">
        <v>445</v>
      </c>
      <c r="G709" s="71" t="s">
        <v>446</v>
      </c>
      <c r="H709" s="76" t="s">
        <v>16</v>
      </c>
      <c r="I709" s="46" t="s">
        <v>802</v>
      </c>
      <c r="J709" s="43">
        <v>45978</v>
      </c>
      <c r="K709" s="113">
        <v>464</v>
      </c>
      <c r="L709" s="49">
        <f t="shared" si="33"/>
        <v>464</v>
      </c>
      <c r="M709" s="48">
        <f t="shared" si="35"/>
        <v>81200</v>
      </c>
      <c r="N709" s="48">
        <v>175</v>
      </c>
      <c r="O709" s="50">
        <v>9</v>
      </c>
      <c r="P709" s="50">
        <v>9</v>
      </c>
      <c r="Q709" s="51">
        <f t="shared" si="34"/>
        <v>95816</v>
      </c>
      <c r="R709" s="48"/>
      <c r="S709" s="24" t="s">
        <v>815</v>
      </c>
      <c r="T709" s="43">
        <v>45985</v>
      </c>
      <c r="U709" s="24" t="s">
        <v>816</v>
      </c>
      <c r="V709" s="46" t="s">
        <v>33</v>
      </c>
      <c r="W709" s="54"/>
    </row>
    <row r="710" spans="1:23" s="27" customFormat="1" ht="34.950000000000003" customHeight="1" x14ac:dyDescent="0.25">
      <c r="A710" s="12">
        <f>SUBTOTAL(3,$B$2:B710)</f>
        <v>709</v>
      </c>
      <c r="B710" s="42">
        <v>358</v>
      </c>
      <c r="C710" s="43">
        <v>45987</v>
      </c>
      <c r="D710" s="42">
        <v>0</v>
      </c>
      <c r="E710" s="43">
        <v>0</v>
      </c>
      <c r="F710" s="45" t="s">
        <v>799</v>
      </c>
      <c r="G710" s="71" t="s">
        <v>817</v>
      </c>
      <c r="H710" s="76" t="s">
        <v>16</v>
      </c>
      <c r="I710" s="46"/>
      <c r="J710" s="43"/>
      <c r="K710" s="73">
        <v>60</v>
      </c>
      <c r="L710" s="62">
        <f t="shared" si="33"/>
        <v>60</v>
      </c>
      <c r="M710" s="48">
        <f t="shared" si="35"/>
        <v>98190</v>
      </c>
      <c r="N710" s="48">
        <v>1636.5</v>
      </c>
      <c r="O710" s="50"/>
      <c r="P710" s="50"/>
      <c r="Q710" s="51">
        <f t="shared" si="34"/>
        <v>98190</v>
      </c>
      <c r="R710" s="48"/>
      <c r="S710" s="24">
        <v>32511260588</v>
      </c>
      <c r="T710" s="43">
        <v>45987</v>
      </c>
      <c r="U710" s="24" t="s">
        <v>296</v>
      </c>
      <c r="V710" s="46" t="s">
        <v>25</v>
      </c>
      <c r="W710" s="54"/>
    </row>
    <row r="711" spans="1:23" s="27" customFormat="1" ht="34.950000000000003" customHeight="1" x14ac:dyDescent="0.25">
      <c r="A711" s="12">
        <f>SUBTOTAL(3,$B$2:B711)</f>
        <v>710</v>
      </c>
      <c r="B711" s="42">
        <v>358</v>
      </c>
      <c r="C711" s="43">
        <v>45987</v>
      </c>
      <c r="D711" s="42">
        <v>0</v>
      </c>
      <c r="E711" s="43">
        <v>0</v>
      </c>
      <c r="F711" s="79" t="s">
        <v>799</v>
      </c>
      <c r="G711" s="45" t="s">
        <v>818</v>
      </c>
      <c r="H711" s="46" t="s">
        <v>16</v>
      </c>
      <c r="I711" s="12"/>
      <c r="J711" s="43"/>
      <c r="K711" s="80">
        <v>40</v>
      </c>
      <c r="L711" s="62">
        <f t="shared" si="33"/>
        <v>40</v>
      </c>
      <c r="M711" s="48">
        <f t="shared" si="35"/>
        <v>49094.799999999996</v>
      </c>
      <c r="N711" s="48">
        <v>1227.3699999999999</v>
      </c>
      <c r="O711" s="50"/>
      <c r="P711" s="50"/>
      <c r="Q711" s="51">
        <f t="shared" si="34"/>
        <v>49094.799999999996</v>
      </c>
      <c r="R711" s="48"/>
      <c r="S711" s="24">
        <v>32511260588</v>
      </c>
      <c r="T711" s="43">
        <v>45987</v>
      </c>
      <c r="U711" s="24" t="s">
        <v>296</v>
      </c>
      <c r="V711" s="46" t="s">
        <v>25</v>
      </c>
      <c r="W711" s="54"/>
    </row>
    <row r="712" spans="1:23" s="27" customFormat="1" ht="34.950000000000003" customHeight="1" x14ac:dyDescent="0.25">
      <c r="A712" s="12">
        <f>SUBTOTAL(3,$B$2:B712)</f>
        <v>711</v>
      </c>
      <c r="B712" s="42">
        <v>359</v>
      </c>
      <c r="C712" s="43">
        <v>45989</v>
      </c>
      <c r="D712" s="42">
        <v>82511290001</v>
      </c>
      <c r="E712" s="44">
        <v>45990</v>
      </c>
      <c r="F712" s="79" t="s">
        <v>445</v>
      </c>
      <c r="G712" s="45" t="s">
        <v>446</v>
      </c>
      <c r="H712" s="46" t="s">
        <v>16</v>
      </c>
      <c r="I712" s="46" t="s">
        <v>802</v>
      </c>
      <c r="J712" s="43">
        <v>45978</v>
      </c>
      <c r="K712" s="114">
        <v>600</v>
      </c>
      <c r="L712" s="49">
        <f t="shared" si="33"/>
        <v>600</v>
      </c>
      <c r="M712" s="48">
        <f t="shared" si="35"/>
        <v>105000</v>
      </c>
      <c r="N712" s="48">
        <v>175</v>
      </c>
      <c r="O712" s="50">
        <v>9</v>
      </c>
      <c r="P712" s="50">
        <v>9</v>
      </c>
      <c r="Q712" s="51">
        <f t="shared" si="34"/>
        <v>123900</v>
      </c>
      <c r="R712" s="48"/>
      <c r="S712" s="24" t="s">
        <v>819</v>
      </c>
      <c r="T712" s="43">
        <v>45989</v>
      </c>
      <c r="U712" s="24" t="s">
        <v>449</v>
      </c>
      <c r="V712" s="46" t="s">
        <v>33</v>
      </c>
      <c r="W712" s="54"/>
    </row>
    <row r="713" spans="1:23" s="27" customFormat="1" ht="34.950000000000003" customHeight="1" x14ac:dyDescent="0.25">
      <c r="A713" s="12">
        <f>SUBTOTAL(3,$B$2:B713)</f>
        <v>712</v>
      </c>
      <c r="B713" s="42">
        <v>360</v>
      </c>
      <c r="C713" s="43">
        <v>45989</v>
      </c>
      <c r="D713" s="42">
        <v>82511290002</v>
      </c>
      <c r="E713" s="44">
        <v>45990</v>
      </c>
      <c r="F713" s="79" t="s">
        <v>445</v>
      </c>
      <c r="G713" s="45" t="s">
        <v>450</v>
      </c>
      <c r="H713" s="46" t="s">
        <v>16</v>
      </c>
      <c r="I713" s="46" t="s">
        <v>802</v>
      </c>
      <c r="J713" s="43">
        <v>45978</v>
      </c>
      <c r="K713" s="80">
        <v>100</v>
      </c>
      <c r="L713" s="49">
        <f t="shared" si="33"/>
        <v>100</v>
      </c>
      <c r="M713" s="48">
        <f t="shared" si="35"/>
        <v>160000</v>
      </c>
      <c r="N713" s="48">
        <v>1600</v>
      </c>
      <c r="O713" s="50">
        <v>9</v>
      </c>
      <c r="P713" s="50">
        <v>9</v>
      </c>
      <c r="Q713" s="51">
        <f t="shared" si="34"/>
        <v>188800</v>
      </c>
      <c r="R713" s="48"/>
      <c r="S713" s="24" t="s">
        <v>820</v>
      </c>
      <c r="T713" s="43">
        <v>45989</v>
      </c>
      <c r="U713" s="24" t="s">
        <v>807</v>
      </c>
      <c r="V713" s="46" t="s">
        <v>33</v>
      </c>
      <c r="W713" s="54"/>
    </row>
    <row r="714" spans="1:23" s="27" customFormat="1" ht="34.950000000000003" customHeight="1" x14ac:dyDescent="0.25">
      <c r="A714" s="12">
        <f>SUBTOTAL(3,$B$2:B714)</f>
        <v>713</v>
      </c>
      <c r="B714" s="42">
        <v>361</v>
      </c>
      <c r="C714" s="43">
        <v>45993</v>
      </c>
      <c r="D714" s="42">
        <v>0</v>
      </c>
      <c r="E714" s="43">
        <v>0</v>
      </c>
      <c r="F714" s="45" t="s">
        <v>785</v>
      </c>
      <c r="G714" s="52" t="s">
        <v>786</v>
      </c>
      <c r="H714" s="46" t="s">
        <v>16</v>
      </c>
      <c r="I714" s="46"/>
      <c r="J714" s="43"/>
      <c r="K714" s="73">
        <v>350</v>
      </c>
      <c r="L714" s="62">
        <f t="shared" si="33"/>
        <v>350</v>
      </c>
      <c r="M714" s="48">
        <f t="shared" si="35"/>
        <v>0</v>
      </c>
      <c r="N714" s="48">
        <v>0</v>
      </c>
      <c r="O714" s="50"/>
      <c r="P714" s="50"/>
      <c r="Q714" s="51">
        <f t="shared" si="34"/>
        <v>0</v>
      </c>
      <c r="R714" s="48"/>
      <c r="S714" s="24" t="s">
        <v>821</v>
      </c>
      <c r="T714" s="43">
        <v>45993</v>
      </c>
      <c r="U714" s="24" t="s">
        <v>296</v>
      </c>
      <c r="V714" s="46" t="s">
        <v>788</v>
      </c>
      <c r="W714" s="142"/>
    </row>
    <row r="715" spans="1:23" s="27" customFormat="1" ht="34.950000000000003" customHeight="1" x14ac:dyDescent="0.25">
      <c r="A715" s="12">
        <f>SUBTOTAL(3,$B$2:B715)</f>
        <v>714</v>
      </c>
      <c r="B715" s="42">
        <v>361</v>
      </c>
      <c r="C715" s="43">
        <v>45993</v>
      </c>
      <c r="D715" s="42">
        <v>0</v>
      </c>
      <c r="E715" s="43">
        <v>0</v>
      </c>
      <c r="F715" s="45" t="s">
        <v>785</v>
      </c>
      <c r="G715" s="71" t="s">
        <v>789</v>
      </c>
      <c r="H715" s="76" t="s">
        <v>16</v>
      </c>
      <c r="I715" s="46"/>
      <c r="J715" s="43"/>
      <c r="K715" s="80">
        <v>120</v>
      </c>
      <c r="L715" s="62">
        <f t="shared" si="33"/>
        <v>120</v>
      </c>
      <c r="M715" s="48">
        <f t="shared" si="35"/>
        <v>0</v>
      </c>
      <c r="N715" s="48">
        <v>0</v>
      </c>
      <c r="O715" s="50"/>
      <c r="P715" s="50"/>
      <c r="Q715" s="51">
        <f t="shared" si="34"/>
        <v>0</v>
      </c>
      <c r="R715" s="48"/>
      <c r="S715" s="24" t="s">
        <v>821</v>
      </c>
      <c r="T715" s="43">
        <v>45993</v>
      </c>
      <c r="U715" s="24" t="s">
        <v>296</v>
      </c>
      <c r="V715" s="46" t="s">
        <v>788</v>
      </c>
      <c r="W715" s="142"/>
    </row>
    <row r="716" spans="1:23" s="27" customFormat="1" ht="34.950000000000003" customHeight="1" x14ac:dyDescent="0.25">
      <c r="A716" s="12">
        <f>SUBTOTAL(3,$B$2:B716)</f>
        <v>715</v>
      </c>
      <c r="B716" s="42">
        <v>362</v>
      </c>
      <c r="C716" s="43">
        <v>45993</v>
      </c>
      <c r="D716" s="42">
        <v>0</v>
      </c>
      <c r="E716" s="43">
        <v>0</v>
      </c>
      <c r="F716" s="45" t="s">
        <v>785</v>
      </c>
      <c r="G716" s="71" t="s">
        <v>789</v>
      </c>
      <c r="H716" s="76" t="s">
        <v>16</v>
      </c>
      <c r="I716" s="46"/>
      <c r="J716" s="43"/>
      <c r="K716" s="80">
        <v>80</v>
      </c>
      <c r="L716" s="62">
        <f t="shared" si="33"/>
        <v>80</v>
      </c>
      <c r="M716" s="48">
        <f t="shared" si="35"/>
        <v>0</v>
      </c>
      <c r="N716" s="48">
        <v>0</v>
      </c>
      <c r="O716" s="50"/>
      <c r="P716" s="50"/>
      <c r="Q716" s="51">
        <f t="shared" si="34"/>
        <v>0</v>
      </c>
      <c r="R716" s="48"/>
      <c r="S716" s="24" t="s">
        <v>822</v>
      </c>
      <c r="T716" s="43">
        <v>45993</v>
      </c>
      <c r="U716" s="24" t="s">
        <v>296</v>
      </c>
      <c r="V716" s="46" t="s">
        <v>788</v>
      </c>
      <c r="W716" s="142"/>
    </row>
    <row r="717" spans="1:23" s="27" customFormat="1" ht="34.950000000000003" customHeight="1" x14ac:dyDescent="0.25">
      <c r="A717" s="12">
        <f>SUBTOTAL(3,$B$2:B717)</f>
        <v>716</v>
      </c>
      <c r="B717" s="42">
        <v>362</v>
      </c>
      <c r="C717" s="43">
        <v>45993</v>
      </c>
      <c r="D717" s="42">
        <v>0</v>
      </c>
      <c r="E717" s="43">
        <v>0</v>
      </c>
      <c r="F717" s="79" t="s">
        <v>785</v>
      </c>
      <c r="G717" s="45" t="s">
        <v>823</v>
      </c>
      <c r="H717" s="46" t="s">
        <v>16</v>
      </c>
      <c r="I717" s="12"/>
      <c r="J717" s="43"/>
      <c r="K717" s="80">
        <v>300</v>
      </c>
      <c r="L717" s="62">
        <f t="shared" si="33"/>
        <v>300</v>
      </c>
      <c r="M717" s="48">
        <f t="shared" si="35"/>
        <v>0</v>
      </c>
      <c r="N717" s="48"/>
      <c r="O717" s="50"/>
      <c r="P717" s="50"/>
      <c r="Q717" s="51">
        <f t="shared" si="34"/>
        <v>0</v>
      </c>
      <c r="R717" s="48"/>
      <c r="S717" s="24" t="s">
        <v>822</v>
      </c>
      <c r="T717" s="43">
        <v>45993</v>
      </c>
      <c r="U717" s="24" t="s">
        <v>296</v>
      </c>
      <c r="V717" s="46" t="s">
        <v>788</v>
      </c>
      <c r="W717" s="54"/>
    </row>
    <row r="718" spans="1:23" s="27" customFormat="1" ht="34.950000000000003" customHeight="1" x14ac:dyDescent="0.25">
      <c r="A718" s="12">
        <f>SUBTOTAL(3,$B$2:B718)</f>
        <v>717</v>
      </c>
      <c r="B718" s="42">
        <v>362</v>
      </c>
      <c r="C718" s="43">
        <v>45993</v>
      </c>
      <c r="D718" s="42">
        <v>0</v>
      </c>
      <c r="E718" s="43">
        <v>0</v>
      </c>
      <c r="F718" s="79" t="s">
        <v>785</v>
      </c>
      <c r="G718" s="45" t="s">
        <v>480</v>
      </c>
      <c r="H718" s="46" t="s">
        <v>16</v>
      </c>
      <c r="I718" s="12"/>
      <c r="J718" s="43"/>
      <c r="K718" s="80">
        <v>300</v>
      </c>
      <c r="L718" s="62">
        <f t="shared" si="33"/>
        <v>300</v>
      </c>
      <c r="M718" s="48">
        <f t="shared" si="35"/>
        <v>0</v>
      </c>
      <c r="N718" s="48"/>
      <c r="O718" s="50"/>
      <c r="P718" s="50"/>
      <c r="Q718" s="51">
        <f t="shared" si="34"/>
        <v>0</v>
      </c>
      <c r="R718" s="48"/>
      <c r="S718" s="24" t="s">
        <v>822</v>
      </c>
      <c r="T718" s="43">
        <v>45993</v>
      </c>
      <c r="U718" s="24" t="s">
        <v>296</v>
      </c>
      <c r="V718" s="46" t="s">
        <v>788</v>
      </c>
      <c r="W718" s="54"/>
    </row>
    <row r="719" spans="1:23" s="27" customFormat="1" ht="34.950000000000003" customHeight="1" x14ac:dyDescent="0.25">
      <c r="A719" s="12">
        <f>SUBTOTAL(3,$B$2:B719)</f>
        <v>718</v>
      </c>
      <c r="B719" s="42">
        <v>363</v>
      </c>
      <c r="C719" s="43">
        <v>45997</v>
      </c>
      <c r="D719" s="42">
        <v>82512090001</v>
      </c>
      <c r="E719" s="44">
        <v>46000</v>
      </c>
      <c r="F719" s="45" t="s">
        <v>445</v>
      </c>
      <c r="G719" s="52" t="s">
        <v>450</v>
      </c>
      <c r="H719" s="57" t="s">
        <v>16</v>
      </c>
      <c r="I719" s="46" t="s">
        <v>802</v>
      </c>
      <c r="J719" s="43">
        <v>45978</v>
      </c>
      <c r="K719" s="59">
        <v>100</v>
      </c>
      <c r="L719" s="49">
        <f t="shared" si="33"/>
        <v>100</v>
      </c>
      <c r="M719" s="48">
        <f t="shared" si="35"/>
        <v>160000</v>
      </c>
      <c r="N719" s="48">
        <v>1600</v>
      </c>
      <c r="O719" s="50">
        <v>9</v>
      </c>
      <c r="P719" s="50">
        <v>9</v>
      </c>
      <c r="Q719" s="51">
        <f t="shared" si="34"/>
        <v>188800</v>
      </c>
      <c r="R719" s="48"/>
      <c r="S719" s="24" t="s">
        <v>824</v>
      </c>
      <c r="T719" s="43">
        <v>45997</v>
      </c>
      <c r="U719" s="43" t="s">
        <v>825</v>
      </c>
      <c r="V719" s="46" t="s">
        <v>33</v>
      </c>
      <c r="W719" s="54"/>
    </row>
    <row r="720" spans="1:23" s="27" customFormat="1" ht="34.950000000000003" customHeight="1" x14ac:dyDescent="0.25">
      <c r="A720" s="12">
        <f>SUBTOTAL(3,$B$2:B720)</f>
        <v>719</v>
      </c>
      <c r="B720" s="42">
        <v>364</v>
      </c>
      <c r="C720" s="43">
        <v>45997</v>
      </c>
      <c r="D720" s="42">
        <v>82512090002</v>
      </c>
      <c r="E720" s="44">
        <v>46000</v>
      </c>
      <c r="F720" s="79" t="s">
        <v>35</v>
      </c>
      <c r="G720" s="45" t="s">
        <v>485</v>
      </c>
      <c r="H720" s="46" t="s">
        <v>37</v>
      </c>
      <c r="I720" s="12" t="s">
        <v>38</v>
      </c>
      <c r="J720" s="43">
        <v>45733</v>
      </c>
      <c r="K720" s="104">
        <v>7</v>
      </c>
      <c r="L720" s="49">
        <f t="shared" si="33"/>
        <v>7</v>
      </c>
      <c r="M720" s="48">
        <f t="shared" si="35"/>
        <v>35296.589999999997</v>
      </c>
      <c r="N720" s="48">
        <v>5042.37</v>
      </c>
      <c r="O720" s="50">
        <v>9</v>
      </c>
      <c r="P720" s="50">
        <v>9</v>
      </c>
      <c r="Q720" s="51">
        <f t="shared" si="34"/>
        <v>41649.97619999999</v>
      </c>
      <c r="R720" s="48"/>
      <c r="S720" s="24" t="s">
        <v>826</v>
      </c>
      <c r="T720" s="43">
        <v>45997</v>
      </c>
      <c r="U720" s="24" t="s">
        <v>97</v>
      </c>
      <c r="V720" s="46" t="s">
        <v>33</v>
      </c>
      <c r="W720" s="54"/>
    </row>
    <row r="721" spans="1:23" s="27" customFormat="1" ht="34.950000000000003" customHeight="1" x14ac:dyDescent="0.25">
      <c r="A721" s="12">
        <f>SUBTOTAL(3,$B$2:B721)</f>
        <v>720</v>
      </c>
      <c r="B721" s="42">
        <v>365</v>
      </c>
      <c r="C721" s="43">
        <v>45997</v>
      </c>
      <c r="D721" s="42">
        <v>82512090003</v>
      </c>
      <c r="E721" s="44">
        <v>46000</v>
      </c>
      <c r="F721" s="45" t="s">
        <v>35</v>
      </c>
      <c r="G721" s="52" t="s">
        <v>485</v>
      </c>
      <c r="H721" s="46" t="s">
        <v>37</v>
      </c>
      <c r="I721" s="12" t="s">
        <v>38</v>
      </c>
      <c r="J721" s="43">
        <v>45733</v>
      </c>
      <c r="K721" s="55">
        <v>7</v>
      </c>
      <c r="L721" s="49">
        <f t="shared" si="33"/>
        <v>7</v>
      </c>
      <c r="M721" s="48">
        <f t="shared" si="35"/>
        <v>35296.589999999997</v>
      </c>
      <c r="N721" s="115">
        <v>5042.37</v>
      </c>
      <c r="O721" s="50">
        <v>9</v>
      </c>
      <c r="P721" s="50">
        <v>9</v>
      </c>
      <c r="Q721" s="51">
        <f t="shared" si="34"/>
        <v>41649.97619999999</v>
      </c>
      <c r="R721" s="48"/>
      <c r="S721" s="64" t="s">
        <v>827</v>
      </c>
      <c r="T721" s="43">
        <v>45997</v>
      </c>
      <c r="U721" s="24" t="s">
        <v>101</v>
      </c>
      <c r="V721" s="46" t="s">
        <v>33</v>
      </c>
      <c r="W721" s="54"/>
    </row>
    <row r="722" spans="1:23" s="27" customFormat="1" ht="34.950000000000003" customHeight="1" x14ac:dyDescent="0.25">
      <c r="A722" s="12">
        <f>SUBTOTAL(3,$B$2:B722)</f>
        <v>721</v>
      </c>
      <c r="B722" s="42">
        <v>366</v>
      </c>
      <c r="C722" s="43">
        <v>45997</v>
      </c>
      <c r="D722" s="42">
        <v>82512090004</v>
      </c>
      <c r="E722" s="44">
        <v>46000</v>
      </c>
      <c r="F722" s="45" t="s">
        <v>35</v>
      </c>
      <c r="G722" s="52" t="s">
        <v>485</v>
      </c>
      <c r="H722" s="46" t="s">
        <v>37</v>
      </c>
      <c r="I722" s="12" t="s">
        <v>38</v>
      </c>
      <c r="J722" s="43">
        <v>45733</v>
      </c>
      <c r="K722" s="104">
        <v>4</v>
      </c>
      <c r="L722" s="49">
        <f t="shared" si="33"/>
        <v>4</v>
      </c>
      <c r="M722" s="48">
        <f t="shared" si="35"/>
        <v>20169.48</v>
      </c>
      <c r="N722" s="48">
        <v>5042.37</v>
      </c>
      <c r="O722" s="50">
        <v>9</v>
      </c>
      <c r="P722" s="50">
        <v>9</v>
      </c>
      <c r="Q722" s="51">
        <f t="shared" si="34"/>
        <v>23799.986399999998</v>
      </c>
      <c r="R722" s="48"/>
      <c r="S722" s="64" t="s">
        <v>828</v>
      </c>
      <c r="T722" s="43">
        <v>45997</v>
      </c>
      <c r="U722" s="24" t="s">
        <v>97</v>
      </c>
      <c r="V722" s="46" t="s">
        <v>33</v>
      </c>
      <c r="W722" s="54"/>
    </row>
    <row r="723" spans="1:23" s="27" customFormat="1" ht="34.950000000000003" customHeight="1" x14ac:dyDescent="0.25">
      <c r="A723" s="12">
        <f>SUBTOTAL(3,$B$2:B723)</f>
        <v>722</v>
      </c>
      <c r="B723" s="42">
        <v>367</v>
      </c>
      <c r="C723" s="43">
        <v>45997</v>
      </c>
      <c r="D723" s="42">
        <v>82512090005</v>
      </c>
      <c r="E723" s="44">
        <v>46000</v>
      </c>
      <c r="F723" s="45" t="s">
        <v>35</v>
      </c>
      <c r="G723" s="52" t="s">
        <v>36</v>
      </c>
      <c r="H723" s="46" t="s">
        <v>37</v>
      </c>
      <c r="I723" s="12" t="s">
        <v>38</v>
      </c>
      <c r="J723" s="43">
        <v>45733</v>
      </c>
      <c r="K723" s="104">
        <v>3.5</v>
      </c>
      <c r="L723" s="49">
        <f t="shared" si="33"/>
        <v>3.5</v>
      </c>
      <c r="M723" s="48">
        <f t="shared" si="35"/>
        <v>11567.779999999999</v>
      </c>
      <c r="N723" s="48">
        <v>3305.08</v>
      </c>
      <c r="O723" s="50">
        <v>9</v>
      </c>
      <c r="P723" s="50">
        <v>9</v>
      </c>
      <c r="Q723" s="51">
        <f t="shared" si="34"/>
        <v>13649.980399999999</v>
      </c>
      <c r="R723" s="48"/>
      <c r="S723" s="64" t="s">
        <v>829</v>
      </c>
      <c r="T723" s="43">
        <v>45997</v>
      </c>
      <c r="U723" s="24" t="s">
        <v>40</v>
      </c>
      <c r="V723" s="46" t="s">
        <v>33</v>
      </c>
      <c r="W723" s="54"/>
    </row>
    <row r="724" spans="1:23" s="27" customFormat="1" ht="34.950000000000003" customHeight="1" x14ac:dyDescent="0.25">
      <c r="A724" s="12">
        <f>SUBTOTAL(3,$B$2:B724)</f>
        <v>723</v>
      </c>
      <c r="B724" s="42">
        <v>368</v>
      </c>
      <c r="C724" s="43">
        <v>46004</v>
      </c>
      <c r="D724" s="42">
        <v>82512150001</v>
      </c>
      <c r="E724" s="44">
        <v>46006</v>
      </c>
      <c r="F724" s="45" t="s">
        <v>35</v>
      </c>
      <c r="G724" s="52" t="s">
        <v>485</v>
      </c>
      <c r="H724" s="46" t="s">
        <v>37</v>
      </c>
      <c r="I724" s="12" t="s">
        <v>38</v>
      </c>
      <c r="J724" s="43">
        <v>45733</v>
      </c>
      <c r="K724" s="104">
        <v>7</v>
      </c>
      <c r="L724" s="49">
        <f t="shared" si="33"/>
        <v>7</v>
      </c>
      <c r="M724" s="48">
        <f t="shared" si="35"/>
        <v>35296.589999999997</v>
      </c>
      <c r="N724" s="48">
        <v>5042.37</v>
      </c>
      <c r="O724" s="50">
        <v>9</v>
      </c>
      <c r="P724" s="50">
        <v>9</v>
      </c>
      <c r="Q724" s="51">
        <f t="shared" si="34"/>
        <v>41649.97619999999</v>
      </c>
      <c r="R724" s="48"/>
      <c r="S724" s="64" t="s">
        <v>830</v>
      </c>
      <c r="T724" s="43">
        <v>46004</v>
      </c>
      <c r="U724" s="24" t="s">
        <v>99</v>
      </c>
      <c r="V724" s="46" t="s">
        <v>33</v>
      </c>
      <c r="W724" s="54"/>
    </row>
    <row r="725" spans="1:23" s="27" customFormat="1" ht="34.950000000000003" customHeight="1" x14ac:dyDescent="0.25">
      <c r="A725" s="12">
        <f>SUBTOTAL(3,$B$2:B725)</f>
        <v>724</v>
      </c>
      <c r="B725" s="42">
        <v>369</v>
      </c>
      <c r="C725" s="43">
        <v>46004</v>
      </c>
      <c r="D725" s="42">
        <v>82512150002</v>
      </c>
      <c r="E725" s="44">
        <v>46006</v>
      </c>
      <c r="F725" s="45" t="s">
        <v>35</v>
      </c>
      <c r="G725" s="52" t="s">
        <v>485</v>
      </c>
      <c r="H725" s="46" t="s">
        <v>37</v>
      </c>
      <c r="I725" s="12" t="s">
        <v>38</v>
      </c>
      <c r="J725" s="43">
        <v>45733</v>
      </c>
      <c r="K725" s="104">
        <v>7</v>
      </c>
      <c r="L725" s="49">
        <f t="shared" si="33"/>
        <v>7</v>
      </c>
      <c r="M725" s="48">
        <f t="shared" si="35"/>
        <v>35296.589999999997</v>
      </c>
      <c r="N725" s="48">
        <v>5042.37</v>
      </c>
      <c r="O725" s="50">
        <v>9</v>
      </c>
      <c r="P725" s="50">
        <v>9</v>
      </c>
      <c r="Q725" s="51">
        <f t="shared" si="34"/>
        <v>41649.97619999999</v>
      </c>
      <c r="R725" s="48"/>
      <c r="S725" s="64" t="s">
        <v>831</v>
      </c>
      <c r="T725" s="43">
        <v>46004</v>
      </c>
      <c r="U725" s="24" t="s">
        <v>101</v>
      </c>
      <c r="V725" s="46" t="s">
        <v>33</v>
      </c>
      <c r="W725" s="54"/>
    </row>
    <row r="726" spans="1:23" s="27" customFormat="1" ht="34.950000000000003" customHeight="1" x14ac:dyDescent="0.25">
      <c r="A726" s="12">
        <f>SUBTOTAL(3,$B$2:B726)</f>
        <v>725</v>
      </c>
      <c r="B726" s="42">
        <v>370</v>
      </c>
      <c r="C726" s="43">
        <v>46004</v>
      </c>
      <c r="D726" s="42">
        <v>82512150004</v>
      </c>
      <c r="E726" s="44">
        <v>46006</v>
      </c>
      <c r="F726" s="45" t="s">
        <v>35</v>
      </c>
      <c r="G726" s="52" t="s">
        <v>36</v>
      </c>
      <c r="H726" s="46" t="s">
        <v>37</v>
      </c>
      <c r="I726" s="12" t="s">
        <v>38</v>
      </c>
      <c r="J726" s="43">
        <v>45733</v>
      </c>
      <c r="K726" s="104">
        <v>3</v>
      </c>
      <c r="L726" s="49">
        <f t="shared" si="33"/>
        <v>3</v>
      </c>
      <c r="M726" s="48">
        <f t="shared" si="35"/>
        <v>9915.24</v>
      </c>
      <c r="N726" s="48">
        <v>3305.08</v>
      </c>
      <c r="O726" s="50">
        <v>9</v>
      </c>
      <c r="P726" s="50">
        <v>9</v>
      </c>
      <c r="Q726" s="51">
        <f t="shared" si="34"/>
        <v>11699.983199999999</v>
      </c>
      <c r="R726" s="48"/>
      <c r="S726" s="64" t="s">
        <v>832</v>
      </c>
      <c r="T726" s="43">
        <v>46004</v>
      </c>
      <c r="U726" s="24" t="s">
        <v>97</v>
      </c>
      <c r="V726" s="46" t="s">
        <v>33</v>
      </c>
      <c r="W726" s="54"/>
    </row>
    <row r="727" spans="1:23" s="27" customFormat="1" ht="34.950000000000003" customHeight="1" x14ac:dyDescent="0.25">
      <c r="A727" s="12">
        <f>SUBTOTAL(3,$B$2:B727)</f>
        <v>726</v>
      </c>
      <c r="B727" s="42">
        <v>371</v>
      </c>
      <c r="C727" s="43">
        <v>46004</v>
      </c>
      <c r="D727" s="42">
        <v>82512150003</v>
      </c>
      <c r="E727" s="44">
        <v>46006</v>
      </c>
      <c r="F727" s="79" t="s">
        <v>35</v>
      </c>
      <c r="G727" s="45" t="s">
        <v>485</v>
      </c>
      <c r="H727" s="46" t="s">
        <v>37</v>
      </c>
      <c r="I727" s="12" t="s">
        <v>38</v>
      </c>
      <c r="J727" s="43">
        <v>45733</v>
      </c>
      <c r="K727" s="104">
        <v>2</v>
      </c>
      <c r="L727" s="49">
        <f t="shared" si="33"/>
        <v>2</v>
      </c>
      <c r="M727" s="48">
        <f t="shared" si="35"/>
        <v>10084.74</v>
      </c>
      <c r="N727" s="48">
        <v>5042.37</v>
      </c>
      <c r="O727" s="50">
        <v>9</v>
      </c>
      <c r="P727" s="50">
        <v>9</v>
      </c>
      <c r="Q727" s="51">
        <f t="shared" si="34"/>
        <v>11899.993199999999</v>
      </c>
      <c r="R727" s="48"/>
      <c r="S727" s="24" t="s">
        <v>833</v>
      </c>
      <c r="T727" s="43">
        <v>46004</v>
      </c>
      <c r="U727" s="24" t="s">
        <v>230</v>
      </c>
      <c r="V727" s="46" t="s">
        <v>33</v>
      </c>
      <c r="W727" s="54"/>
    </row>
    <row r="728" spans="1:23" s="27" customFormat="1" ht="34.950000000000003" customHeight="1" x14ac:dyDescent="0.25">
      <c r="A728" s="12">
        <f>SUBTOTAL(3,$B$2:B728)</f>
        <v>727</v>
      </c>
      <c r="B728" s="42">
        <v>372</v>
      </c>
      <c r="C728" s="43">
        <v>46004</v>
      </c>
      <c r="D728" s="42">
        <v>82512220001</v>
      </c>
      <c r="E728" s="44">
        <v>46013</v>
      </c>
      <c r="F728" s="79" t="s">
        <v>834</v>
      </c>
      <c r="G728" s="45" t="s">
        <v>835</v>
      </c>
      <c r="H728" s="46" t="s">
        <v>16</v>
      </c>
      <c r="I728" s="12" t="s">
        <v>836</v>
      </c>
      <c r="J728" s="43">
        <v>46003</v>
      </c>
      <c r="K728" s="80">
        <v>206</v>
      </c>
      <c r="L728" s="49">
        <f t="shared" si="33"/>
        <v>206</v>
      </c>
      <c r="M728" s="48">
        <f t="shared" si="35"/>
        <v>197115</v>
      </c>
      <c r="N728" s="48">
        <v>956.86893203883494</v>
      </c>
      <c r="O728" s="50">
        <v>9</v>
      </c>
      <c r="P728" s="50">
        <v>9</v>
      </c>
      <c r="Q728" s="51">
        <f t="shared" si="34"/>
        <v>232595.69999999998</v>
      </c>
      <c r="R728" s="48">
        <v>8850</v>
      </c>
      <c r="S728" s="24" t="s">
        <v>837</v>
      </c>
      <c r="T728" s="43">
        <v>46004</v>
      </c>
      <c r="U728" s="24" t="s">
        <v>838</v>
      </c>
      <c r="V728" s="46" t="s">
        <v>33</v>
      </c>
      <c r="W728" s="54"/>
    </row>
    <row r="729" spans="1:23" s="27" customFormat="1" ht="34.950000000000003" customHeight="1" x14ac:dyDescent="0.25">
      <c r="A729" s="12">
        <f>SUBTOTAL(3,$B$2:B729)</f>
        <v>728</v>
      </c>
      <c r="B729" s="42">
        <v>373</v>
      </c>
      <c r="C729" s="43">
        <v>46008</v>
      </c>
      <c r="D729" s="42">
        <v>82512180004</v>
      </c>
      <c r="E729" s="44">
        <v>46009</v>
      </c>
      <c r="F729" s="79" t="s">
        <v>35</v>
      </c>
      <c r="G729" s="45" t="s">
        <v>36</v>
      </c>
      <c r="H729" s="46" t="s">
        <v>37</v>
      </c>
      <c r="I729" s="12" t="s">
        <v>38</v>
      </c>
      <c r="J729" s="43">
        <v>45733</v>
      </c>
      <c r="K729" s="104">
        <v>2.5</v>
      </c>
      <c r="L729" s="49">
        <f t="shared" si="33"/>
        <v>2.5</v>
      </c>
      <c r="M729" s="48">
        <f t="shared" si="35"/>
        <v>8262.7000000000007</v>
      </c>
      <c r="N729" s="48">
        <v>3305.08</v>
      </c>
      <c r="O729" s="50">
        <v>9</v>
      </c>
      <c r="P729" s="50">
        <v>9</v>
      </c>
      <c r="Q729" s="51">
        <f t="shared" si="34"/>
        <v>9749.9860000000008</v>
      </c>
      <c r="R729" s="48"/>
      <c r="S729" s="24" t="s">
        <v>839</v>
      </c>
      <c r="T729" s="43">
        <v>46008</v>
      </c>
      <c r="U729" s="24" t="s">
        <v>40</v>
      </c>
      <c r="V729" s="46" t="s">
        <v>33</v>
      </c>
      <c r="W729" s="54"/>
    </row>
    <row r="730" spans="1:23" s="27" customFormat="1" ht="34.950000000000003" customHeight="1" x14ac:dyDescent="0.25">
      <c r="A730" s="12">
        <f>SUBTOTAL(3,$B$2:B730)</f>
        <v>729</v>
      </c>
      <c r="B730" s="42">
        <v>374</v>
      </c>
      <c r="C730" s="43">
        <v>46008</v>
      </c>
      <c r="D730" s="42">
        <v>82512180005</v>
      </c>
      <c r="E730" s="44">
        <v>46009</v>
      </c>
      <c r="F730" s="79" t="s">
        <v>35</v>
      </c>
      <c r="G730" s="45" t="s">
        <v>485</v>
      </c>
      <c r="H730" s="46" t="s">
        <v>37</v>
      </c>
      <c r="I730" s="12" t="s">
        <v>38</v>
      </c>
      <c r="J730" s="43">
        <v>45733</v>
      </c>
      <c r="K730" s="104">
        <v>2.5</v>
      </c>
      <c r="L730" s="49">
        <f t="shared" si="33"/>
        <v>2.5</v>
      </c>
      <c r="M730" s="48">
        <f t="shared" si="35"/>
        <v>12605.924999999999</v>
      </c>
      <c r="N730" s="48">
        <v>5042.37</v>
      </c>
      <c r="O730" s="50">
        <v>9</v>
      </c>
      <c r="P730" s="50">
        <v>9</v>
      </c>
      <c r="Q730" s="51">
        <f t="shared" si="34"/>
        <v>14874.991499999998</v>
      </c>
      <c r="R730" s="48"/>
      <c r="S730" s="24" t="s">
        <v>840</v>
      </c>
      <c r="T730" s="43">
        <v>46008</v>
      </c>
      <c r="U730" s="24" t="s">
        <v>99</v>
      </c>
      <c r="V730" s="46" t="s">
        <v>33</v>
      </c>
      <c r="W730" s="54"/>
    </row>
    <row r="731" spans="1:23" s="27" customFormat="1" ht="34.950000000000003" customHeight="1" x14ac:dyDescent="0.25">
      <c r="A731" s="12">
        <f>SUBTOTAL(3,$B$2:B731)</f>
        <v>730</v>
      </c>
      <c r="B731" s="42">
        <v>375</v>
      </c>
      <c r="C731" s="43">
        <v>46010</v>
      </c>
      <c r="D731" s="42">
        <v>82512230001</v>
      </c>
      <c r="E731" s="43">
        <v>46014</v>
      </c>
      <c r="F731" s="79" t="s">
        <v>841</v>
      </c>
      <c r="G731" s="45" t="s">
        <v>842</v>
      </c>
      <c r="H731" s="46" t="s">
        <v>240</v>
      </c>
      <c r="I731" s="12"/>
      <c r="J731" s="43"/>
      <c r="K731" s="80">
        <v>5.31</v>
      </c>
      <c r="L731" s="49">
        <f t="shared" si="33"/>
        <v>5.31</v>
      </c>
      <c r="M731" s="48">
        <f t="shared" si="35"/>
        <v>5506.4699999999993</v>
      </c>
      <c r="N731" s="48">
        <v>1037</v>
      </c>
      <c r="O731" s="50"/>
      <c r="P731" s="50"/>
      <c r="Q731" s="51">
        <f t="shared" si="34"/>
        <v>5506.4699999999993</v>
      </c>
      <c r="R731" s="48"/>
      <c r="S731" s="24" t="s">
        <v>843</v>
      </c>
      <c r="T731" s="43">
        <v>46010</v>
      </c>
      <c r="U731" s="24" t="s">
        <v>844</v>
      </c>
      <c r="V731" s="46" t="s">
        <v>247</v>
      </c>
      <c r="W731" s="54"/>
    </row>
    <row r="732" spans="1:23" s="27" customFormat="1" ht="34.950000000000003" customHeight="1" x14ac:dyDescent="0.25">
      <c r="A732" s="12">
        <f>SUBTOTAL(3,$B$2:B732)</f>
        <v>731</v>
      </c>
      <c r="B732" s="42">
        <v>376</v>
      </c>
      <c r="C732" s="43">
        <v>46013</v>
      </c>
      <c r="D732" s="42">
        <v>82512310001</v>
      </c>
      <c r="E732" s="44">
        <v>46022</v>
      </c>
      <c r="F732" s="79" t="s">
        <v>845</v>
      </c>
      <c r="G732" s="45" t="s">
        <v>72</v>
      </c>
      <c r="H732" s="46" t="s">
        <v>23</v>
      </c>
      <c r="I732" s="12" t="s">
        <v>846</v>
      </c>
      <c r="J732" s="43">
        <v>46006</v>
      </c>
      <c r="K732" s="80">
        <v>500</v>
      </c>
      <c r="L732" s="49">
        <f t="shared" si="33"/>
        <v>500</v>
      </c>
      <c r="M732" s="48">
        <f t="shared" si="35"/>
        <v>45500</v>
      </c>
      <c r="N732" s="48">
        <v>91</v>
      </c>
      <c r="O732" s="50">
        <v>9</v>
      </c>
      <c r="P732" s="50">
        <v>9</v>
      </c>
      <c r="Q732" s="51">
        <f t="shared" si="34"/>
        <v>53690</v>
      </c>
      <c r="R732" s="48"/>
      <c r="S732" s="24" t="s">
        <v>847</v>
      </c>
      <c r="T732" s="43">
        <v>46013</v>
      </c>
      <c r="U732" s="24" t="s">
        <v>848</v>
      </c>
      <c r="V732" s="46" t="s">
        <v>33</v>
      </c>
      <c r="W732" s="54"/>
    </row>
    <row r="733" spans="1:23" s="27" customFormat="1" ht="34.950000000000003" customHeight="1" x14ac:dyDescent="0.25">
      <c r="A733" s="12">
        <f>SUBTOTAL(3,$B$2:B733)</f>
        <v>732</v>
      </c>
      <c r="B733" s="42">
        <v>376</v>
      </c>
      <c r="C733" s="43">
        <v>46013</v>
      </c>
      <c r="D733" s="42">
        <v>82512310001</v>
      </c>
      <c r="E733" s="44">
        <v>46022</v>
      </c>
      <c r="F733" s="79" t="s">
        <v>845</v>
      </c>
      <c r="G733" s="45" t="s">
        <v>73</v>
      </c>
      <c r="H733" s="46" t="s">
        <v>23</v>
      </c>
      <c r="I733" s="12" t="s">
        <v>846</v>
      </c>
      <c r="J733" s="43">
        <v>46006</v>
      </c>
      <c r="K733" s="80">
        <v>500</v>
      </c>
      <c r="L733" s="49">
        <f t="shared" si="33"/>
        <v>500</v>
      </c>
      <c r="M733" s="48">
        <f t="shared" si="35"/>
        <v>69500</v>
      </c>
      <c r="N733" s="48">
        <v>139</v>
      </c>
      <c r="O733" s="50">
        <v>9</v>
      </c>
      <c r="P733" s="50">
        <v>9</v>
      </c>
      <c r="Q733" s="51">
        <f t="shared" si="34"/>
        <v>82010</v>
      </c>
      <c r="R733" s="48"/>
      <c r="S733" s="24" t="s">
        <v>847</v>
      </c>
      <c r="T733" s="43">
        <v>46013</v>
      </c>
      <c r="U733" s="24" t="s">
        <v>848</v>
      </c>
      <c r="V733" s="46" t="s">
        <v>33</v>
      </c>
      <c r="W733" s="54"/>
    </row>
    <row r="734" spans="1:23" s="27" customFormat="1" ht="34.950000000000003" customHeight="1" x14ac:dyDescent="0.25">
      <c r="A734" s="12">
        <f>SUBTOTAL(3,$B$2:B734)</f>
        <v>733</v>
      </c>
      <c r="B734" s="42">
        <v>376</v>
      </c>
      <c r="C734" s="43">
        <v>46013</v>
      </c>
      <c r="D734" s="42">
        <v>82512310001</v>
      </c>
      <c r="E734" s="44">
        <v>46022</v>
      </c>
      <c r="F734" s="45" t="s">
        <v>845</v>
      </c>
      <c r="G734" s="52" t="s">
        <v>849</v>
      </c>
      <c r="H734" s="57" t="s">
        <v>16</v>
      </c>
      <c r="I734" s="12" t="s">
        <v>846</v>
      </c>
      <c r="J734" s="43">
        <v>46006</v>
      </c>
      <c r="K734" s="73">
        <v>50</v>
      </c>
      <c r="L734" s="49">
        <f t="shared" si="33"/>
        <v>50</v>
      </c>
      <c r="M734" s="48">
        <f t="shared" si="35"/>
        <v>12500</v>
      </c>
      <c r="N734" s="48">
        <v>250</v>
      </c>
      <c r="O734" s="50">
        <v>9</v>
      </c>
      <c r="P734" s="50">
        <v>9</v>
      </c>
      <c r="Q734" s="51">
        <f t="shared" si="34"/>
        <v>14750</v>
      </c>
      <c r="R734" s="48"/>
      <c r="S734" s="24" t="s">
        <v>847</v>
      </c>
      <c r="T734" s="43">
        <v>46013</v>
      </c>
      <c r="U734" s="43" t="s">
        <v>848</v>
      </c>
      <c r="V734" s="46" t="s">
        <v>33</v>
      </c>
      <c r="W734" s="54"/>
    </row>
    <row r="735" spans="1:23" s="27" customFormat="1" ht="34.950000000000003" customHeight="1" x14ac:dyDescent="0.25">
      <c r="A735" s="12">
        <f>SUBTOTAL(3,$B$2:B735)</f>
        <v>734</v>
      </c>
      <c r="B735" s="42">
        <v>376</v>
      </c>
      <c r="C735" s="43">
        <v>46013</v>
      </c>
      <c r="D735" s="42">
        <v>82512310001</v>
      </c>
      <c r="E735" s="44">
        <v>46022</v>
      </c>
      <c r="F735" s="79" t="s">
        <v>845</v>
      </c>
      <c r="G735" s="45" t="s">
        <v>74</v>
      </c>
      <c r="H735" s="46" t="s">
        <v>850</v>
      </c>
      <c r="I735" s="12" t="s">
        <v>846</v>
      </c>
      <c r="J735" s="43">
        <v>46006</v>
      </c>
      <c r="K735" s="80">
        <v>25</v>
      </c>
      <c r="L735" s="49">
        <f t="shared" si="33"/>
        <v>25</v>
      </c>
      <c r="M735" s="48">
        <f t="shared" si="35"/>
        <v>3500</v>
      </c>
      <c r="N735" s="48">
        <v>140</v>
      </c>
      <c r="O735" s="50">
        <v>9</v>
      </c>
      <c r="P735" s="50">
        <v>9</v>
      </c>
      <c r="Q735" s="51">
        <f t="shared" si="34"/>
        <v>4130</v>
      </c>
      <c r="R735" s="48"/>
      <c r="S735" s="24" t="s">
        <v>847</v>
      </c>
      <c r="T735" s="43">
        <v>46013</v>
      </c>
      <c r="U735" s="24" t="s">
        <v>848</v>
      </c>
      <c r="V735" s="46" t="s">
        <v>33</v>
      </c>
      <c r="W735" s="54"/>
    </row>
    <row r="736" spans="1:23" s="27" customFormat="1" ht="34.950000000000003" customHeight="1" x14ac:dyDescent="0.25">
      <c r="A736" s="12">
        <f>SUBTOTAL(3,$B$2:B736)</f>
        <v>735</v>
      </c>
      <c r="B736" s="42">
        <v>376</v>
      </c>
      <c r="C736" s="43">
        <v>46013</v>
      </c>
      <c r="D736" s="42">
        <v>82512310001</v>
      </c>
      <c r="E736" s="44">
        <v>46022</v>
      </c>
      <c r="F736" s="79" t="s">
        <v>845</v>
      </c>
      <c r="G736" s="45" t="s">
        <v>77</v>
      </c>
      <c r="H736" s="46" t="s">
        <v>16</v>
      </c>
      <c r="I736" s="12" t="s">
        <v>846</v>
      </c>
      <c r="J736" s="43">
        <v>46006</v>
      </c>
      <c r="K736" s="80">
        <v>2</v>
      </c>
      <c r="L736" s="49">
        <f t="shared" si="33"/>
        <v>2</v>
      </c>
      <c r="M736" s="48">
        <f t="shared" si="35"/>
        <v>58000</v>
      </c>
      <c r="N736" s="48">
        <v>29000</v>
      </c>
      <c r="O736" s="50">
        <v>9</v>
      </c>
      <c r="P736" s="50">
        <v>9</v>
      </c>
      <c r="Q736" s="51">
        <f t="shared" si="34"/>
        <v>68440</v>
      </c>
      <c r="R736" s="48"/>
      <c r="S736" s="24" t="s">
        <v>847</v>
      </c>
      <c r="T736" s="43">
        <v>46013</v>
      </c>
      <c r="U736" s="24" t="s">
        <v>848</v>
      </c>
      <c r="V736" s="46" t="s">
        <v>33</v>
      </c>
      <c r="W736" s="54"/>
    </row>
    <row r="737" spans="1:23" s="27" customFormat="1" ht="34.950000000000003" customHeight="1" x14ac:dyDescent="0.25">
      <c r="A737" s="12">
        <f>SUBTOTAL(3,$B$2:B737)</f>
        <v>736</v>
      </c>
      <c r="B737" s="42">
        <v>376</v>
      </c>
      <c r="C737" s="43">
        <v>46014</v>
      </c>
      <c r="D737" s="42">
        <v>82512310001</v>
      </c>
      <c r="E737" s="44">
        <v>46022</v>
      </c>
      <c r="F737" s="79" t="s">
        <v>845</v>
      </c>
      <c r="G737" s="52" t="s">
        <v>411</v>
      </c>
      <c r="H737" s="46" t="s">
        <v>16</v>
      </c>
      <c r="I737" s="12" t="s">
        <v>846</v>
      </c>
      <c r="J737" s="43">
        <v>46006</v>
      </c>
      <c r="K737" s="80">
        <v>2</v>
      </c>
      <c r="L737" s="49">
        <f t="shared" si="33"/>
        <v>2</v>
      </c>
      <c r="M737" s="48">
        <f t="shared" si="35"/>
        <v>440</v>
      </c>
      <c r="N737" s="48">
        <v>220</v>
      </c>
      <c r="O737" s="50">
        <v>9</v>
      </c>
      <c r="P737" s="50">
        <v>9</v>
      </c>
      <c r="Q737" s="51">
        <f t="shared" si="34"/>
        <v>519.19999999999993</v>
      </c>
      <c r="R737" s="48">
        <v>4484</v>
      </c>
      <c r="S737" s="24" t="s">
        <v>847</v>
      </c>
      <c r="T737" s="43">
        <v>46013</v>
      </c>
      <c r="U737" s="24" t="s">
        <v>848</v>
      </c>
      <c r="V737" s="46" t="s">
        <v>33</v>
      </c>
      <c r="W737" s="54"/>
    </row>
    <row r="738" spans="1:23" s="27" customFormat="1" ht="34.950000000000003" customHeight="1" x14ac:dyDescent="0.25">
      <c r="A738" s="12">
        <f>SUBTOTAL(3,$B$2:B738)</f>
        <v>737</v>
      </c>
      <c r="B738" s="42">
        <v>377</v>
      </c>
      <c r="C738" s="43">
        <v>46014</v>
      </c>
      <c r="D738" s="42">
        <v>82512230002</v>
      </c>
      <c r="E738" s="44">
        <v>46014</v>
      </c>
      <c r="F738" s="79" t="s">
        <v>35</v>
      </c>
      <c r="G738" s="52" t="s">
        <v>36</v>
      </c>
      <c r="H738" s="46" t="s">
        <v>37</v>
      </c>
      <c r="I738" s="12" t="s">
        <v>38</v>
      </c>
      <c r="J738" s="43">
        <v>45733</v>
      </c>
      <c r="K738" s="104">
        <v>7</v>
      </c>
      <c r="L738" s="49">
        <f t="shared" si="33"/>
        <v>7</v>
      </c>
      <c r="M738" s="48">
        <f t="shared" si="35"/>
        <v>23135.559999999998</v>
      </c>
      <c r="N738" s="48">
        <v>3305.08</v>
      </c>
      <c r="O738" s="50">
        <v>9</v>
      </c>
      <c r="P738" s="50">
        <v>9</v>
      </c>
      <c r="Q738" s="51">
        <f t="shared" si="34"/>
        <v>27299.960799999997</v>
      </c>
      <c r="R738" s="48"/>
      <c r="S738" s="24" t="s">
        <v>851</v>
      </c>
      <c r="T738" s="43">
        <v>46014</v>
      </c>
      <c r="U738" s="24" t="s">
        <v>101</v>
      </c>
      <c r="V738" s="46" t="s">
        <v>33</v>
      </c>
      <c r="W738" s="54"/>
    </row>
    <row r="739" spans="1:23" s="27" customFormat="1" ht="34.950000000000003" customHeight="1" x14ac:dyDescent="0.25">
      <c r="A739" s="12">
        <f>SUBTOTAL(3,$B$2:B739)</f>
        <v>738</v>
      </c>
      <c r="B739" s="42">
        <v>378</v>
      </c>
      <c r="C739" s="43">
        <v>46014</v>
      </c>
      <c r="D739" s="42">
        <v>82512230003</v>
      </c>
      <c r="E739" s="44">
        <v>46014</v>
      </c>
      <c r="F739" s="79" t="s">
        <v>35</v>
      </c>
      <c r="G739" s="52" t="s">
        <v>36</v>
      </c>
      <c r="H739" s="46" t="s">
        <v>37</v>
      </c>
      <c r="I739" s="12" t="s">
        <v>38</v>
      </c>
      <c r="J739" s="43">
        <v>45733</v>
      </c>
      <c r="K739" s="104">
        <v>4</v>
      </c>
      <c r="L739" s="49">
        <f t="shared" si="33"/>
        <v>4</v>
      </c>
      <c r="M739" s="48">
        <f t="shared" si="35"/>
        <v>13220.32</v>
      </c>
      <c r="N739" s="48">
        <v>3305.08</v>
      </c>
      <c r="O739" s="50">
        <v>9</v>
      </c>
      <c r="P739" s="50">
        <v>9</v>
      </c>
      <c r="Q739" s="51">
        <f t="shared" si="34"/>
        <v>15599.977599999998</v>
      </c>
      <c r="R739" s="48"/>
      <c r="S739" s="24" t="s">
        <v>852</v>
      </c>
      <c r="T739" s="43">
        <v>46014</v>
      </c>
      <c r="U739" s="24" t="s">
        <v>40</v>
      </c>
      <c r="V739" s="46" t="s">
        <v>33</v>
      </c>
      <c r="W739" s="54"/>
    </row>
    <row r="740" spans="1:23" s="27" customFormat="1" ht="34.950000000000003" customHeight="1" x14ac:dyDescent="0.25">
      <c r="A740" s="12">
        <f>SUBTOTAL(3,$B$2:B740)</f>
        <v>739</v>
      </c>
      <c r="B740" s="42">
        <v>379</v>
      </c>
      <c r="C740" s="43">
        <v>46014</v>
      </c>
      <c r="D740" s="42">
        <v>82512230004</v>
      </c>
      <c r="E740" s="44">
        <v>46014</v>
      </c>
      <c r="F740" s="79" t="s">
        <v>35</v>
      </c>
      <c r="G740" s="52" t="s">
        <v>485</v>
      </c>
      <c r="H740" s="46" t="s">
        <v>37</v>
      </c>
      <c r="I740" s="12" t="s">
        <v>38</v>
      </c>
      <c r="J740" s="43">
        <v>45733</v>
      </c>
      <c r="K740" s="104">
        <v>7</v>
      </c>
      <c r="L740" s="49">
        <f t="shared" si="33"/>
        <v>7</v>
      </c>
      <c r="M740" s="48">
        <f t="shared" si="35"/>
        <v>35296.589999999997</v>
      </c>
      <c r="N740" s="48">
        <v>5042.37</v>
      </c>
      <c r="O740" s="50">
        <v>9</v>
      </c>
      <c r="P740" s="50">
        <v>9</v>
      </c>
      <c r="Q740" s="51">
        <f t="shared" si="34"/>
        <v>41649.97619999999</v>
      </c>
      <c r="R740" s="48"/>
      <c r="S740" s="24" t="s">
        <v>853</v>
      </c>
      <c r="T740" s="43">
        <v>46014</v>
      </c>
      <c r="U740" s="24" t="s">
        <v>492</v>
      </c>
      <c r="V740" s="46" t="s">
        <v>33</v>
      </c>
      <c r="W740" s="54"/>
    </row>
    <row r="741" spans="1:23" s="27" customFormat="1" ht="34.950000000000003" customHeight="1" x14ac:dyDescent="0.25">
      <c r="A741" s="12">
        <f>SUBTOTAL(3,$B$2:B741)</f>
        <v>740</v>
      </c>
      <c r="B741" s="42">
        <v>380</v>
      </c>
      <c r="C741" s="43">
        <v>46014</v>
      </c>
      <c r="D741" s="42">
        <v>82512310002</v>
      </c>
      <c r="E741" s="44">
        <v>46022</v>
      </c>
      <c r="F741" s="79" t="s">
        <v>35</v>
      </c>
      <c r="G741" s="52" t="s">
        <v>485</v>
      </c>
      <c r="H741" s="46" t="s">
        <v>37</v>
      </c>
      <c r="I741" s="12" t="s">
        <v>38</v>
      </c>
      <c r="J741" s="43">
        <v>45733</v>
      </c>
      <c r="K741" s="104">
        <v>5.5</v>
      </c>
      <c r="L741" s="49">
        <f t="shared" si="33"/>
        <v>5.5</v>
      </c>
      <c r="M741" s="48">
        <f t="shared" si="35"/>
        <v>27733.035</v>
      </c>
      <c r="N741" s="48">
        <v>5042.37</v>
      </c>
      <c r="O741" s="50">
        <v>9</v>
      </c>
      <c r="P741" s="50">
        <v>9</v>
      </c>
      <c r="Q741" s="51">
        <f t="shared" si="34"/>
        <v>32724.981299999999</v>
      </c>
      <c r="R741" s="48"/>
      <c r="S741" s="24" t="s">
        <v>854</v>
      </c>
      <c r="T741" s="43">
        <v>46016</v>
      </c>
      <c r="U741" s="24" t="s">
        <v>99</v>
      </c>
      <c r="V741" s="46" t="s">
        <v>33</v>
      </c>
      <c r="W741" s="54"/>
    </row>
    <row r="742" spans="1:23" s="27" customFormat="1" ht="34.950000000000003" customHeight="1" x14ac:dyDescent="0.25">
      <c r="A742" s="12">
        <f>SUBTOTAL(3,$B$2:B742)</f>
        <v>741</v>
      </c>
      <c r="B742" s="42">
        <v>381</v>
      </c>
      <c r="C742" s="43">
        <v>46014</v>
      </c>
      <c r="D742" s="42">
        <v>0</v>
      </c>
      <c r="E742" s="43">
        <v>0</v>
      </c>
      <c r="F742" s="79" t="s">
        <v>799</v>
      </c>
      <c r="G742" s="52" t="s">
        <v>800</v>
      </c>
      <c r="H742" s="46" t="s">
        <v>16</v>
      </c>
      <c r="I742" s="12"/>
      <c r="J742" s="43"/>
      <c r="K742" s="80">
        <v>157</v>
      </c>
      <c r="L742" s="62">
        <f t="shared" si="33"/>
        <v>157</v>
      </c>
      <c r="M742" s="48">
        <f t="shared" si="35"/>
        <v>63585</v>
      </c>
      <c r="N742" s="48">
        <v>405</v>
      </c>
      <c r="O742" s="50"/>
      <c r="P742" s="50"/>
      <c r="Q742" s="51">
        <f t="shared" si="34"/>
        <v>63585</v>
      </c>
      <c r="R742" s="48"/>
      <c r="S742" s="24">
        <v>32512230744</v>
      </c>
      <c r="T742" s="43">
        <v>46014</v>
      </c>
      <c r="U742" s="24" t="s">
        <v>296</v>
      </c>
      <c r="V742" s="46" t="s">
        <v>25</v>
      </c>
      <c r="W742" s="54"/>
    </row>
    <row r="743" spans="1:23" s="27" customFormat="1" ht="34.950000000000003" customHeight="1" x14ac:dyDescent="0.25">
      <c r="A743" s="12">
        <f>SUBTOTAL(3,$B$2:B743)</f>
        <v>742</v>
      </c>
      <c r="B743" s="42">
        <v>381</v>
      </c>
      <c r="C743" s="43">
        <v>46014</v>
      </c>
      <c r="D743" s="42">
        <v>0</v>
      </c>
      <c r="E743" s="43">
        <v>0</v>
      </c>
      <c r="F743" s="79" t="s">
        <v>799</v>
      </c>
      <c r="G743" s="52" t="s">
        <v>855</v>
      </c>
      <c r="H743" s="46" t="s">
        <v>16</v>
      </c>
      <c r="I743" s="12"/>
      <c r="J743" s="43"/>
      <c r="K743" s="80">
        <v>203</v>
      </c>
      <c r="L743" s="62">
        <f t="shared" si="33"/>
        <v>203</v>
      </c>
      <c r="M743" s="48">
        <f t="shared" si="35"/>
        <v>36540</v>
      </c>
      <c r="N743" s="48">
        <v>180</v>
      </c>
      <c r="O743" s="50"/>
      <c r="P743" s="50"/>
      <c r="Q743" s="51">
        <f t="shared" si="34"/>
        <v>36540</v>
      </c>
      <c r="R743" s="48"/>
      <c r="S743" s="24">
        <v>32512230744</v>
      </c>
      <c r="T743" s="43">
        <v>46014</v>
      </c>
      <c r="U743" s="24" t="s">
        <v>296</v>
      </c>
      <c r="V743" s="46" t="s">
        <v>25</v>
      </c>
      <c r="W743" s="54"/>
    </row>
    <row r="744" spans="1:23" s="27" customFormat="1" ht="34.950000000000003" customHeight="1" x14ac:dyDescent="0.25">
      <c r="A744" s="12">
        <f>SUBTOTAL(3,$B$2:B744)</f>
        <v>743</v>
      </c>
      <c r="B744" s="42">
        <v>381</v>
      </c>
      <c r="C744" s="43">
        <v>46014</v>
      </c>
      <c r="D744" s="42">
        <v>0</v>
      </c>
      <c r="E744" s="43">
        <v>0</v>
      </c>
      <c r="F744" s="79" t="s">
        <v>799</v>
      </c>
      <c r="G744" s="52" t="s">
        <v>727</v>
      </c>
      <c r="H744" s="46" t="s">
        <v>16</v>
      </c>
      <c r="I744" s="12"/>
      <c r="J744" s="43"/>
      <c r="K744" s="80">
        <v>50</v>
      </c>
      <c r="L744" s="62">
        <f t="shared" si="33"/>
        <v>50</v>
      </c>
      <c r="M744" s="48">
        <f t="shared" si="35"/>
        <v>22500</v>
      </c>
      <c r="N744" s="48">
        <v>450</v>
      </c>
      <c r="O744" s="50"/>
      <c r="P744" s="50"/>
      <c r="Q744" s="51">
        <f t="shared" si="34"/>
        <v>22500</v>
      </c>
      <c r="R744" s="48"/>
      <c r="S744" s="24">
        <v>32512230744</v>
      </c>
      <c r="T744" s="43">
        <v>46014</v>
      </c>
      <c r="U744" s="24" t="s">
        <v>296</v>
      </c>
      <c r="V744" s="46" t="s">
        <v>25</v>
      </c>
      <c r="W744" s="54"/>
    </row>
    <row r="745" spans="1:23" s="27" customFormat="1" ht="34.950000000000003" customHeight="1" x14ac:dyDescent="0.25">
      <c r="A745" s="12">
        <f>SUBTOTAL(3,$B$2:B745)</f>
        <v>744</v>
      </c>
      <c r="B745" s="42">
        <v>382</v>
      </c>
      <c r="C745" s="43">
        <v>46017</v>
      </c>
      <c r="D745" s="42">
        <v>82512310003</v>
      </c>
      <c r="E745" s="44">
        <v>46022</v>
      </c>
      <c r="F745" s="79" t="s">
        <v>35</v>
      </c>
      <c r="G745" s="45" t="s">
        <v>485</v>
      </c>
      <c r="H745" s="46" t="s">
        <v>37</v>
      </c>
      <c r="I745" s="12" t="s">
        <v>38</v>
      </c>
      <c r="J745" s="43">
        <v>45733</v>
      </c>
      <c r="K745" s="104">
        <v>4.5</v>
      </c>
      <c r="L745" s="49">
        <f t="shared" si="33"/>
        <v>4.5</v>
      </c>
      <c r="M745" s="48">
        <f t="shared" si="35"/>
        <v>22690.665000000001</v>
      </c>
      <c r="N745" s="48">
        <v>5042.37</v>
      </c>
      <c r="O745" s="50">
        <v>9</v>
      </c>
      <c r="P745" s="50">
        <v>9</v>
      </c>
      <c r="Q745" s="51">
        <f t="shared" si="34"/>
        <v>26774.984700000001</v>
      </c>
      <c r="R745" s="48"/>
      <c r="S745" s="24" t="s">
        <v>856</v>
      </c>
      <c r="T745" s="43">
        <v>46019</v>
      </c>
      <c r="U745" s="24" t="s">
        <v>101</v>
      </c>
      <c r="V745" s="46" t="s">
        <v>33</v>
      </c>
      <c r="W745" s="54"/>
    </row>
    <row r="746" spans="1:23" s="27" customFormat="1" ht="34.950000000000003" customHeight="1" x14ac:dyDescent="0.25">
      <c r="A746" s="12">
        <f>SUBTOTAL(3,$B$2:B746)</f>
        <v>745</v>
      </c>
      <c r="B746" s="42">
        <v>383</v>
      </c>
      <c r="C746" s="43">
        <v>46017</v>
      </c>
      <c r="D746" s="42">
        <v>82512310004</v>
      </c>
      <c r="E746" s="44">
        <v>46022</v>
      </c>
      <c r="F746" s="45" t="s">
        <v>35</v>
      </c>
      <c r="G746" s="52" t="s">
        <v>485</v>
      </c>
      <c r="H746" s="57" t="s">
        <v>37</v>
      </c>
      <c r="I746" s="12" t="s">
        <v>38</v>
      </c>
      <c r="J746" s="43">
        <v>45733</v>
      </c>
      <c r="K746" s="55">
        <v>4</v>
      </c>
      <c r="L746" s="49">
        <f t="shared" si="33"/>
        <v>4</v>
      </c>
      <c r="M746" s="48">
        <f t="shared" si="35"/>
        <v>20169.48</v>
      </c>
      <c r="N746" s="48">
        <v>5042.37</v>
      </c>
      <c r="O746" s="50">
        <v>9</v>
      </c>
      <c r="P746" s="50">
        <v>9</v>
      </c>
      <c r="Q746" s="51">
        <f t="shared" si="34"/>
        <v>23799.986399999998</v>
      </c>
      <c r="R746" s="48"/>
      <c r="S746" s="24" t="s">
        <v>857</v>
      </c>
      <c r="T746" s="43">
        <v>46019</v>
      </c>
      <c r="U746" s="43" t="s">
        <v>230</v>
      </c>
      <c r="V746" s="46" t="s">
        <v>33</v>
      </c>
      <c r="W746" s="54"/>
    </row>
    <row r="747" spans="1:23" s="27" customFormat="1" ht="34.950000000000003" customHeight="1" x14ac:dyDescent="0.25">
      <c r="A747" s="12">
        <f>SUBTOTAL(3,$B$2:B747)</f>
        <v>746</v>
      </c>
      <c r="B747" s="42">
        <v>384</v>
      </c>
      <c r="C747" s="43">
        <v>46017</v>
      </c>
      <c r="D747" s="42">
        <v>82512310008</v>
      </c>
      <c r="E747" s="44">
        <v>46022</v>
      </c>
      <c r="F747" s="79" t="s">
        <v>626</v>
      </c>
      <c r="G747" s="45" t="s">
        <v>172</v>
      </c>
      <c r="H747" s="46" t="s">
        <v>155</v>
      </c>
      <c r="I747" s="12"/>
      <c r="J747" s="43"/>
      <c r="K747" s="80">
        <v>30</v>
      </c>
      <c r="L747" s="49">
        <f t="shared" si="33"/>
        <v>30</v>
      </c>
      <c r="M747" s="48">
        <f t="shared" si="35"/>
        <v>7650</v>
      </c>
      <c r="N747" s="48">
        <v>255</v>
      </c>
      <c r="O747" s="50">
        <v>9</v>
      </c>
      <c r="P747" s="50">
        <v>9</v>
      </c>
      <c r="Q747" s="51">
        <f t="shared" si="34"/>
        <v>9027</v>
      </c>
      <c r="R747" s="48"/>
      <c r="S747" s="24">
        <v>588</v>
      </c>
      <c r="T747" s="43">
        <v>46017</v>
      </c>
      <c r="U747" s="24" t="s">
        <v>858</v>
      </c>
      <c r="V747" s="46" t="s">
        <v>33</v>
      </c>
      <c r="W747" s="54"/>
    </row>
    <row r="748" spans="1:23" s="27" customFormat="1" ht="34.950000000000003" customHeight="1" x14ac:dyDescent="0.25">
      <c r="A748" s="12">
        <f>SUBTOTAL(3,$B$2:B748)</f>
        <v>747</v>
      </c>
      <c r="B748" s="42">
        <v>385</v>
      </c>
      <c r="C748" s="43">
        <v>46021</v>
      </c>
      <c r="D748" s="42">
        <v>82512310005</v>
      </c>
      <c r="E748" s="44">
        <v>46022</v>
      </c>
      <c r="F748" s="45" t="s">
        <v>35</v>
      </c>
      <c r="G748" s="52" t="s">
        <v>485</v>
      </c>
      <c r="H748" s="57" t="s">
        <v>37</v>
      </c>
      <c r="I748" s="12" t="s">
        <v>38</v>
      </c>
      <c r="J748" s="43">
        <v>45733</v>
      </c>
      <c r="K748" s="63">
        <v>6</v>
      </c>
      <c r="L748" s="49">
        <f t="shared" si="33"/>
        <v>6</v>
      </c>
      <c r="M748" s="48">
        <f t="shared" si="35"/>
        <v>30254.22</v>
      </c>
      <c r="N748" s="48">
        <v>5042.37</v>
      </c>
      <c r="O748" s="50">
        <v>9</v>
      </c>
      <c r="P748" s="50">
        <v>9</v>
      </c>
      <c r="Q748" s="51">
        <f t="shared" si="34"/>
        <v>35699.979599999999</v>
      </c>
      <c r="R748" s="48"/>
      <c r="S748" s="24" t="s">
        <v>859</v>
      </c>
      <c r="T748" s="43">
        <v>46021</v>
      </c>
      <c r="U748" s="43" t="s">
        <v>492</v>
      </c>
      <c r="V748" s="46" t="s">
        <v>33</v>
      </c>
      <c r="W748" s="54"/>
    </row>
    <row r="749" spans="1:23" s="27" customFormat="1" ht="34.950000000000003" customHeight="1" x14ac:dyDescent="0.25">
      <c r="A749" s="12">
        <f>SUBTOTAL(3,$B$2:B749)</f>
        <v>748</v>
      </c>
      <c r="B749" s="42">
        <v>386</v>
      </c>
      <c r="C749" s="43">
        <v>46021</v>
      </c>
      <c r="D749" s="42">
        <v>82512310006</v>
      </c>
      <c r="E749" s="44">
        <v>46022</v>
      </c>
      <c r="F749" s="79" t="s">
        <v>35</v>
      </c>
      <c r="G749" s="45" t="s">
        <v>485</v>
      </c>
      <c r="H749" s="46" t="s">
        <v>37</v>
      </c>
      <c r="I749" s="12" t="s">
        <v>38</v>
      </c>
      <c r="J749" s="43">
        <v>45733</v>
      </c>
      <c r="K749" s="104">
        <v>2</v>
      </c>
      <c r="L749" s="49">
        <f t="shared" si="33"/>
        <v>2</v>
      </c>
      <c r="M749" s="48">
        <f t="shared" si="35"/>
        <v>10084.74</v>
      </c>
      <c r="N749" s="48">
        <v>5042.37</v>
      </c>
      <c r="O749" s="50">
        <v>9</v>
      </c>
      <c r="P749" s="50">
        <v>9</v>
      </c>
      <c r="Q749" s="51">
        <f t="shared" si="34"/>
        <v>11899.993199999999</v>
      </c>
      <c r="R749" s="48"/>
      <c r="S749" s="24" t="s">
        <v>860</v>
      </c>
      <c r="T749" s="43">
        <v>46021</v>
      </c>
      <c r="U749" s="24" t="s">
        <v>99</v>
      </c>
      <c r="V749" s="46" t="s">
        <v>33</v>
      </c>
      <c r="W749" s="54"/>
    </row>
    <row r="750" spans="1:23" s="27" customFormat="1" ht="34.950000000000003" customHeight="1" x14ac:dyDescent="0.25">
      <c r="A750" s="12">
        <f>SUBTOTAL(3,$B$2:B750)</f>
        <v>749</v>
      </c>
      <c r="B750" s="42">
        <v>387</v>
      </c>
      <c r="C750" s="43">
        <v>46021</v>
      </c>
      <c r="D750" s="42">
        <v>82512310007</v>
      </c>
      <c r="E750" s="44">
        <v>46022</v>
      </c>
      <c r="F750" s="79" t="s">
        <v>445</v>
      </c>
      <c r="G750" s="45" t="s">
        <v>450</v>
      </c>
      <c r="H750" s="46" t="s">
        <v>16</v>
      </c>
      <c r="I750" s="46" t="s">
        <v>802</v>
      </c>
      <c r="J750" s="43">
        <v>45978</v>
      </c>
      <c r="K750" s="80">
        <v>50</v>
      </c>
      <c r="L750" s="49">
        <f t="shared" si="33"/>
        <v>50</v>
      </c>
      <c r="M750" s="48">
        <f t="shared" si="35"/>
        <v>80000</v>
      </c>
      <c r="N750" s="48">
        <v>1600</v>
      </c>
      <c r="O750" s="50">
        <v>9</v>
      </c>
      <c r="P750" s="50">
        <v>9</v>
      </c>
      <c r="Q750" s="51">
        <f t="shared" si="34"/>
        <v>94400</v>
      </c>
      <c r="R750" s="48"/>
      <c r="S750" s="24" t="s">
        <v>861</v>
      </c>
      <c r="T750" s="43">
        <v>46021</v>
      </c>
      <c r="U750" s="24" t="s">
        <v>862</v>
      </c>
      <c r="V750" s="46" t="s">
        <v>33</v>
      </c>
      <c r="W750" s="54"/>
    </row>
    <row r="751" spans="1:23" s="27" customFormat="1" ht="34.950000000000003" customHeight="1" x14ac:dyDescent="0.25">
      <c r="A751" s="12">
        <f>SUBTOTAL(3,$B$2:B751)</f>
        <v>750</v>
      </c>
      <c r="B751" s="42">
        <v>387</v>
      </c>
      <c r="C751" s="43">
        <v>46021</v>
      </c>
      <c r="D751" s="42">
        <v>82512310007</v>
      </c>
      <c r="E751" s="44">
        <v>46022</v>
      </c>
      <c r="F751" s="45" t="s">
        <v>445</v>
      </c>
      <c r="G751" s="52" t="s">
        <v>461</v>
      </c>
      <c r="H751" s="57" t="s">
        <v>94</v>
      </c>
      <c r="I751" s="46" t="s">
        <v>802</v>
      </c>
      <c r="J751" s="43">
        <v>45978</v>
      </c>
      <c r="K751" s="73">
        <v>100</v>
      </c>
      <c r="L751" s="49">
        <f t="shared" si="33"/>
        <v>100</v>
      </c>
      <c r="M751" s="48">
        <f t="shared" si="35"/>
        <v>8500</v>
      </c>
      <c r="N751" s="48">
        <v>85</v>
      </c>
      <c r="O751" s="50">
        <v>9</v>
      </c>
      <c r="P751" s="50">
        <v>9</v>
      </c>
      <c r="Q751" s="51">
        <f t="shared" si="34"/>
        <v>10030</v>
      </c>
      <c r="R751" s="48"/>
      <c r="S751" s="24" t="s">
        <v>861</v>
      </c>
      <c r="T751" s="43">
        <v>46021</v>
      </c>
      <c r="U751" s="43" t="s">
        <v>862</v>
      </c>
      <c r="V751" s="46" t="s">
        <v>33</v>
      </c>
      <c r="W751" s="54"/>
    </row>
    <row r="752" spans="1:23" s="27" customFormat="1" ht="34.950000000000003" customHeight="1" x14ac:dyDescent="0.25">
      <c r="A752" s="12">
        <f>SUBTOTAL(3,$B$2:B752)</f>
        <v>751</v>
      </c>
      <c r="B752" s="42">
        <v>388</v>
      </c>
      <c r="C752" s="43">
        <v>46029</v>
      </c>
      <c r="D752" s="42">
        <v>82601070002</v>
      </c>
      <c r="E752" s="44">
        <v>46029</v>
      </c>
      <c r="F752" s="79" t="s">
        <v>863</v>
      </c>
      <c r="G752" s="45" t="s">
        <v>805</v>
      </c>
      <c r="H752" s="46" t="s">
        <v>16</v>
      </c>
      <c r="I752" s="12" t="s">
        <v>864</v>
      </c>
      <c r="J752" s="43">
        <v>46006</v>
      </c>
      <c r="K752" s="80">
        <v>500</v>
      </c>
      <c r="L752" s="49">
        <f t="shared" si="33"/>
        <v>500</v>
      </c>
      <c r="M752" s="48">
        <f t="shared" si="35"/>
        <v>27500</v>
      </c>
      <c r="N752" s="48">
        <v>55</v>
      </c>
      <c r="O752" s="50">
        <v>9</v>
      </c>
      <c r="P752" s="50">
        <v>9</v>
      </c>
      <c r="Q752" s="51">
        <f t="shared" si="34"/>
        <v>32450</v>
      </c>
      <c r="R752" s="48"/>
      <c r="S752" s="24">
        <v>3678</v>
      </c>
      <c r="T752" s="43">
        <v>46029</v>
      </c>
      <c r="U752" s="24" t="s">
        <v>865</v>
      </c>
      <c r="V752" s="46" t="s">
        <v>33</v>
      </c>
      <c r="W752" s="54"/>
    </row>
    <row r="753" spans="1:23" s="27" customFormat="1" ht="34.950000000000003" customHeight="1" x14ac:dyDescent="0.25">
      <c r="A753" s="12">
        <f>SUBTOTAL(3,$B$2:B753)</f>
        <v>752</v>
      </c>
      <c r="B753" s="42">
        <v>388</v>
      </c>
      <c r="C753" s="43">
        <v>46029</v>
      </c>
      <c r="D753" s="42">
        <v>82601070002</v>
      </c>
      <c r="E753" s="44">
        <v>46029</v>
      </c>
      <c r="F753" s="79" t="s">
        <v>863</v>
      </c>
      <c r="G753" s="45" t="s">
        <v>739</v>
      </c>
      <c r="H753" s="46" t="s">
        <v>125</v>
      </c>
      <c r="I753" s="12" t="s">
        <v>864</v>
      </c>
      <c r="J753" s="43">
        <v>46006</v>
      </c>
      <c r="K753" s="80">
        <v>5</v>
      </c>
      <c r="L753" s="49">
        <f t="shared" si="33"/>
        <v>5</v>
      </c>
      <c r="M753" s="48">
        <f t="shared" si="35"/>
        <v>6250</v>
      </c>
      <c r="N753" s="48">
        <v>1250</v>
      </c>
      <c r="O753" s="50">
        <v>2.5</v>
      </c>
      <c r="P753" s="50">
        <v>2.5</v>
      </c>
      <c r="Q753" s="51">
        <f t="shared" si="34"/>
        <v>6562.5</v>
      </c>
      <c r="R753" s="48"/>
      <c r="S753" s="24">
        <v>3678</v>
      </c>
      <c r="T753" s="43">
        <v>46029</v>
      </c>
      <c r="U753" s="24" t="s">
        <v>865</v>
      </c>
      <c r="V753" s="46" t="s">
        <v>33</v>
      </c>
      <c r="W753" s="54"/>
    </row>
    <row r="754" spans="1:23" s="27" customFormat="1" ht="34.950000000000003" customHeight="1" x14ac:dyDescent="0.25">
      <c r="A754" s="12">
        <f>SUBTOTAL(3,$B$2:B754)</f>
        <v>753</v>
      </c>
      <c r="B754" s="42">
        <v>388</v>
      </c>
      <c r="C754" s="43">
        <v>46029</v>
      </c>
      <c r="D754" s="42">
        <v>82601070002</v>
      </c>
      <c r="E754" s="44">
        <v>46029</v>
      </c>
      <c r="F754" s="79" t="s">
        <v>863</v>
      </c>
      <c r="G754" s="52" t="s">
        <v>135</v>
      </c>
      <c r="H754" s="46" t="s">
        <v>125</v>
      </c>
      <c r="I754" s="12" t="s">
        <v>864</v>
      </c>
      <c r="J754" s="43">
        <v>46006</v>
      </c>
      <c r="K754" s="80">
        <v>3</v>
      </c>
      <c r="L754" s="49">
        <f t="shared" si="33"/>
        <v>3</v>
      </c>
      <c r="M754" s="48">
        <f t="shared" si="35"/>
        <v>3750</v>
      </c>
      <c r="N754" s="48">
        <v>1250</v>
      </c>
      <c r="O754" s="50">
        <v>2.5</v>
      </c>
      <c r="P754" s="50">
        <v>2.5</v>
      </c>
      <c r="Q754" s="51">
        <f t="shared" si="34"/>
        <v>3937.5</v>
      </c>
      <c r="R754" s="48">
        <v>1500</v>
      </c>
      <c r="S754" s="24">
        <v>3678</v>
      </c>
      <c r="T754" s="43">
        <v>46029</v>
      </c>
      <c r="U754" s="24" t="s">
        <v>865</v>
      </c>
      <c r="V754" s="46" t="s">
        <v>33</v>
      </c>
      <c r="W754" s="54"/>
    </row>
    <row r="755" spans="1:23" s="27" customFormat="1" ht="34.950000000000003" customHeight="1" x14ac:dyDescent="0.25">
      <c r="A755" s="12">
        <f>SUBTOTAL(3,$B$2:B755)</f>
        <v>754</v>
      </c>
      <c r="B755" s="42">
        <v>389</v>
      </c>
      <c r="C755" s="43">
        <v>46029</v>
      </c>
      <c r="D755" s="42">
        <v>82601130014</v>
      </c>
      <c r="E755" s="44">
        <v>46035</v>
      </c>
      <c r="F755" s="79" t="s">
        <v>619</v>
      </c>
      <c r="G755" s="58" t="s">
        <v>65</v>
      </c>
      <c r="H755" s="46" t="s">
        <v>16</v>
      </c>
      <c r="I755" s="12"/>
      <c r="J755" s="43"/>
      <c r="K755" s="80">
        <v>400</v>
      </c>
      <c r="L755" s="49">
        <f t="shared" si="33"/>
        <v>400</v>
      </c>
      <c r="M755" s="48">
        <f t="shared" si="35"/>
        <v>33600</v>
      </c>
      <c r="N755" s="48">
        <v>84</v>
      </c>
      <c r="O755" s="50">
        <v>9</v>
      </c>
      <c r="P755" s="50">
        <v>9</v>
      </c>
      <c r="Q755" s="51">
        <f t="shared" si="34"/>
        <v>39648</v>
      </c>
      <c r="R755" s="48"/>
      <c r="S755" s="24">
        <v>134</v>
      </c>
      <c r="T755" s="43">
        <v>46028</v>
      </c>
      <c r="U755" s="24" t="s">
        <v>866</v>
      </c>
      <c r="V755" s="46" t="s">
        <v>33</v>
      </c>
      <c r="W755" s="54"/>
    </row>
    <row r="756" spans="1:23" s="27" customFormat="1" ht="34.950000000000003" customHeight="1" x14ac:dyDescent="0.25">
      <c r="A756" s="12">
        <f>SUBTOTAL(3,$B$2:B756)</f>
        <v>755</v>
      </c>
      <c r="B756" s="42">
        <v>389</v>
      </c>
      <c r="C756" s="43">
        <v>46029</v>
      </c>
      <c r="D756" s="42">
        <v>82601130014</v>
      </c>
      <c r="E756" s="44">
        <v>46035</v>
      </c>
      <c r="F756" s="79" t="s">
        <v>619</v>
      </c>
      <c r="G756" s="52" t="s">
        <v>66</v>
      </c>
      <c r="H756" s="46" t="s">
        <v>16</v>
      </c>
      <c r="I756" s="12"/>
      <c r="J756" s="43"/>
      <c r="K756" s="80">
        <v>80</v>
      </c>
      <c r="L756" s="49">
        <f t="shared" si="33"/>
        <v>80</v>
      </c>
      <c r="M756" s="48">
        <f t="shared" si="35"/>
        <v>520</v>
      </c>
      <c r="N756" s="48">
        <v>6.5</v>
      </c>
      <c r="O756" s="50">
        <v>9</v>
      </c>
      <c r="P756" s="50">
        <v>9</v>
      </c>
      <c r="Q756" s="51">
        <f t="shared" si="34"/>
        <v>613.6</v>
      </c>
      <c r="R756" s="48"/>
      <c r="S756" s="24">
        <v>134</v>
      </c>
      <c r="T756" s="43">
        <v>46028</v>
      </c>
      <c r="U756" s="24" t="s">
        <v>866</v>
      </c>
      <c r="V756" s="46" t="s">
        <v>33</v>
      </c>
      <c r="W756" s="54"/>
    </row>
    <row r="757" spans="1:23" s="27" customFormat="1" ht="34.950000000000003" customHeight="1" x14ac:dyDescent="0.25">
      <c r="A757" s="12">
        <f>SUBTOTAL(3,$B$2:B757)</f>
        <v>756</v>
      </c>
      <c r="B757" s="42">
        <v>389</v>
      </c>
      <c r="C757" s="43">
        <v>46029</v>
      </c>
      <c r="D757" s="42">
        <v>82601130014</v>
      </c>
      <c r="E757" s="44">
        <v>46035</v>
      </c>
      <c r="F757" s="79" t="s">
        <v>619</v>
      </c>
      <c r="G757" s="52" t="s">
        <v>300</v>
      </c>
      <c r="H757" s="46" t="s">
        <v>16</v>
      </c>
      <c r="I757" s="12"/>
      <c r="J757" s="43"/>
      <c r="K757" s="80">
        <v>250</v>
      </c>
      <c r="L757" s="49">
        <f t="shared" si="33"/>
        <v>250</v>
      </c>
      <c r="M757" s="48">
        <f t="shared" si="35"/>
        <v>5000</v>
      </c>
      <c r="N757" s="48">
        <v>20</v>
      </c>
      <c r="O757" s="50">
        <v>9</v>
      </c>
      <c r="P757" s="50">
        <v>9</v>
      </c>
      <c r="Q757" s="51">
        <f t="shared" si="34"/>
        <v>5900</v>
      </c>
      <c r="R757" s="48"/>
      <c r="S757" s="24">
        <v>134</v>
      </c>
      <c r="T757" s="43">
        <v>46028</v>
      </c>
      <c r="U757" s="24" t="s">
        <v>866</v>
      </c>
      <c r="V757" s="46" t="s">
        <v>33</v>
      </c>
      <c r="W757" s="54"/>
    </row>
    <row r="758" spans="1:23" s="27" customFormat="1" ht="34.950000000000003" customHeight="1" x14ac:dyDescent="0.25">
      <c r="A758" s="12">
        <f>SUBTOTAL(3,$B$2:B758)</f>
        <v>757</v>
      </c>
      <c r="B758" s="42">
        <v>389</v>
      </c>
      <c r="C758" s="43">
        <v>46029</v>
      </c>
      <c r="D758" s="42">
        <v>82601130014</v>
      </c>
      <c r="E758" s="44">
        <v>46035</v>
      </c>
      <c r="F758" s="79" t="s">
        <v>619</v>
      </c>
      <c r="G758" s="52" t="s">
        <v>639</v>
      </c>
      <c r="H758" s="46" t="s">
        <v>16</v>
      </c>
      <c r="I758" s="12"/>
      <c r="J758" s="43"/>
      <c r="K758" s="80">
        <v>500</v>
      </c>
      <c r="L758" s="49">
        <f t="shared" si="33"/>
        <v>500</v>
      </c>
      <c r="M758" s="48">
        <f t="shared" si="35"/>
        <v>400</v>
      </c>
      <c r="N758" s="48">
        <v>0.8</v>
      </c>
      <c r="O758" s="50">
        <v>9</v>
      </c>
      <c r="P758" s="50">
        <v>9</v>
      </c>
      <c r="Q758" s="51">
        <f t="shared" si="34"/>
        <v>472</v>
      </c>
      <c r="R758" s="48"/>
      <c r="S758" s="24">
        <v>134</v>
      </c>
      <c r="T758" s="43">
        <v>46028</v>
      </c>
      <c r="U758" s="24" t="s">
        <v>866</v>
      </c>
      <c r="V758" s="46" t="s">
        <v>33</v>
      </c>
      <c r="W758" s="54"/>
    </row>
    <row r="759" spans="1:23" s="27" customFormat="1" ht="34.950000000000003" customHeight="1" x14ac:dyDescent="0.25">
      <c r="A759" s="12">
        <f>SUBTOTAL(3,$B$2:B759)</f>
        <v>758</v>
      </c>
      <c r="B759" s="42">
        <v>389</v>
      </c>
      <c r="C759" s="43">
        <v>46029</v>
      </c>
      <c r="D759" s="42">
        <v>82601130014</v>
      </c>
      <c r="E759" s="44">
        <v>46035</v>
      </c>
      <c r="F759" s="79" t="s">
        <v>619</v>
      </c>
      <c r="G759" s="52" t="s">
        <v>867</v>
      </c>
      <c r="H759" s="46" t="s">
        <v>16</v>
      </c>
      <c r="I759" s="12"/>
      <c r="J759" s="43"/>
      <c r="K759" s="80">
        <v>40</v>
      </c>
      <c r="L759" s="49">
        <f t="shared" si="33"/>
        <v>40</v>
      </c>
      <c r="M759" s="48">
        <f t="shared" si="35"/>
        <v>2400</v>
      </c>
      <c r="N759" s="48">
        <v>60</v>
      </c>
      <c r="O759" s="50">
        <v>9</v>
      </c>
      <c r="P759" s="50">
        <v>9</v>
      </c>
      <c r="Q759" s="51">
        <f t="shared" si="34"/>
        <v>2832</v>
      </c>
      <c r="R759" s="48"/>
      <c r="S759" s="24">
        <v>134</v>
      </c>
      <c r="T759" s="43">
        <v>46028</v>
      </c>
      <c r="U759" s="24" t="s">
        <v>866</v>
      </c>
      <c r="V759" s="46" t="s">
        <v>33</v>
      </c>
      <c r="W759" s="54"/>
    </row>
    <row r="760" spans="1:23" s="27" customFormat="1" ht="34.950000000000003" customHeight="1" x14ac:dyDescent="0.25">
      <c r="A760" s="12">
        <f>SUBTOTAL(3,$B$2:B760)</f>
        <v>759</v>
      </c>
      <c r="B760" s="42">
        <v>389</v>
      </c>
      <c r="C760" s="43">
        <v>46029</v>
      </c>
      <c r="D760" s="42">
        <v>82601130014</v>
      </c>
      <c r="E760" s="44">
        <v>46035</v>
      </c>
      <c r="F760" s="79" t="s">
        <v>619</v>
      </c>
      <c r="G760" s="52" t="s">
        <v>335</v>
      </c>
      <c r="H760" s="46" t="s">
        <v>478</v>
      </c>
      <c r="I760" s="12"/>
      <c r="J760" s="43"/>
      <c r="K760" s="80">
        <v>6</v>
      </c>
      <c r="L760" s="49">
        <f t="shared" si="33"/>
        <v>6</v>
      </c>
      <c r="M760" s="48">
        <f t="shared" si="35"/>
        <v>2080</v>
      </c>
      <c r="N760" s="48">
        <v>346.66666666666669</v>
      </c>
      <c r="O760" s="50">
        <v>9</v>
      </c>
      <c r="P760" s="50">
        <v>9</v>
      </c>
      <c r="Q760" s="51">
        <f t="shared" si="34"/>
        <v>2454.4</v>
      </c>
      <c r="R760" s="48"/>
      <c r="S760" s="24">
        <v>134</v>
      </c>
      <c r="T760" s="43">
        <v>46028</v>
      </c>
      <c r="U760" s="24" t="s">
        <v>866</v>
      </c>
      <c r="V760" s="46" t="s">
        <v>33</v>
      </c>
      <c r="W760" s="54"/>
    </row>
    <row r="761" spans="1:23" s="27" customFormat="1" ht="34.950000000000003" customHeight="1" x14ac:dyDescent="0.25">
      <c r="A761" s="12">
        <f>SUBTOTAL(3,$B$2:B761)</f>
        <v>760</v>
      </c>
      <c r="B761" s="42">
        <v>389</v>
      </c>
      <c r="C761" s="43">
        <v>46029</v>
      </c>
      <c r="D761" s="42">
        <v>82601130014</v>
      </c>
      <c r="E761" s="44">
        <v>46035</v>
      </c>
      <c r="F761" s="79" t="s">
        <v>619</v>
      </c>
      <c r="G761" s="52" t="s">
        <v>868</v>
      </c>
      <c r="H761" s="46" t="s">
        <v>16</v>
      </c>
      <c r="I761" s="12"/>
      <c r="J761" s="43"/>
      <c r="K761" s="80">
        <v>60</v>
      </c>
      <c r="L761" s="49">
        <f t="shared" si="33"/>
        <v>60</v>
      </c>
      <c r="M761" s="48">
        <f t="shared" si="35"/>
        <v>3300</v>
      </c>
      <c r="N761" s="48">
        <v>55</v>
      </c>
      <c r="O761" s="50">
        <v>9</v>
      </c>
      <c r="P761" s="50">
        <v>9</v>
      </c>
      <c r="Q761" s="51">
        <f t="shared" si="34"/>
        <v>3894</v>
      </c>
      <c r="R761" s="48"/>
      <c r="S761" s="24">
        <v>134</v>
      </c>
      <c r="T761" s="43">
        <v>46028</v>
      </c>
      <c r="U761" s="24" t="s">
        <v>866</v>
      </c>
      <c r="V761" s="46" t="s">
        <v>33</v>
      </c>
      <c r="W761" s="54"/>
    </row>
    <row r="762" spans="1:23" s="27" customFormat="1" ht="34.950000000000003" customHeight="1" x14ac:dyDescent="0.25">
      <c r="A762" s="12">
        <f>SUBTOTAL(3,$B$2:B762)</f>
        <v>761</v>
      </c>
      <c r="B762" s="42">
        <v>389</v>
      </c>
      <c r="C762" s="43">
        <v>46029</v>
      </c>
      <c r="D762" s="42">
        <v>82601130014</v>
      </c>
      <c r="E762" s="44">
        <v>46035</v>
      </c>
      <c r="F762" s="79" t="s">
        <v>619</v>
      </c>
      <c r="G762" s="52" t="s">
        <v>57</v>
      </c>
      <c r="H762" s="46" t="s">
        <v>16</v>
      </c>
      <c r="I762" s="12"/>
      <c r="J762" s="43"/>
      <c r="K762" s="80">
        <v>40</v>
      </c>
      <c r="L762" s="49">
        <f t="shared" si="33"/>
        <v>40</v>
      </c>
      <c r="M762" s="48">
        <f t="shared" si="35"/>
        <v>800</v>
      </c>
      <c r="N762" s="48">
        <v>20</v>
      </c>
      <c r="O762" s="50">
        <v>9</v>
      </c>
      <c r="P762" s="50">
        <v>9</v>
      </c>
      <c r="Q762" s="51">
        <f t="shared" si="34"/>
        <v>944</v>
      </c>
      <c r="R762" s="48"/>
      <c r="S762" s="24">
        <v>134</v>
      </c>
      <c r="T762" s="43">
        <v>46028</v>
      </c>
      <c r="U762" s="24" t="s">
        <v>866</v>
      </c>
      <c r="V762" s="46" t="s">
        <v>33</v>
      </c>
      <c r="W762" s="54"/>
    </row>
    <row r="763" spans="1:23" s="27" customFormat="1" ht="34.950000000000003" customHeight="1" x14ac:dyDescent="0.25">
      <c r="A763" s="12">
        <f>SUBTOTAL(3,$B$2:B763)</f>
        <v>762</v>
      </c>
      <c r="B763" s="42">
        <v>390</v>
      </c>
      <c r="C763" s="43">
        <v>46031</v>
      </c>
      <c r="D763" s="42">
        <v>82601120001</v>
      </c>
      <c r="E763" s="44">
        <v>46034</v>
      </c>
      <c r="F763" s="79" t="s">
        <v>35</v>
      </c>
      <c r="G763" s="52" t="s">
        <v>485</v>
      </c>
      <c r="H763" s="46" t="s">
        <v>37</v>
      </c>
      <c r="I763" s="12" t="s">
        <v>869</v>
      </c>
      <c r="J763" s="43">
        <v>46029</v>
      </c>
      <c r="K763" s="104">
        <v>7</v>
      </c>
      <c r="L763" s="49">
        <f t="shared" si="33"/>
        <v>7</v>
      </c>
      <c r="M763" s="48">
        <f t="shared" si="35"/>
        <v>35593.18</v>
      </c>
      <c r="N763" s="48">
        <v>5084.74</v>
      </c>
      <c r="O763" s="50">
        <v>9</v>
      </c>
      <c r="P763" s="50">
        <v>9</v>
      </c>
      <c r="Q763" s="51">
        <f t="shared" si="34"/>
        <v>41999.952399999995</v>
      </c>
      <c r="R763" s="48"/>
      <c r="S763" s="24" t="s">
        <v>870</v>
      </c>
      <c r="T763" s="43">
        <v>46031</v>
      </c>
      <c r="U763" s="24" t="s">
        <v>492</v>
      </c>
      <c r="V763" s="46" t="s">
        <v>33</v>
      </c>
      <c r="W763" s="54"/>
    </row>
    <row r="764" spans="1:23" s="27" customFormat="1" ht="34.950000000000003" customHeight="1" x14ac:dyDescent="0.25">
      <c r="A764" s="12">
        <f>SUBTOTAL(3,$B$2:B764)</f>
        <v>763</v>
      </c>
      <c r="B764" s="42">
        <v>391</v>
      </c>
      <c r="C764" s="43">
        <v>46031</v>
      </c>
      <c r="D764" s="42">
        <v>82601120002</v>
      </c>
      <c r="E764" s="44">
        <v>46034</v>
      </c>
      <c r="F764" s="79" t="s">
        <v>35</v>
      </c>
      <c r="G764" s="52" t="s">
        <v>485</v>
      </c>
      <c r="H764" s="46" t="s">
        <v>37</v>
      </c>
      <c r="I764" s="12" t="s">
        <v>869</v>
      </c>
      <c r="J764" s="43">
        <v>46029</v>
      </c>
      <c r="K764" s="104">
        <v>7</v>
      </c>
      <c r="L764" s="49">
        <f t="shared" si="33"/>
        <v>7</v>
      </c>
      <c r="M764" s="48">
        <f t="shared" si="35"/>
        <v>35593.18</v>
      </c>
      <c r="N764" s="48">
        <v>5084.74</v>
      </c>
      <c r="O764" s="50">
        <v>9</v>
      </c>
      <c r="P764" s="50">
        <v>9</v>
      </c>
      <c r="Q764" s="51">
        <f t="shared" si="34"/>
        <v>41999.952399999995</v>
      </c>
      <c r="R764" s="48"/>
      <c r="S764" s="24" t="s">
        <v>871</v>
      </c>
      <c r="T764" s="43">
        <v>46031</v>
      </c>
      <c r="U764" s="24" t="s">
        <v>230</v>
      </c>
      <c r="V764" s="46" t="s">
        <v>33</v>
      </c>
      <c r="W764" s="54"/>
    </row>
    <row r="765" spans="1:23" s="27" customFormat="1" ht="34.950000000000003" customHeight="1" x14ac:dyDescent="0.25">
      <c r="A765" s="12">
        <f>SUBTOTAL(3,$B$2:B765)</f>
        <v>764</v>
      </c>
      <c r="B765" s="42">
        <v>392</v>
      </c>
      <c r="C765" s="43">
        <v>46031</v>
      </c>
      <c r="D765" s="42">
        <v>82601120003</v>
      </c>
      <c r="E765" s="44">
        <v>46034</v>
      </c>
      <c r="F765" s="79" t="s">
        <v>35</v>
      </c>
      <c r="G765" s="52" t="s">
        <v>485</v>
      </c>
      <c r="H765" s="46" t="s">
        <v>37</v>
      </c>
      <c r="I765" s="12" t="s">
        <v>869</v>
      </c>
      <c r="J765" s="43">
        <v>46029</v>
      </c>
      <c r="K765" s="104">
        <v>7</v>
      </c>
      <c r="L765" s="49">
        <f t="shared" si="33"/>
        <v>7</v>
      </c>
      <c r="M765" s="48">
        <f t="shared" si="35"/>
        <v>35593.18</v>
      </c>
      <c r="N765" s="48">
        <v>5084.74</v>
      </c>
      <c r="O765" s="50">
        <v>9</v>
      </c>
      <c r="P765" s="50">
        <v>9</v>
      </c>
      <c r="Q765" s="51">
        <f t="shared" si="34"/>
        <v>41999.952399999995</v>
      </c>
      <c r="R765" s="48"/>
      <c r="S765" s="24" t="s">
        <v>872</v>
      </c>
      <c r="T765" s="43">
        <v>46031</v>
      </c>
      <c r="U765" s="24" t="s">
        <v>40</v>
      </c>
      <c r="V765" s="46" t="s">
        <v>33</v>
      </c>
      <c r="W765" s="54"/>
    </row>
    <row r="766" spans="1:23" s="27" customFormat="1" ht="34.950000000000003" customHeight="1" x14ac:dyDescent="0.25">
      <c r="A766" s="12">
        <f>SUBTOTAL(3,$B$2:B766)</f>
        <v>765</v>
      </c>
      <c r="B766" s="42">
        <v>393</v>
      </c>
      <c r="C766" s="43">
        <v>46031</v>
      </c>
      <c r="D766" s="42">
        <v>82601120004</v>
      </c>
      <c r="E766" s="44">
        <v>46034</v>
      </c>
      <c r="F766" s="79" t="s">
        <v>35</v>
      </c>
      <c r="G766" s="52" t="s">
        <v>485</v>
      </c>
      <c r="H766" s="46" t="s">
        <v>37</v>
      </c>
      <c r="I766" s="12" t="s">
        <v>869</v>
      </c>
      <c r="J766" s="43">
        <v>46029</v>
      </c>
      <c r="K766" s="104">
        <v>7</v>
      </c>
      <c r="L766" s="49">
        <f t="shared" si="33"/>
        <v>7</v>
      </c>
      <c r="M766" s="48">
        <f t="shared" si="35"/>
        <v>35593.18</v>
      </c>
      <c r="N766" s="48">
        <v>5084.74</v>
      </c>
      <c r="O766" s="50">
        <v>9</v>
      </c>
      <c r="P766" s="50">
        <v>9</v>
      </c>
      <c r="Q766" s="51">
        <f t="shared" si="34"/>
        <v>41999.952399999995</v>
      </c>
      <c r="R766" s="48"/>
      <c r="S766" s="24" t="s">
        <v>873</v>
      </c>
      <c r="T766" s="43">
        <v>46031</v>
      </c>
      <c r="U766" s="24" t="s">
        <v>101</v>
      </c>
      <c r="V766" s="46" t="s">
        <v>33</v>
      </c>
      <c r="W766" s="54"/>
    </row>
    <row r="767" spans="1:23" s="27" customFormat="1" ht="34.950000000000003" customHeight="1" x14ac:dyDescent="0.25">
      <c r="A767" s="12">
        <f>SUBTOTAL(3,$B$2:B767)</f>
        <v>766</v>
      </c>
      <c r="B767" s="42">
        <v>394</v>
      </c>
      <c r="C767" s="43">
        <v>46031</v>
      </c>
      <c r="D767" s="42">
        <v>82601120005</v>
      </c>
      <c r="E767" s="44">
        <v>46034</v>
      </c>
      <c r="F767" s="79" t="s">
        <v>35</v>
      </c>
      <c r="G767" s="52" t="s">
        <v>485</v>
      </c>
      <c r="H767" s="46" t="s">
        <v>37</v>
      </c>
      <c r="I767" s="12" t="s">
        <v>869</v>
      </c>
      <c r="J767" s="43">
        <v>46029</v>
      </c>
      <c r="K767" s="104">
        <v>7</v>
      </c>
      <c r="L767" s="49">
        <f t="shared" si="33"/>
        <v>7</v>
      </c>
      <c r="M767" s="48">
        <f t="shared" si="35"/>
        <v>35593.18</v>
      </c>
      <c r="N767" s="48">
        <v>5084.74</v>
      </c>
      <c r="O767" s="50">
        <v>9</v>
      </c>
      <c r="P767" s="50">
        <v>9</v>
      </c>
      <c r="Q767" s="51">
        <f t="shared" si="34"/>
        <v>41999.952399999995</v>
      </c>
      <c r="R767" s="48"/>
      <c r="S767" s="24" t="s">
        <v>874</v>
      </c>
      <c r="T767" s="43">
        <v>46031</v>
      </c>
      <c r="U767" s="24" t="s">
        <v>99</v>
      </c>
      <c r="V767" s="46" t="s">
        <v>33</v>
      </c>
      <c r="W767" s="54"/>
    </row>
    <row r="768" spans="1:23" s="27" customFormat="1" ht="34.950000000000003" customHeight="1" x14ac:dyDescent="0.25">
      <c r="A768" s="12">
        <f>SUBTOTAL(3,$B$2:B768)</f>
        <v>767</v>
      </c>
      <c r="B768" s="42">
        <v>395</v>
      </c>
      <c r="C768" s="43">
        <v>46031</v>
      </c>
      <c r="D768" s="42">
        <v>82601120006</v>
      </c>
      <c r="E768" s="44">
        <v>46034</v>
      </c>
      <c r="F768" s="79" t="s">
        <v>35</v>
      </c>
      <c r="G768" s="52" t="s">
        <v>485</v>
      </c>
      <c r="H768" s="46" t="s">
        <v>37</v>
      </c>
      <c r="I768" s="12" t="s">
        <v>869</v>
      </c>
      <c r="J768" s="43">
        <v>46029</v>
      </c>
      <c r="K768" s="104">
        <v>7</v>
      </c>
      <c r="L768" s="49">
        <f t="shared" si="33"/>
        <v>7</v>
      </c>
      <c r="M768" s="48">
        <f t="shared" si="35"/>
        <v>35593.18</v>
      </c>
      <c r="N768" s="48">
        <v>5084.74</v>
      </c>
      <c r="O768" s="50">
        <v>9</v>
      </c>
      <c r="P768" s="50">
        <v>9</v>
      </c>
      <c r="Q768" s="51">
        <f t="shared" si="34"/>
        <v>41999.952399999995</v>
      </c>
      <c r="R768" s="48"/>
      <c r="S768" s="24" t="s">
        <v>875</v>
      </c>
      <c r="T768" s="43">
        <v>46031</v>
      </c>
      <c r="U768" s="24" t="s">
        <v>97</v>
      </c>
      <c r="V768" s="46" t="s">
        <v>33</v>
      </c>
      <c r="W768" s="54"/>
    </row>
    <row r="769" spans="1:23" s="27" customFormat="1" ht="34.950000000000003" customHeight="1" x14ac:dyDescent="0.25">
      <c r="A769" s="12">
        <f>SUBTOTAL(3,$B$2:B769)</f>
        <v>768</v>
      </c>
      <c r="B769" s="42">
        <v>396</v>
      </c>
      <c r="C769" s="43">
        <v>46031</v>
      </c>
      <c r="D769" s="42">
        <v>82601120007</v>
      </c>
      <c r="E769" s="44">
        <v>46034</v>
      </c>
      <c r="F769" s="79" t="s">
        <v>35</v>
      </c>
      <c r="G769" s="52" t="s">
        <v>485</v>
      </c>
      <c r="H769" s="46" t="s">
        <v>37</v>
      </c>
      <c r="I769" s="12" t="s">
        <v>869</v>
      </c>
      <c r="J769" s="43">
        <v>46029</v>
      </c>
      <c r="K769" s="104">
        <v>7</v>
      </c>
      <c r="L769" s="49">
        <f t="shared" si="33"/>
        <v>7</v>
      </c>
      <c r="M769" s="48">
        <f t="shared" si="35"/>
        <v>35593.18</v>
      </c>
      <c r="N769" s="48">
        <v>5084.74</v>
      </c>
      <c r="O769" s="50">
        <v>9</v>
      </c>
      <c r="P769" s="50">
        <v>9</v>
      </c>
      <c r="Q769" s="51">
        <f t="shared" si="34"/>
        <v>41999.952399999995</v>
      </c>
      <c r="R769" s="48"/>
      <c r="S769" s="24" t="s">
        <v>876</v>
      </c>
      <c r="T769" s="43">
        <v>46031</v>
      </c>
      <c r="U769" s="24" t="s">
        <v>230</v>
      </c>
      <c r="V769" s="46" t="s">
        <v>33</v>
      </c>
      <c r="W769" s="54"/>
    </row>
    <row r="770" spans="1:23" s="27" customFormat="1" ht="34.950000000000003" customHeight="1" x14ac:dyDescent="0.25">
      <c r="A770" s="12">
        <f>SUBTOTAL(3,$B$2:B770)</f>
        <v>769</v>
      </c>
      <c r="B770" s="42">
        <v>397</v>
      </c>
      <c r="C770" s="43">
        <v>46031</v>
      </c>
      <c r="D770" s="42">
        <v>82601120008</v>
      </c>
      <c r="E770" s="44">
        <v>46034</v>
      </c>
      <c r="F770" s="79" t="s">
        <v>35</v>
      </c>
      <c r="G770" s="52" t="s">
        <v>485</v>
      </c>
      <c r="H770" s="46" t="s">
        <v>37</v>
      </c>
      <c r="I770" s="12" t="s">
        <v>869</v>
      </c>
      <c r="J770" s="43">
        <v>46029</v>
      </c>
      <c r="K770" s="104">
        <v>7</v>
      </c>
      <c r="L770" s="49">
        <f t="shared" ref="L770:L833" si="36">K770</f>
        <v>7</v>
      </c>
      <c r="M770" s="48">
        <f t="shared" si="35"/>
        <v>35593.18</v>
      </c>
      <c r="N770" s="48">
        <v>5084.74</v>
      </c>
      <c r="O770" s="50">
        <v>9</v>
      </c>
      <c r="P770" s="50">
        <v>9</v>
      </c>
      <c r="Q770" s="51">
        <f t="shared" ref="Q770:Q833" si="37">IF(M770="","",M770*(1+(O770+P770)/100))</f>
        <v>41999.952399999995</v>
      </c>
      <c r="R770" s="48"/>
      <c r="S770" s="24" t="s">
        <v>877</v>
      </c>
      <c r="T770" s="43">
        <v>46031</v>
      </c>
      <c r="U770" s="24" t="s">
        <v>101</v>
      </c>
      <c r="V770" s="46" t="s">
        <v>33</v>
      </c>
      <c r="W770" s="54"/>
    </row>
    <row r="771" spans="1:23" s="27" customFormat="1" ht="34.950000000000003" customHeight="1" x14ac:dyDescent="0.25">
      <c r="A771" s="12">
        <f>SUBTOTAL(3,$B$2:B771)</f>
        <v>770</v>
      </c>
      <c r="B771" s="42">
        <v>398</v>
      </c>
      <c r="C771" s="43">
        <v>46031</v>
      </c>
      <c r="D771" s="42">
        <v>82601120009</v>
      </c>
      <c r="E771" s="44">
        <v>46034</v>
      </c>
      <c r="F771" s="79" t="s">
        <v>35</v>
      </c>
      <c r="G771" s="52" t="s">
        <v>485</v>
      </c>
      <c r="H771" s="46" t="s">
        <v>37</v>
      </c>
      <c r="I771" s="12" t="s">
        <v>869</v>
      </c>
      <c r="J771" s="43">
        <v>46029</v>
      </c>
      <c r="K771" s="104">
        <v>7</v>
      </c>
      <c r="L771" s="49">
        <f t="shared" si="36"/>
        <v>7</v>
      </c>
      <c r="M771" s="48">
        <f t="shared" si="35"/>
        <v>35593.18</v>
      </c>
      <c r="N771" s="48">
        <v>5084.74</v>
      </c>
      <c r="O771" s="50">
        <v>9</v>
      </c>
      <c r="P771" s="50">
        <v>9</v>
      </c>
      <c r="Q771" s="51">
        <f t="shared" si="37"/>
        <v>41999.952399999995</v>
      </c>
      <c r="R771" s="48"/>
      <c r="S771" s="24" t="s">
        <v>878</v>
      </c>
      <c r="T771" s="43">
        <v>46031</v>
      </c>
      <c r="U771" s="24" t="s">
        <v>99</v>
      </c>
      <c r="V771" s="46" t="s">
        <v>33</v>
      </c>
      <c r="W771" s="54"/>
    </row>
    <row r="772" spans="1:23" s="27" customFormat="1" ht="34.950000000000003" customHeight="1" x14ac:dyDescent="0.25">
      <c r="A772" s="12">
        <f>SUBTOTAL(3,$B$2:B772)</f>
        <v>771</v>
      </c>
      <c r="B772" s="42">
        <v>399</v>
      </c>
      <c r="C772" s="43">
        <v>46031</v>
      </c>
      <c r="D772" s="42">
        <v>82601120010</v>
      </c>
      <c r="E772" s="44">
        <v>46034</v>
      </c>
      <c r="F772" s="79" t="s">
        <v>35</v>
      </c>
      <c r="G772" s="52" t="s">
        <v>485</v>
      </c>
      <c r="H772" s="46" t="s">
        <v>37</v>
      </c>
      <c r="I772" s="12" t="s">
        <v>869</v>
      </c>
      <c r="J772" s="43">
        <v>46029</v>
      </c>
      <c r="K772" s="104">
        <v>7</v>
      </c>
      <c r="L772" s="49">
        <f t="shared" si="36"/>
        <v>7</v>
      </c>
      <c r="M772" s="48">
        <f t="shared" ref="M772:M835" si="38">L772*N772</f>
        <v>35593.18</v>
      </c>
      <c r="N772" s="48">
        <v>5084.74</v>
      </c>
      <c r="O772" s="50">
        <v>9</v>
      </c>
      <c r="P772" s="50">
        <v>9</v>
      </c>
      <c r="Q772" s="51">
        <f t="shared" si="37"/>
        <v>41999.952399999995</v>
      </c>
      <c r="R772" s="48"/>
      <c r="S772" s="24" t="s">
        <v>879</v>
      </c>
      <c r="T772" s="43">
        <v>46031</v>
      </c>
      <c r="U772" s="24" t="s">
        <v>97</v>
      </c>
      <c r="V772" s="46" t="s">
        <v>33</v>
      </c>
      <c r="W772" s="54"/>
    </row>
    <row r="773" spans="1:23" s="27" customFormat="1" ht="34.950000000000003" customHeight="1" x14ac:dyDescent="0.25">
      <c r="A773" s="12">
        <f>SUBTOTAL(3,$B$2:B773)</f>
        <v>772</v>
      </c>
      <c r="B773" s="42">
        <v>400</v>
      </c>
      <c r="C773" s="43">
        <v>46032</v>
      </c>
      <c r="D773" s="42">
        <v>82601120011</v>
      </c>
      <c r="E773" s="44">
        <v>46034</v>
      </c>
      <c r="F773" s="79" t="s">
        <v>35</v>
      </c>
      <c r="G773" s="52" t="s">
        <v>485</v>
      </c>
      <c r="H773" s="46" t="s">
        <v>37</v>
      </c>
      <c r="I773" s="12" t="s">
        <v>869</v>
      </c>
      <c r="J773" s="43">
        <v>46029</v>
      </c>
      <c r="K773" s="104">
        <v>7</v>
      </c>
      <c r="L773" s="49">
        <f t="shared" si="36"/>
        <v>7</v>
      </c>
      <c r="M773" s="48">
        <f t="shared" si="38"/>
        <v>35593.18</v>
      </c>
      <c r="N773" s="48">
        <v>5084.74</v>
      </c>
      <c r="O773" s="50">
        <v>9</v>
      </c>
      <c r="P773" s="50">
        <v>9</v>
      </c>
      <c r="Q773" s="51">
        <f t="shared" si="37"/>
        <v>41999.952399999995</v>
      </c>
      <c r="R773" s="48"/>
      <c r="S773" s="24" t="s">
        <v>880</v>
      </c>
      <c r="T773" s="43">
        <v>46032</v>
      </c>
      <c r="U773" s="24" t="s">
        <v>40</v>
      </c>
      <c r="V773" s="46" t="s">
        <v>33</v>
      </c>
      <c r="W773" s="54"/>
    </row>
    <row r="774" spans="1:23" s="27" customFormat="1" ht="34.950000000000003" customHeight="1" x14ac:dyDescent="0.25">
      <c r="A774" s="12">
        <f>SUBTOTAL(3,$B$2:B774)</f>
        <v>773</v>
      </c>
      <c r="B774" s="42">
        <v>401</v>
      </c>
      <c r="C774" s="43">
        <v>46032</v>
      </c>
      <c r="D774" s="42">
        <v>82601120012</v>
      </c>
      <c r="E774" s="44">
        <v>46034</v>
      </c>
      <c r="F774" s="79" t="s">
        <v>35</v>
      </c>
      <c r="G774" s="52" t="s">
        <v>485</v>
      </c>
      <c r="H774" s="46" t="s">
        <v>37</v>
      </c>
      <c r="I774" s="12" t="s">
        <v>869</v>
      </c>
      <c r="J774" s="43">
        <v>46029</v>
      </c>
      <c r="K774" s="104">
        <v>7</v>
      </c>
      <c r="L774" s="49">
        <f t="shared" si="36"/>
        <v>7</v>
      </c>
      <c r="M774" s="48">
        <f t="shared" si="38"/>
        <v>35593.18</v>
      </c>
      <c r="N774" s="48">
        <v>5084.74</v>
      </c>
      <c r="O774" s="50">
        <v>9</v>
      </c>
      <c r="P774" s="50">
        <v>9</v>
      </c>
      <c r="Q774" s="51">
        <f t="shared" si="37"/>
        <v>41999.952399999995</v>
      </c>
      <c r="R774" s="48"/>
      <c r="S774" s="24" t="s">
        <v>881</v>
      </c>
      <c r="T774" s="43">
        <v>46032</v>
      </c>
      <c r="U774" s="24" t="s">
        <v>492</v>
      </c>
      <c r="V774" s="46" t="s">
        <v>33</v>
      </c>
      <c r="W774" s="54"/>
    </row>
    <row r="775" spans="1:23" s="27" customFormat="1" ht="34.950000000000003" customHeight="1" x14ac:dyDescent="0.25">
      <c r="A775" s="12">
        <f>SUBTOTAL(3,$B$2:B775)</f>
        <v>774</v>
      </c>
      <c r="B775" s="42">
        <v>402</v>
      </c>
      <c r="C775" s="43">
        <v>46032</v>
      </c>
      <c r="D775" s="42">
        <v>82601120013</v>
      </c>
      <c r="E775" s="44">
        <v>46034</v>
      </c>
      <c r="F775" s="79" t="s">
        <v>35</v>
      </c>
      <c r="G775" s="52" t="s">
        <v>485</v>
      </c>
      <c r="H775" s="46" t="s">
        <v>37</v>
      </c>
      <c r="I775" s="12" t="s">
        <v>869</v>
      </c>
      <c r="J775" s="43">
        <v>46029</v>
      </c>
      <c r="K775" s="55">
        <v>7</v>
      </c>
      <c r="L775" s="49">
        <f t="shared" si="36"/>
        <v>7</v>
      </c>
      <c r="M775" s="48">
        <f t="shared" si="38"/>
        <v>35593.18</v>
      </c>
      <c r="N775" s="48">
        <v>5084.74</v>
      </c>
      <c r="O775" s="50">
        <v>9</v>
      </c>
      <c r="P775" s="50">
        <v>9</v>
      </c>
      <c r="Q775" s="51">
        <f t="shared" si="37"/>
        <v>41999.952399999995</v>
      </c>
      <c r="R775" s="48"/>
      <c r="S775" s="24" t="s">
        <v>882</v>
      </c>
      <c r="T775" s="43">
        <v>46032</v>
      </c>
      <c r="U775" s="43" t="s">
        <v>101</v>
      </c>
      <c r="V775" s="46" t="s">
        <v>33</v>
      </c>
      <c r="W775" s="54"/>
    </row>
    <row r="776" spans="1:23" s="27" customFormat="1" ht="34.950000000000003" customHeight="1" x14ac:dyDescent="0.25">
      <c r="A776" s="12">
        <f>SUBTOTAL(3,$B$2:B776)</f>
        <v>775</v>
      </c>
      <c r="B776" s="42">
        <v>403</v>
      </c>
      <c r="C776" s="43">
        <v>46032</v>
      </c>
      <c r="D776" s="42">
        <v>82601120014</v>
      </c>
      <c r="E776" s="44">
        <v>46034</v>
      </c>
      <c r="F776" s="79" t="s">
        <v>35</v>
      </c>
      <c r="G776" s="53" t="s">
        <v>485</v>
      </c>
      <c r="H776" s="76" t="s">
        <v>37</v>
      </c>
      <c r="I776" s="12" t="s">
        <v>869</v>
      </c>
      <c r="J776" s="43">
        <v>46029</v>
      </c>
      <c r="K776" s="104">
        <v>7</v>
      </c>
      <c r="L776" s="49">
        <f t="shared" si="36"/>
        <v>7</v>
      </c>
      <c r="M776" s="48">
        <f t="shared" si="38"/>
        <v>35593.18</v>
      </c>
      <c r="N776" s="48">
        <v>5084.74</v>
      </c>
      <c r="O776" s="50">
        <v>9</v>
      </c>
      <c r="P776" s="50">
        <v>9</v>
      </c>
      <c r="Q776" s="51">
        <f t="shared" si="37"/>
        <v>41999.952399999995</v>
      </c>
      <c r="R776" s="48"/>
      <c r="S776" s="24" t="s">
        <v>883</v>
      </c>
      <c r="T776" s="43">
        <v>46032</v>
      </c>
      <c r="U776" s="43" t="s">
        <v>884</v>
      </c>
      <c r="V776" s="46" t="s">
        <v>33</v>
      </c>
      <c r="W776" s="54"/>
    </row>
    <row r="777" spans="1:23" s="27" customFormat="1" ht="34.950000000000003" customHeight="1" x14ac:dyDescent="0.25">
      <c r="A777" s="12">
        <f>SUBTOTAL(3,$B$2:B777)</f>
        <v>776</v>
      </c>
      <c r="B777" s="42">
        <v>404</v>
      </c>
      <c r="C777" s="43">
        <v>46032</v>
      </c>
      <c r="D777" s="42">
        <v>82601120015</v>
      </c>
      <c r="E777" s="44">
        <v>46034</v>
      </c>
      <c r="F777" s="79" t="s">
        <v>35</v>
      </c>
      <c r="G777" s="82" t="s">
        <v>485</v>
      </c>
      <c r="H777" s="76" t="s">
        <v>37</v>
      </c>
      <c r="I777" s="12" t="s">
        <v>869</v>
      </c>
      <c r="J777" s="43">
        <v>46029</v>
      </c>
      <c r="K777" s="104">
        <v>7</v>
      </c>
      <c r="L777" s="49">
        <f t="shared" si="36"/>
        <v>7</v>
      </c>
      <c r="M777" s="48">
        <f t="shared" si="38"/>
        <v>35593.18</v>
      </c>
      <c r="N777" s="48">
        <v>5084.74</v>
      </c>
      <c r="O777" s="50">
        <v>9</v>
      </c>
      <c r="P777" s="50">
        <v>9</v>
      </c>
      <c r="Q777" s="51">
        <f t="shared" si="37"/>
        <v>41999.952399999995</v>
      </c>
      <c r="R777" s="48"/>
      <c r="S777" s="24" t="s">
        <v>885</v>
      </c>
      <c r="T777" s="43">
        <v>46032</v>
      </c>
      <c r="U777" s="43" t="s">
        <v>97</v>
      </c>
      <c r="V777" s="46" t="s">
        <v>33</v>
      </c>
      <c r="W777" s="54"/>
    </row>
    <row r="778" spans="1:23" s="27" customFormat="1" ht="34.950000000000003" customHeight="1" x14ac:dyDescent="0.25">
      <c r="A778" s="12">
        <f>SUBTOTAL(3,$B$2:B778)</f>
        <v>777</v>
      </c>
      <c r="B778" s="42">
        <v>405</v>
      </c>
      <c r="C778" s="43">
        <v>46032</v>
      </c>
      <c r="D778" s="42">
        <v>82601120016</v>
      </c>
      <c r="E778" s="44">
        <v>46034</v>
      </c>
      <c r="F778" s="79" t="s">
        <v>35</v>
      </c>
      <c r="G778" s="82" t="s">
        <v>485</v>
      </c>
      <c r="H778" s="76" t="s">
        <v>37</v>
      </c>
      <c r="I778" s="12" t="s">
        <v>869</v>
      </c>
      <c r="J778" s="43">
        <v>46029</v>
      </c>
      <c r="K778" s="104">
        <v>7</v>
      </c>
      <c r="L778" s="49">
        <f t="shared" si="36"/>
        <v>7</v>
      </c>
      <c r="M778" s="48">
        <f t="shared" si="38"/>
        <v>35593.18</v>
      </c>
      <c r="N778" s="48">
        <v>5084.74</v>
      </c>
      <c r="O778" s="50">
        <v>9</v>
      </c>
      <c r="P778" s="50">
        <v>9</v>
      </c>
      <c r="Q778" s="51">
        <f t="shared" si="37"/>
        <v>41999.952399999995</v>
      </c>
      <c r="R778" s="48"/>
      <c r="S778" s="24" t="s">
        <v>886</v>
      </c>
      <c r="T778" s="43">
        <v>46032</v>
      </c>
      <c r="U778" s="43" t="s">
        <v>230</v>
      </c>
      <c r="V778" s="46" t="s">
        <v>33</v>
      </c>
      <c r="W778" s="54"/>
    </row>
    <row r="779" spans="1:23" s="27" customFormat="1" ht="34.950000000000003" customHeight="1" x14ac:dyDescent="0.25">
      <c r="A779" s="12">
        <f>SUBTOTAL(3,$B$2:B779)</f>
        <v>778</v>
      </c>
      <c r="B779" s="42">
        <v>406</v>
      </c>
      <c r="C779" s="43">
        <v>46032</v>
      </c>
      <c r="D779" s="42">
        <v>82601120017</v>
      </c>
      <c r="E779" s="44">
        <v>46034</v>
      </c>
      <c r="F779" s="79" t="s">
        <v>35</v>
      </c>
      <c r="G779" s="82" t="s">
        <v>485</v>
      </c>
      <c r="H779" s="76" t="s">
        <v>37</v>
      </c>
      <c r="I779" s="12" t="s">
        <v>869</v>
      </c>
      <c r="J779" s="43">
        <v>46029</v>
      </c>
      <c r="K779" s="104">
        <v>7</v>
      </c>
      <c r="L779" s="49">
        <f t="shared" si="36"/>
        <v>7</v>
      </c>
      <c r="M779" s="48">
        <f t="shared" si="38"/>
        <v>35593.18</v>
      </c>
      <c r="N779" s="48">
        <v>5084.74</v>
      </c>
      <c r="O779" s="50">
        <v>9</v>
      </c>
      <c r="P779" s="50">
        <v>9</v>
      </c>
      <c r="Q779" s="51">
        <f t="shared" si="37"/>
        <v>41999.952399999995</v>
      </c>
      <c r="R779" s="48"/>
      <c r="S779" s="24" t="s">
        <v>887</v>
      </c>
      <c r="T779" s="43">
        <v>46032</v>
      </c>
      <c r="U779" s="43" t="s">
        <v>888</v>
      </c>
      <c r="V779" s="46" t="s">
        <v>33</v>
      </c>
      <c r="W779" s="54"/>
    </row>
    <row r="780" spans="1:23" s="27" customFormat="1" ht="34.950000000000003" customHeight="1" x14ac:dyDescent="0.25">
      <c r="A780" s="12">
        <f>SUBTOTAL(3,$B$2:B780)</f>
        <v>779</v>
      </c>
      <c r="B780" s="42">
        <v>407</v>
      </c>
      <c r="C780" s="43">
        <v>46032</v>
      </c>
      <c r="D780" s="42">
        <v>82601120018</v>
      </c>
      <c r="E780" s="44">
        <v>46034</v>
      </c>
      <c r="F780" s="79" t="s">
        <v>35</v>
      </c>
      <c r="G780" s="45" t="s">
        <v>485</v>
      </c>
      <c r="H780" s="46" t="s">
        <v>37</v>
      </c>
      <c r="I780" s="12" t="s">
        <v>869</v>
      </c>
      <c r="J780" s="43">
        <v>46029</v>
      </c>
      <c r="K780" s="104">
        <v>7</v>
      </c>
      <c r="L780" s="49">
        <f t="shared" si="36"/>
        <v>7</v>
      </c>
      <c r="M780" s="48">
        <f t="shared" si="38"/>
        <v>35593.18</v>
      </c>
      <c r="N780" s="48">
        <v>5084.74</v>
      </c>
      <c r="O780" s="50">
        <v>9</v>
      </c>
      <c r="P780" s="50">
        <v>9</v>
      </c>
      <c r="Q780" s="51">
        <f t="shared" si="37"/>
        <v>41999.952399999995</v>
      </c>
      <c r="R780" s="48"/>
      <c r="S780" s="24" t="s">
        <v>889</v>
      </c>
      <c r="T780" s="43">
        <v>46032</v>
      </c>
      <c r="U780" s="24" t="s">
        <v>40</v>
      </c>
      <c r="V780" s="46" t="s">
        <v>33</v>
      </c>
      <c r="W780" s="54"/>
    </row>
    <row r="781" spans="1:23" s="27" customFormat="1" ht="34.950000000000003" customHeight="1" x14ac:dyDescent="0.25">
      <c r="A781" s="12">
        <f>SUBTOTAL(3,$B$2:B781)</f>
        <v>780</v>
      </c>
      <c r="B781" s="42">
        <v>408</v>
      </c>
      <c r="C781" s="43">
        <v>46032</v>
      </c>
      <c r="D781" s="42">
        <v>82601120019</v>
      </c>
      <c r="E781" s="44">
        <v>46034</v>
      </c>
      <c r="F781" s="79" t="s">
        <v>35</v>
      </c>
      <c r="G781" s="45" t="s">
        <v>485</v>
      </c>
      <c r="H781" s="46" t="s">
        <v>37</v>
      </c>
      <c r="I781" s="12" t="s">
        <v>869</v>
      </c>
      <c r="J781" s="43">
        <v>46029</v>
      </c>
      <c r="K781" s="104">
        <v>7</v>
      </c>
      <c r="L781" s="49">
        <f t="shared" si="36"/>
        <v>7</v>
      </c>
      <c r="M781" s="48">
        <f t="shared" si="38"/>
        <v>35593.18</v>
      </c>
      <c r="N781" s="48">
        <v>5084.74</v>
      </c>
      <c r="O781" s="50">
        <v>9</v>
      </c>
      <c r="P781" s="50">
        <v>9</v>
      </c>
      <c r="Q781" s="51">
        <f t="shared" si="37"/>
        <v>41999.952399999995</v>
      </c>
      <c r="R781" s="48"/>
      <c r="S781" s="24" t="s">
        <v>890</v>
      </c>
      <c r="T781" s="43">
        <v>46032</v>
      </c>
      <c r="U781" s="24" t="s">
        <v>492</v>
      </c>
      <c r="V781" s="46" t="s">
        <v>33</v>
      </c>
      <c r="W781" s="54"/>
    </row>
    <row r="782" spans="1:23" s="27" customFormat="1" ht="34.950000000000003" customHeight="1" x14ac:dyDescent="0.25">
      <c r="A782" s="12">
        <f>SUBTOTAL(3,$B$2:B782)</f>
        <v>781</v>
      </c>
      <c r="B782" s="42">
        <v>409</v>
      </c>
      <c r="C782" s="43">
        <v>46032</v>
      </c>
      <c r="D782" s="42">
        <v>82601120020</v>
      </c>
      <c r="E782" s="44">
        <v>46034</v>
      </c>
      <c r="F782" s="79" t="s">
        <v>35</v>
      </c>
      <c r="G782" s="45" t="s">
        <v>485</v>
      </c>
      <c r="H782" s="46" t="s">
        <v>37</v>
      </c>
      <c r="I782" s="12" t="s">
        <v>869</v>
      </c>
      <c r="J782" s="43">
        <v>46029</v>
      </c>
      <c r="K782" s="104">
        <v>7</v>
      </c>
      <c r="L782" s="49">
        <f t="shared" si="36"/>
        <v>7</v>
      </c>
      <c r="M782" s="48">
        <f t="shared" si="38"/>
        <v>35593.18</v>
      </c>
      <c r="N782" s="48">
        <v>5084.74</v>
      </c>
      <c r="O782" s="50">
        <v>9</v>
      </c>
      <c r="P782" s="50">
        <v>9</v>
      </c>
      <c r="Q782" s="51">
        <f t="shared" si="37"/>
        <v>41999.952399999995</v>
      </c>
      <c r="R782" s="48"/>
      <c r="S782" s="24" t="s">
        <v>891</v>
      </c>
      <c r="T782" s="43">
        <v>46032</v>
      </c>
      <c r="U782" s="24" t="s">
        <v>892</v>
      </c>
      <c r="V782" s="46" t="s">
        <v>33</v>
      </c>
      <c r="W782" s="54"/>
    </row>
    <row r="783" spans="1:23" s="27" customFormat="1" ht="34.950000000000003" customHeight="1" x14ac:dyDescent="0.25">
      <c r="A783" s="12">
        <f>SUBTOTAL(3,$B$2:B783)</f>
        <v>782</v>
      </c>
      <c r="B783" s="42">
        <v>410</v>
      </c>
      <c r="C783" s="43">
        <v>46032</v>
      </c>
      <c r="D783" s="42">
        <v>82601120021</v>
      </c>
      <c r="E783" s="44">
        <v>46034</v>
      </c>
      <c r="F783" s="45" t="s">
        <v>35</v>
      </c>
      <c r="G783" s="52" t="s">
        <v>485</v>
      </c>
      <c r="H783" s="46" t="s">
        <v>37</v>
      </c>
      <c r="I783" s="12" t="s">
        <v>869</v>
      </c>
      <c r="J783" s="43">
        <v>46029</v>
      </c>
      <c r="K783" s="55">
        <v>7</v>
      </c>
      <c r="L783" s="49">
        <f t="shared" si="36"/>
        <v>7</v>
      </c>
      <c r="M783" s="48">
        <f t="shared" si="38"/>
        <v>35593.18</v>
      </c>
      <c r="N783" s="48">
        <v>5084.74</v>
      </c>
      <c r="O783" s="50">
        <v>9</v>
      </c>
      <c r="P783" s="50">
        <v>9</v>
      </c>
      <c r="Q783" s="51">
        <f t="shared" si="37"/>
        <v>41999.952399999995</v>
      </c>
      <c r="R783" s="48"/>
      <c r="S783" s="24" t="s">
        <v>893</v>
      </c>
      <c r="T783" s="43">
        <v>46032</v>
      </c>
      <c r="U783" s="43" t="s">
        <v>101</v>
      </c>
      <c r="V783" s="46" t="s">
        <v>33</v>
      </c>
      <c r="W783" s="54"/>
    </row>
    <row r="784" spans="1:23" s="27" customFormat="1" ht="34.950000000000003" customHeight="1" x14ac:dyDescent="0.25">
      <c r="A784" s="12">
        <f>SUBTOTAL(3,$B$2:B784)</f>
        <v>783</v>
      </c>
      <c r="B784" s="42">
        <v>411</v>
      </c>
      <c r="C784" s="43">
        <v>46032</v>
      </c>
      <c r="D784" s="42">
        <v>82601120022</v>
      </c>
      <c r="E784" s="44">
        <v>46034</v>
      </c>
      <c r="F784" s="45" t="s">
        <v>35</v>
      </c>
      <c r="G784" s="52" t="s">
        <v>485</v>
      </c>
      <c r="H784" s="46" t="s">
        <v>37</v>
      </c>
      <c r="I784" s="12" t="s">
        <v>869</v>
      </c>
      <c r="J784" s="43">
        <v>46029</v>
      </c>
      <c r="K784" s="55">
        <v>7</v>
      </c>
      <c r="L784" s="49">
        <f t="shared" si="36"/>
        <v>7</v>
      </c>
      <c r="M784" s="48">
        <f t="shared" si="38"/>
        <v>35593.18</v>
      </c>
      <c r="N784" s="48">
        <v>5084.74</v>
      </c>
      <c r="O784" s="50">
        <v>9</v>
      </c>
      <c r="P784" s="50">
        <v>9</v>
      </c>
      <c r="Q784" s="51">
        <f t="shared" si="37"/>
        <v>41999.952399999995</v>
      </c>
      <c r="R784" s="48"/>
      <c r="S784" s="24" t="s">
        <v>894</v>
      </c>
      <c r="T784" s="43">
        <v>46032</v>
      </c>
      <c r="U784" s="43" t="s">
        <v>884</v>
      </c>
      <c r="V784" s="46" t="s">
        <v>33</v>
      </c>
      <c r="W784" s="54"/>
    </row>
    <row r="785" spans="1:23" s="27" customFormat="1" ht="34.950000000000003" customHeight="1" x14ac:dyDescent="0.25">
      <c r="A785" s="12">
        <f>SUBTOTAL(3,$B$2:B785)</f>
        <v>784</v>
      </c>
      <c r="B785" s="42">
        <v>412</v>
      </c>
      <c r="C785" s="43">
        <v>46032</v>
      </c>
      <c r="D785" s="42">
        <v>82601120023</v>
      </c>
      <c r="E785" s="44">
        <v>46034</v>
      </c>
      <c r="F785" s="79" t="s">
        <v>35</v>
      </c>
      <c r="G785" s="52" t="s">
        <v>485</v>
      </c>
      <c r="H785" s="57" t="s">
        <v>37</v>
      </c>
      <c r="I785" s="12" t="s">
        <v>869</v>
      </c>
      <c r="J785" s="43">
        <v>46029</v>
      </c>
      <c r="K785" s="104">
        <v>7</v>
      </c>
      <c r="L785" s="49">
        <f t="shared" si="36"/>
        <v>7</v>
      </c>
      <c r="M785" s="48">
        <f t="shared" si="38"/>
        <v>35593.18</v>
      </c>
      <c r="N785" s="48">
        <v>5084.74</v>
      </c>
      <c r="O785" s="50">
        <v>9</v>
      </c>
      <c r="P785" s="50">
        <v>9</v>
      </c>
      <c r="Q785" s="51">
        <f t="shared" si="37"/>
        <v>41999.952399999995</v>
      </c>
      <c r="R785" s="48"/>
      <c r="S785" s="64" t="s">
        <v>895</v>
      </c>
      <c r="T785" s="43">
        <v>46032</v>
      </c>
      <c r="U785" s="24" t="s">
        <v>896</v>
      </c>
      <c r="V785" s="46" t="s">
        <v>33</v>
      </c>
      <c r="W785" s="54"/>
    </row>
    <row r="786" spans="1:23" s="27" customFormat="1" ht="34.950000000000003" customHeight="1" x14ac:dyDescent="0.25">
      <c r="A786" s="12">
        <f>SUBTOTAL(3,$B$2:B786)</f>
        <v>785</v>
      </c>
      <c r="B786" s="42">
        <v>413</v>
      </c>
      <c r="C786" s="43">
        <v>46032</v>
      </c>
      <c r="D786" s="42">
        <v>82601120024</v>
      </c>
      <c r="E786" s="44">
        <v>46034</v>
      </c>
      <c r="F786" s="79" t="s">
        <v>35</v>
      </c>
      <c r="G786" s="52" t="s">
        <v>485</v>
      </c>
      <c r="H786" s="46" t="s">
        <v>37</v>
      </c>
      <c r="I786" s="12" t="s">
        <v>869</v>
      </c>
      <c r="J786" s="43">
        <v>46029</v>
      </c>
      <c r="K786" s="104">
        <v>7</v>
      </c>
      <c r="L786" s="49">
        <f t="shared" si="36"/>
        <v>7</v>
      </c>
      <c r="M786" s="48">
        <f t="shared" si="38"/>
        <v>35593.18</v>
      </c>
      <c r="N786" s="48">
        <v>5084.74</v>
      </c>
      <c r="O786" s="50">
        <v>9</v>
      </c>
      <c r="P786" s="50">
        <v>9</v>
      </c>
      <c r="Q786" s="51">
        <f t="shared" si="37"/>
        <v>41999.952399999995</v>
      </c>
      <c r="R786" s="48"/>
      <c r="S786" s="64" t="s">
        <v>897</v>
      </c>
      <c r="T786" s="43">
        <v>46032</v>
      </c>
      <c r="U786" s="24" t="s">
        <v>97</v>
      </c>
      <c r="V786" s="46" t="s">
        <v>33</v>
      </c>
      <c r="W786" s="54"/>
    </row>
    <row r="787" spans="1:23" s="27" customFormat="1" ht="34.950000000000003" customHeight="1" x14ac:dyDescent="0.25">
      <c r="A787" s="12">
        <f>SUBTOTAL(3,$B$2:B787)</f>
        <v>786</v>
      </c>
      <c r="B787" s="42">
        <v>414</v>
      </c>
      <c r="C787" s="43">
        <v>46032</v>
      </c>
      <c r="D787" s="42">
        <v>82601120025</v>
      </c>
      <c r="E787" s="44">
        <v>46034</v>
      </c>
      <c r="F787" s="79" t="s">
        <v>35</v>
      </c>
      <c r="G787" s="45" t="s">
        <v>485</v>
      </c>
      <c r="H787" s="46" t="s">
        <v>37</v>
      </c>
      <c r="I787" s="12" t="s">
        <v>869</v>
      </c>
      <c r="J787" s="43">
        <v>46029</v>
      </c>
      <c r="K787" s="104">
        <v>7</v>
      </c>
      <c r="L787" s="49">
        <f t="shared" si="36"/>
        <v>7</v>
      </c>
      <c r="M787" s="48">
        <f t="shared" si="38"/>
        <v>35593.18</v>
      </c>
      <c r="N787" s="48">
        <v>5084.74</v>
      </c>
      <c r="O787" s="50">
        <v>9</v>
      </c>
      <c r="P787" s="50">
        <v>9</v>
      </c>
      <c r="Q787" s="51">
        <f t="shared" si="37"/>
        <v>41999.952399999995</v>
      </c>
      <c r="R787" s="48"/>
      <c r="S787" s="24" t="s">
        <v>898</v>
      </c>
      <c r="T787" s="43">
        <v>46032</v>
      </c>
      <c r="U787" s="24" t="s">
        <v>230</v>
      </c>
      <c r="V787" s="46" t="s">
        <v>33</v>
      </c>
      <c r="W787" s="54"/>
    </row>
    <row r="788" spans="1:23" s="27" customFormat="1" ht="34.950000000000003" customHeight="1" x14ac:dyDescent="0.25">
      <c r="A788" s="12">
        <f>SUBTOTAL(3,$B$2:B788)</f>
        <v>787</v>
      </c>
      <c r="B788" s="42">
        <v>415</v>
      </c>
      <c r="C788" s="43">
        <v>46032</v>
      </c>
      <c r="D788" s="42">
        <v>82601120026</v>
      </c>
      <c r="E788" s="44">
        <v>46034</v>
      </c>
      <c r="F788" s="79" t="s">
        <v>35</v>
      </c>
      <c r="G788" s="45" t="s">
        <v>485</v>
      </c>
      <c r="H788" s="46" t="s">
        <v>37</v>
      </c>
      <c r="I788" s="12" t="s">
        <v>869</v>
      </c>
      <c r="J788" s="43">
        <v>46029</v>
      </c>
      <c r="K788" s="104">
        <v>7</v>
      </c>
      <c r="L788" s="49">
        <f t="shared" si="36"/>
        <v>7</v>
      </c>
      <c r="M788" s="48">
        <f t="shared" si="38"/>
        <v>35593.18</v>
      </c>
      <c r="N788" s="48">
        <v>5084.74</v>
      </c>
      <c r="O788" s="50">
        <v>9</v>
      </c>
      <c r="P788" s="50">
        <v>9</v>
      </c>
      <c r="Q788" s="51">
        <f t="shared" si="37"/>
        <v>41999.952399999995</v>
      </c>
      <c r="R788" s="48"/>
      <c r="S788" s="24" t="s">
        <v>899</v>
      </c>
      <c r="T788" s="43">
        <v>46032</v>
      </c>
      <c r="U788" s="24" t="s">
        <v>888</v>
      </c>
      <c r="V788" s="46" t="s">
        <v>33</v>
      </c>
      <c r="W788" s="54"/>
    </row>
    <row r="789" spans="1:23" ht="34.950000000000003" customHeight="1" x14ac:dyDescent="0.25">
      <c r="A789" s="12">
        <f>SUBTOTAL(3,$B$2:B789)</f>
        <v>788</v>
      </c>
      <c r="B789" s="42">
        <v>416</v>
      </c>
      <c r="C789" s="43">
        <v>46032</v>
      </c>
      <c r="D789" s="42">
        <v>82601120027</v>
      </c>
      <c r="E789" s="44">
        <v>46034</v>
      </c>
      <c r="F789" s="79" t="s">
        <v>35</v>
      </c>
      <c r="G789" s="45" t="s">
        <v>485</v>
      </c>
      <c r="H789" s="46" t="s">
        <v>37</v>
      </c>
      <c r="I789" s="12" t="s">
        <v>869</v>
      </c>
      <c r="J789" s="43">
        <v>46029</v>
      </c>
      <c r="K789" s="104">
        <v>7</v>
      </c>
      <c r="L789" s="49">
        <f t="shared" si="36"/>
        <v>7</v>
      </c>
      <c r="M789" s="48">
        <f t="shared" si="38"/>
        <v>35593.18</v>
      </c>
      <c r="N789" s="48">
        <v>5084.74</v>
      </c>
      <c r="O789" s="50">
        <v>9</v>
      </c>
      <c r="P789" s="50">
        <v>9</v>
      </c>
      <c r="Q789" s="51">
        <f t="shared" si="37"/>
        <v>41999.952399999995</v>
      </c>
      <c r="R789" s="48"/>
      <c r="S789" s="24" t="s">
        <v>900</v>
      </c>
      <c r="T789" s="43">
        <v>46032</v>
      </c>
      <c r="U789" s="24" t="s">
        <v>40</v>
      </c>
      <c r="V789" s="46" t="s">
        <v>33</v>
      </c>
      <c r="W789" s="54"/>
    </row>
    <row r="790" spans="1:23" ht="34.950000000000003" customHeight="1" x14ac:dyDescent="0.25">
      <c r="A790" s="12">
        <f>SUBTOTAL(3,$B$2:B790)</f>
        <v>789</v>
      </c>
      <c r="B790" s="42">
        <v>417</v>
      </c>
      <c r="C790" s="43">
        <v>46032</v>
      </c>
      <c r="D790" s="42">
        <v>82601120028</v>
      </c>
      <c r="E790" s="44">
        <v>46034</v>
      </c>
      <c r="F790" s="79" t="s">
        <v>35</v>
      </c>
      <c r="G790" s="45" t="s">
        <v>485</v>
      </c>
      <c r="H790" s="46" t="s">
        <v>37</v>
      </c>
      <c r="I790" s="12" t="s">
        <v>869</v>
      </c>
      <c r="J790" s="43">
        <v>46029</v>
      </c>
      <c r="K790" s="104">
        <v>7</v>
      </c>
      <c r="L790" s="49">
        <f t="shared" si="36"/>
        <v>7</v>
      </c>
      <c r="M790" s="48">
        <f t="shared" si="38"/>
        <v>35593.18</v>
      </c>
      <c r="N790" s="48">
        <v>5084.74</v>
      </c>
      <c r="O790" s="50">
        <v>9</v>
      </c>
      <c r="P790" s="50">
        <v>9</v>
      </c>
      <c r="Q790" s="51">
        <f t="shared" si="37"/>
        <v>41999.952399999995</v>
      </c>
      <c r="R790" s="48"/>
      <c r="S790" s="24" t="s">
        <v>901</v>
      </c>
      <c r="T790" s="43">
        <v>46032</v>
      </c>
      <c r="U790" s="24" t="s">
        <v>492</v>
      </c>
      <c r="V790" s="46" t="s">
        <v>33</v>
      </c>
      <c r="W790" s="54"/>
    </row>
    <row r="791" spans="1:23" ht="34.950000000000003" customHeight="1" x14ac:dyDescent="0.25">
      <c r="A791" s="12">
        <f>SUBTOTAL(3,$B$2:B791)</f>
        <v>790</v>
      </c>
      <c r="B791" s="42">
        <v>418</v>
      </c>
      <c r="C791" s="43">
        <v>46032</v>
      </c>
      <c r="D791" s="42">
        <v>82601120029</v>
      </c>
      <c r="E791" s="44">
        <v>46034</v>
      </c>
      <c r="F791" s="45" t="s">
        <v>35</v>
      </c>
      <c r="G791" s="52" t="s">
        <v>485</v>
      </c>
      <c r="H791" s="57" t="s">
        <v>37</v>
      </c>
      <c r="I791" s="12" t="s">
        <v>869</v>
      </c>
      <c r="J791" s="43">
        <v>46029</v>
      </c>
      <c r="K791" s="55">
        <v>7</v>
      </c>
      <c r="L791" s="49">
        <f t="shared" si="36"/>
        <v>7</v>
      </c>
      <c r="M791" s="48">
        <f t="shared" si="38"/>
        <v>35593.18</v>
      </c>
      <c r="N791" s="48">
        <v>5084.74</v>
      </c>
      <c r="O791" s="50">
        <v>9</v>
      </c>
      <c r="P791" s="50">
        <v>9</v>
      </c>
      <c r="Q791" s="51">
        <f t="shared" si="37"/>
        <v>41999.952399999995</v>
      </c>
      <c r="R791" s="48"/>
      <c r="S791" s="24" t="s">
        <v>902</v>
      </c>
      <c r="T791" s="43">
        <v>46032</v>
      </c>
      <c r="U791" s="43" t="s">
        <v>892</v>
      </c>
      <c r="V791" s="46" t="s">
        <v>33</v>
      </c>
      <c r="W791" s="54"/>
    </row>
    <row r="792" spans="1:23" ht="34.950000000000003" customHeight="1" x14ac:dyDescent="0.25">
      <c r="A792" s="12">
        <f>SUBTOTAL(3,$B$2:B792)</f>
        <v>791</v>
      </c>
      <c r="B792" s="116">
        <v>419</v>
      </c>
      <c r="C792" s="117">
        <v>46032</v>
      </c>
      <c r="D792" s="116">
        <v>82601120030</v>
      </c>
      <c r="E792" s="118">
        <v>46034</v>
      </c>
      <c r="F792" s="79" t="s">
        <v>35</v>
      </c>
      <c r="G792" s="45" t="s">
        <v>485</v>
      </c>
      <c r="H792" s="46" t="s">
        <v>37</v>
      </c>
      <c r="I792" s="12" t="s">
        <v>869</v>
      </c>
      <c r="J792" s="43">
        <v>46029</v>
      </c>
      <c r="K792" s="104">
        <v>7</v>
      </c>
      <c r="L792" s="49">
        <f t="shared" si="36"/>
        <v>7</v>
      </c>
      <c r="M792" s="48">
        <f t="shared" si="38"/>
        <v>35593.18</v>
      </c>
      <c r="N792" s="48">
        <v>5084.74</v>
      </c>
      <c r="O792" s="50">
        <v>9</v>
      </c>
      <c r="P792" s="50">
        <v>9</v>
      </c>
      <c r="Q792" s="51">
        <f t="shared" si="37"/>
        <v>41999.952399999995</v>
      </c>
      <c r="R792" s="48"/>
      <c r="S792" s="24" t="s">
        <v>903</v>
      </c>
      <c r="T792" s="43">
        <v>46032</v>
      </c>
      <c r="U792" s="24" t="s">
        <v>101</v>
      </c>
      <c r="V792" s="46" t="s">
        <v>33</v>
      </c>
      <c r="W792" s="54"/>
    </row>
    <row r="793" spans="1:23" ht="34.950000000000003" customHeight="1" x14ac:dyDescent="0.25">
      <c r="A793" s="12">
        <f>SUBTOTAL(3,$B$2:B793)</f>
        <v>792</v>
      </c>
      <c r="B793" s="42">
        <v>420</v>
      </c>
      <c r="C793" s="43">
        <v>46032</v>
      </c>
      <c r="D793" s="42">
        <v>82601120031</v>
      </c>
      <c r="E793" s="44">
        <v>46034</v>
      </c>
      <c r="F793" s="79" t="s">
        <v>35</v>
      </c>
      <c r="G793" s="52" t="s">
        <v>485</v>
      </c>
      <c r="H793" s="46" t="s">
        <v>37</v>
      </c>
      <c r="I793" s="12" t="s">
        <v>869</v>
      </c>
      <c r="J793" s="43">
        <v>46029</v>
      </c>
      <c r="K793" s="55">
        <v>7</v>
      </c>
      <c r="L793" s="49">
        <f t="shared" si="36"/>
        <v>7</v>
      </c>
      <c r="M793" s="48">
        <f t="shared" si="38"/>
        <v>35593.18</v>
      </c>
      <c r="N793" s="48">
        <v>5084.74</v>
      </c>
      <c r="O793" s="50">
        <v>9</v>
      </c>
      <c r="P793" s="50">
        <v>9</v>
      </c>
      <c r="Q793" s="51">
        <f t="shared" si="37"/>
        <v>41999.952399999995</v>
      </c>
      <c r="R793" s="48"/>
      <c r="S793" s="24" t="s">
        <v>904</v>
      </c>
      <c r="T793" s="43">
        <v>46032</v>
      </c>
      <c r="U793" s="43" t="s">
        <v>896</v>
      </c>
      <c r="V793" s="46" t="s">
        <v>33</v>
      </c>
      <c r="W793" s="54"/>
    </row>
    <row r="794" spans="1:23" ht="34.950000000000003" customHeight="1" x14ac:dyDescent="0.25">
      <c r="A794" s="12">
        <f>SUBTOTAL(3,$B$2:B794)</f>
        <v>793</v>
      </c>
      <c r="B794" s="42">
        <v>421</v>
      </c>
      <c r="C794" s="43">
        <v>46032</v>
      </c>
      <c r="D794" s="42">
        <v>82601130001</v>
      </c>
      <c r="E794" s="44">
        <v>46035</v>
      </c>
      <c r="F794" s="79" t="s">
        <v>35</v>
      </c>
      <c r="G794" s="53" t="s">
        <v>485</v>
      </c>
      <c r="H794" s="76" t="s">
        <v>37</v>
      </c>
      <c r="I794" s="12" t="s">
        <v>869</v>
      </c>
      <c r="J794" s="43">
        <v>46029</v>
      </c>
      <c r="K794" s="55">
        <v>7</v>
      </c>
      <c r="L794" s="49">
        <f t="shared" si="36"/>
        <v>7</v>
      </c>
      <c r="M794" s="48">
        <f t="shared" si="38"/>
        <v>35593.18</v>
      </c>
      <c r="N794" s="48">
        <v>5084.74</v>
      </c>
      <c r="O794" s="50">
        <v>9</v>
      </c>
      <c r="P794" s="50">
        <v>9</v>
      </c>
      <c r="Q794" s="51">
        <f t="shared" si="37"/>
        <v>41999.952399999995</v>
      </c>
      <c r="R794" s="48"/>
      <c r="S794" s="24" t="s">
        <v>905</v>
      </c>
      <c r="T794" s="43">
        <v>46032</v>
      </c>
      <c r="U794" s="43" t="s">
        <v>884</v>
      </c>
      <c r="V794" s="46" t="s">
        <v>33</v>
      </c>
      <c r="W794" s="54"/>
    </row>
    <row r="795" spans="1:23" ht="34.950000000000003" customHeight="1" x14ac:dyDescent="0.25">
      <c r="A795" s="12">
        <f>SUBTOTAL(3,$B$2:B795)</f>
        <v>794</v>
      </c>
      <c r="B795" s="42">
        <v>422</v>
      </c>
      <c r="C795" s="43">
        <v>46032</v>
      </c>
      <c r="D795" s="42">
        <v>82601130002</v>
      </c>
      <c r="E795" s="44">
        <v>46035</v>
      </c>
      <c r="F795" s="79" t="s">
        <v>35</v>
      </c>
      <c r="G795" s="53" t="s">
        <v>485</v>
      </c>
      <c r="H795" s="76" t="s">
        <v>37</v>
      </c>
      <c r="I795" s="12" t="s">
        <v>869</v>
      </c>
      <c r="J795" s="43">
        <v>46029</v>
      </c>
      <c r="K795" s="55">
        <v>7</v>
      </c>
      <c r="L795" s="49">
        <f t="shared" si="36"/>
        <v>7</v>
      </c>
      <c r="M795" s="48">
        <f t="shared" si="38"/>
        <v>35593.18</v>
      </c>
      <c r="N795" s="48">
        <v>5084.74</v>
      </c>
      <c r="O795" s="50">
        <v>9</v>
      </c>
      <c r="P795" s="50">
        <v>9</v>
      </c>
      <c r="Q795" s="51">
        <f t="shared" si="37"/>
        <v>41999.952399999995</v>
      </c>
      <c r="R795" s="48"/>
      <c r="S795" s="24" t="s">
        <v>906</v>
      </c>
      <c r="T795" s="43">
        <v>46032</v>
      </c>
      <c r="U795" s="43" t="s">
        <v>97</v>
      </c>
      <c r="V795" s="46" t="s">
        <v>33</v>
      </c>
      <c r="W795" s="54"/>
    </row>
    <row r="796" spans="1:23" ht="34.950000000000003" customHeight="1" x14ac:dyDescent="0.25">
      <c r="A796" s="12">
        <f>SUBTOTAL(3,$B$2:B796)</f>
        <v>795</v>
      </c>
      <c r="B796" s="42">
        <v>423</v>
      </c>
      <c r="C796" s="43">
        <v>46032</v>
      </c>
      <c r="D796" s="42">
        <v>82601130003</v>
      </c>
      <c r="E796" s="44">
        <v>46035</v>
      </c>
      <c r="F796" s="79" t="s">
        <v>35</v>
      </c>
      <c r="G796" s="82" t="s">
        <v>485</v>
      </c>
      <c r="H796" s="76" t="s">
        <v>37</v>
      </c>
      <c r="I796" s="12" t="s">
        <v>869</v>
      </c>
      <c r="J796" s="43">
        <v>46029</v>
      </c>
      <c r="K796" s="55">
        <v>7</v>
      </c>
      <c r="L796" s="49">
        <f t="shared" si="36"/>
        <v>7</v>
      </c>
      <c r="M796" s="48">
        <f t="shared" si="38"/>
        <v>35593.18</v>
      </c>
      <c r="N796" s="48">
        <v>5084.74</v>
      </c>
      <c r="O796" s="50">
        <v>9</v>
      </c>
      <c r="P796" s="50">
        <v>9</v>
      </c>
      <c r="Q796" s="51">
        <f t="shared" si="37"/>
        <v>41999.952399999995</v>
      </c>
      <c r="R796" s="48"/>
      <c r="S796" s="24" t="s">
        <v>907</v>
      </c>
      <c r="T796" s="43">
        <v>46032</v>
      </c>
      <c r="U796" s="43" t="s">
        <v>99</v>
      </c>
      <c r="V796" s="46" t="s">
        <v>33</v>
      </c>
      <c r="W796" s="54"/>
    </row>
    <row r="797" spans="1:23" ht="34.950000000000003" customHeight="1" x14ac:dyDescent="0.25">
      <c r="A797" s="12">
        <f>SUBTOTAL(3,$B$2:B797)</f>
        <v>796</v>
      </c>
      <c r="B797" s="42">
        <v>424</v>
      </c>
      <c r="C797" s="43">
        <v>46032</v>
      </c>
      <c r="D797" s="42">
        <v>82601130004</v>
      </c>
      <c r="E797" s="44">
        <v>46035</v>
      </c>
      <c r="F797" s="79" t="s">
        <v>35</v>
      </c>
      <c r="G797" s="82" t="s">
        <v>485</v>
      </c>
      <c r="H797" s="76" t="s">
        <v>37</v>
      </c>
      <c r="I797" s="12" t="s">
        <v>869</v>
      </c>
      <c r="J797" s="43">
        <v>46029</v>
      </c>
      <c r="K797" s="55">
        <v>7</v>
      </c>
      <c r="L797" s="49">
        <f t="shared" si="36"/>
        <v>7</v>
      </c>
      <c r="M797" s="48">
        <f t="shared" si="38"/>
        <v>35593.18</v>
      </c>
      <c r="N797" s="48">
        <v>5084.74</v>
      </c>
      <c r="O797" s="50">
        <v>9</v>
      </c>
      <c r="P797" s="50">
        <v>9</v>
      </c>
      <c r="Q797" s="51">
        <f t="shared" si="37"/>
        <v>41999.952399999995</v>
      </c>
      <c r="R797" s="48"/>
      <c r="S797" s="24" t="s">
        <v>908</v>
      </c>
      <c r="T797" s="43">
        <v>46032</v>
      </c>
      <c r="U797" s="43" t="s">
        <v>230</v>
      </c>
      <c r="V797" s="46" t="s">
        <v>33</v>
      </c>
      <c r="W797" s="54"/>
    </row>
    <row r="798" spans="1:23" ht="34.950000000000003" customHeight="1" x14ac:dyDescent="0.25">
      <c r="A798" s="12">
        <f>SUBTOTAL(3,$B$2:B798)</f>
        <v>797</v>
      </c>
      <c r="B798" s="42">
        <v>425</v>
      </c>
      <c r="C798" s="43">
        <v>46032</v>
      </c>
      <c r="D798" s="42">
        <v>82601130005</v>
      </c>
      <c r="E798" s="44">
        <v>46035</v>
      </c>
      <c r="F798" s="79" t="s">
        <v>35</v>
      </c>
      <c r="G798" s="82" t="s">
        <v>485</v>
      </c>
      <c r="H798" s="76" t="s">
        <v>37</v>
      </c>
      <c r="I798" s="12" t="s">
        <v>869</v>
      </c>
      <c r="J798" s="43">
        <v>46029</v>
      </c>
      <c r="K798" s="55">
        <v>7</v>
      </c>
      <c r="L798" s="49">
        <f t="shared" si="36"/>
        <v>7</v>
      </c>
      <c r="M798" s="48">
        <f t="shared" si="38"/>
        <v>35593.18</v>
      </c>
      <c r="N798" s="48">
        <v>5084.74</v>
      </c>
      <c r="O798" s="50">
        <v>9</v>
      </c>
      <c r="P798" s="50">
        <v>9</v>
      </c>
      <c r="Q798" s="51">
        <f t="shared" si="37"/>
        <v>41999.952399999995</v>
      </c>
      <c r="R798" s="48"/>
      <c r="S798" s="24" t="s">
        <v>909</v>
      </c>
      <c r="T798" s="43">
        <v>46032</v>
      </c>
      <c r="U798" s="43" t="s">
        <v>910</v>
      </c>
      <c r="V798" s="46" t="s">
        <v>33</v>
      </c>
      <c r="W798" s="54"/>
    </row>
    <row r="799" spans="1:23" ht="34.950000000000003" customHeight="1" x14ac:dyDescent="0.25">
      <c r="A799" s="12">
        <f>SUBTOTAL(3,$B$2:B799)</f>
        <v>798</v>
      </c>
      <c r="B799" s="42">
        <v>426</v>
      </c>
      <c r="C799" s="43">
        <v>46032</v>
      </c>
      <c r="D799" s="42">
        <v>82601130006</v>
      </c>
      <c r="E799" s="44">
        <v>46035</v>
      </c>
      <c r="F799" s="79" t="s">
        <v>35</v>
      </c>
      <c r="G799" s="82" t="s">
        <v>485</v>
      </c>
      <c r="H799" s="76" t="s">
        <v>37</v>
      </c>
      <c r="I799" s="12" t="s">
        <v>869</v>
      </c>
      <c r="J799" s="43">
        <v>46029</v>
      </c>
      <c r="K799" s="55">
        <v>7</v>
      </c>
      <c r="L799" s="49">
        <f t="shared" si="36"/>
        <v>7</v>
      </c>
      <c r="M799" s="48">
        <f t="shared" si="38"/>
        <v>35593.18</v>
      </c>
      <c r="N799" s="48">
        <v>5084.74</v>
      </c>
      <c r="O799" s="50">
        <v>9</v>
      </c>
      <c r="P799" s="50">
        <v>9</v>
      </c>
      <c r="Q799" s="51">
        <f t="shared" si="37"/>
        <v>41999.952399999995</v>
      </c>
      <c r="R799" s="48"/>
      <c r="S799" s="24" t="s">
        <v>911</v>
      </c>
      <c r="T799" s="43">
        <v>46032</v>
      </c>
      <c r="U799" s="43" t="s">
        <v>40</v>
      </c>
      <c r="V799" s="46" t="s">
        <v>33</v>
      </c>
      <c r="W799" s="54"/>
    </row>
    <row r="800" spans="1:23" ht="34.950000000000003" customHeight="1" x14ac:dyDescent="0.25">
      <c r="A800" s="12">
        <f>SUBTOTAL(3,$B$2:B800)</f>
        <v>799</v>
      </c>
      <c r="B800" s="42">
        <v>427</v>
      </c>
      <c r="C800" s="43">
        <v>46032</v>
      </c>
      <c r="D800" s="42">
        <v>82601130007</v>
      </c>
      <c r="E800" s="44">
        <v>46035</v>
      </c>
      <c r="F800" s="79" t="s">
        <v>35</v>
      </c>
      <c r="G800" s="82" t="s">
        <v>485</v>
      </c>
      <c r="H800" s="76" t="s">
        <v>37</v>
      </c>
      <c r="I800" s="12" t="s">
        <v>869</v>
      </c>
      <c r="J800" s="43">
        <v>46029</v>
      </c>
      <c r="K800" s="55">
        <v>7</v>
      </c>
      <c r="L800" s="49">
        <f t="shared" si="36"/>
        <v>7</v>
      </c>
      <c r="M800" s="48">
        <f t="shared" si="38"/>
        <v>35593.18</v>
      </c>
      <c r="N800" s="48">
        <v>5084.74</v>
      </c>
      <c r="O800" s="50">
        <v>9</v>
      </c>
      <c r="P800" s="50">
        <v>9</v>
      </c>
      <c r="Q800" s="51">
        <f t="shared" si="37"/>
        <v>41999.952399999995</v>
      </c>
      <c r="R800" s="48"/>
      <c r="S800" s="24" t="s">
        <v>912</v>
      </c>
      <c r="T800" s="43">
        <v>46032</v>
      </c>
      <c r="U800" s="43" t="s">
        <v>492</v>
      </c>
      <c r="V800" s="46" t="s">
        <v>33</v>
      </c>
      <c r="W800" s="54"/>
    </row>
    <row r="801" spans="1:23" ht="34.950000000000003" customHeight="1" x14ac:dyDescent="0.25">
      <c r="A801" s="12">
        <f>SUBTOTAL(3,$B$2:B801)</f>
        <v>800</v>
      </c>
      <c r="B801" s="42">
        <v>428</v>
      </c>
      <c r="C801" s="43">
        <v>46032</v>
      </c>
      <c r="D801" s="42">
        <v>82601130008</v>
      </c>
      <c r="E801" s="44">
        <v>46035</v>
      </c>
      <c r="F801" s="79" t="s">
        <v>35</v>
      </c>
      <c r="G801" s="82" t="s">
        <v>485</v>
      </c>
      <c r="H801" s="76" t="s">
        <v>37</v>
      </c>
      <c r="I801" s="12" t="s">
        <v>869</v>
      </c>
      <c r="J801" s="43">
        <v>46029</v>
      </c>
      <c r="K801" s="55">
        <v>7</v>
      </c>
      <c r="L801" s="49">
        <f t="shared" si="36"/>
        <v>7</v>
      </c>
      <c r="M801" s="48">
        <f t="shared" si="38"/>
        <v>35593.18</v>
      </c>
      <c r="N801" s="48">
        <v>5084.74</v>
      </c>
      <c r="O801" s="50">
        <v>9</v>
      </c>
      <c r="P801" s="50">
        <v>9</v>
      </c>
      <c r="Q801" s="51">
        <f t="shared" si="37"/>
        <v>41999.952399999995</v>
      </c>
      <c r="R801" s="48"/>
      <c r="S801" s="24" t="s">
        <v>913</v>
      </c>
      <c r="T801" s="43">
        <v>46032</v>
      </c>
      <c r="U801" s="43" t="s">
        <v>892</v>
      </c>
      <c r="V801" s="46" t="s">
        <v>33</v>
      </c>
      <c r="W801" s="54"/>
    </row>
    <row r="802" spans="1:23" ht="34.950000000000003" customHeight="1" x14ac:dyDescent="0.25">
      <c r="A802" s="12">
        <f>SUBTOTAL(3,$B$2:B802)</f>
        <v>801</v>
      </c>
      <c r="B802" s="42">
        <v>429</v>
      </c>
      <c r="C802" s="43">
        <v>46032</v>
      </c>
      <c r="D802" s="42">
        <v>82601130009</v>
      </c>
      <c r="E802" s="44">
        <v>46035</v>
      </c>
      <c r="F802" s="79" t="s">
        <v>35</v>
      </c>
      <c r="G802" s="82" t="s">
        <v>485</v>
      </c>
      <c r="H802" s="76" t="s">
        <v>37</v>
      </c>
      <c r="I802" s="12" t="s">
        <v>869</v>
      </c>
      <c r="J802" s="43">
        <v>46029</v>
      </c>
      <c r="K802" s="55">
        <v>7</v>
      </c>
      <c r="L802" s="49">
        <f t="shared" si="36"/>
        <v>7</v>
      </c>
      <c r="M802" s="48">
        <f t="shared" si="38"/>
        <v>35593.18</v>
      </c>
      <c r="N802" s="48">
        <v>5084.74</v>
      </c>
      <c r="O802" s="50">
        <v>9</v>
      </c>
      <c r="P802" s="50">
        <v>9</v>
      </c>
      <c r="Q802" s="51">
        <f t="shared" si="37"/>
        <v>41999.952399999995</v>
      </c>
      <c r="R802" s="48"/>
      <c r="S802" s="24" t="s">
        <v>914</v>
      </c>
      <c r="T802" s="43">
        <v>46032</v>
      </c>
      <c r="U802" s="43" t="s">
        <v>896</v>
      </c>
      <c r="V802" s="46" t="s">
        <v>33</v>
      </c>
      <c r="W802" s="54"/>
    </row>
    <row r="803" spans="1:23" ht="34.950000000000003" customHeight="1" x14ac:dyDescent="0.25">
      <c r="A803" s="12">
        <f>SUBTOTAL(3,$B$2:B803)</f>
        <v>802</v>
      </c>
      <c r="B803" s="42">
        <v>430</v>
      </c>
      <c r="C803" s="43">
        <v>46032</v>
      </c>
      <c r="D803" s="42">
        <v>82601130010</v>
      </c>
      <c r="E803" s="44">
        <v>46035</v>
      </c>
      <c r="F803" s="79" t="s">
        <v>35</v>
      </c>
      <c r="G803" s="82" t="s">
        <v>485</v>
      </c>
      <c r="H803" s="76" t="s">
        <v>37</v>
      </c>
      <c r="I803" s="12" t="s">
        <v>869</v>
      </c>
      <c r="J803" s="43">
        <v>46029</v>
      </c>
      <c r="K803" s="55">
        <v>7</v>
      </c>
      <c r="L803" s="49">
        <f t="shared" si="36"/>
        <v>7</v>
      </c>
      <c r="M803" s="48">
        <f t="shared" si="38"/>
        <v>35593.18</v>
      </c>
      <c r="N803" s="48">
        <v>5084.74</v>
      </c>
      <c r="O803" s="50">
        <v>9</v>
      </c>
      <c r="P803" s="50">
        <v>9</v>
      </c>
      <c r="Q803" s="51">
        <f t="shared" si="37"/>
        <v>41999.952399999995</v>
      </c>
      <c r="R803" s="48"/>
      <c r="S803" s="24" t="s">
        <v>915</v>
      </c>
      <c r="T803" s="43">
        <v>46032</v>
      </c>
      <c r="U803" s="43" t="s">
        <v>884</v>
      </c>
      <c r="V803" s="46" t="s">
        <v>33</v>
      </c>
      <c r="W803" s="54"/>
    </row>
    <row r="804" spans="1:23" ht="34.950000000000003" customHeight="1" x14ac:dyDescent="0.25">
      <c r="A804" s="12">
        <f>SUBTOTAL(3,$B$2:B804)</f>
        <v>803</v>
      </c>
      <c r="B804" s="42">
        <v>431</v>
      </c>
      <c r="C804" s="43">
        <v>46032</v>
      </c>
      <c r="D804" s="42">
        <v>82601130011</v>
      </c>
      <c r="E804" s="44">
        <v>46035</v>
      </c>
      <c r="F804" s="79" t="s">
        <v>35</v>
      </c>
      <c r="G804" s="82" t="s">
        <v>485</v>
      </c>
      <c r="H804" s="76" t="s">
        <v>37</v>
      </c>
      <c r="I804" s="12" t="s">
        <v>869</v>
      </c>
      <c r="J804" s="43">
        <v>46029</v>
      </c>
      <c r="K804" s="55">
        <v>7</v>
      </c>
      <c r="L804" s="49">
        <f t="shared" si="36"/>
        <v>7</v>
      </c>
      <c r="M804" s="48">
        <f t="shared" si="38"/>
        <v>35593.18</v>
      </c>
      <c r="N804" s="48">
        <v>5084.74</v>
      </c>
      <c r="O804" s="50">
        <v>9</v>
      </c>
      <c r="P804" s="50">
        <v>9</v>
      </c>
      <c r="Q804" s="51">
        <f t="shared" si="37"/>
        <v>41999.952399999995</v>
      </c>
      <c r="R804" s="48"/>
      <c r="S804" s="24" t="s">
        <v>916</v>
      </c>
      <c r="T804" s="43">
        <v>46032</v>
      </c>
      <c r="U804" s="43" t="s">
        <v>917</v>
      </c>
      <c r="V804" s="46" t="s">
        <v>33</v>
      </c>
      <c r="W804" s="54"/>
    </row>
    <row r="805" spans="1:23" ht="34.950000000000003" customHeight="1" x14ac:dyDescent="0.25">
      <c r="A805" s="12">
        <f>SUBTOTAL(3,$B$2:B805)</f>
        <v>804</v>
      </c>
      <c r="B805" s="42">
        <v>432</v>
      </c>
      <c r="C805" s="43">
        <v>46032</v>
      </c>
      <c r="D805" s="42">
        <v>82601130012</v>
      </c>
      <c r="E805" s="44">
        <v>46035</v>
      </c>
      <c r="F805" s="79" t="s">
        <v>35</v>
      </c>
      <c r="G805" s="71" t="s">
        <v>485</v>
      </c>
      <c r="H805" s="76" t="s">
        <v>37</v>
      </c>
      <c r="I805" s="12" t="s">
        <v>869</v>
      </c>
      <c r="J805" s="43">
        <v>46029</v>
      </c>
      <c r="K805" s="55">
        <v>7</v>
      </c>
      <c r="L805" s="49">
        <f t="shared" si="36"/>
        <v>7</v>
      </c>
      <c r="M805" s="48">
        <f t="shared" si="38"/>
        <v>35593.18</v>
      </c>
      <c r="N805" s="48">
        <v>5084.74</v>
      </c>
      <c r="O805" s="50">
        <v>9</v>
      </c>
      <c r="P805" s="50">
        <v>9</v>
      </c>
      <c r="Q805" s="51">
        <f t="shared" si="37"/>
        <v>41999.952399999995</v>
      </c>
      <c r="R805" s="48"/>
      <c r="S805" s="24" t="s">
        <v>918</v>
      </c>
      <c r="T805" s="43">
        <v>46032</v>
      </c>
      <c r="U805" s="43" t="s">
        <v>892</v>
      </c>
      <c r="V805" s="46" t="s">
        <v>33</v>
      </c>
      <c r="W805" s="54"/>
    </row>
    <row r="806" spans="1:23" ht="34.950000000000003" customHeight="1" x14ac:dyDescent="0.25">
      <c r="A806" s="12">
        <f>SUBTOTAL(3,$B$2:B806)</f>
        <v>805</v>
      </c>
      <c r="B806" s="42">
        <v>433</v>
      </c>
      <c r="C806" s="43">
        <v>46032</v>
      </c>
      <c r="D806" s="42">
        <v>82601130013</v>
      </c>
      <c r="E806" s="44">
        <v>46035</v>
      </c>
      <c r="F806" s="79" t="s">
        <v>35</v>
      </c>
      <c r="G806" s="71" t="s">
        <v>485</v>
      </c>
      <c r="H806" s="76" t="s">
        <v>37</v>
      </c>
      <c r="I806" s="12" t="s">
        <v>869</v>
      </c>
      <c r="J806" s="43">
        <v>46029</v>
      </c>
      <c r="K806" s="55">
        <v>7</v>
      </c>
      <c r="L806" s="49">
        <f t="shared" si="36"/>
        <v>7</v>
      </c>
      <c r="M806" s="48">
        <f t="shared" si="38"/>
        <v>35593.18</v>
      </c>
      <c r="N806" s="48">
        <v>5084.74</v>
      </c>
      <c r="O806" s="50">
        <v>9</v>
      </c>
      <c r="P806" s="50">
        <v>9</v>
      </c>
      <c r="Q806" s="51">
        <f t="shared" si="37"/>
        <v>41999.952399999995</v>
      </c>
      <c r="R806" s="48"/>
      <c r="S806" s="24" t="s">
        <v>919</v>
      </c>
      <c r="T806" s="43">
        <v>46032</v>
      </c>
      <c r="U806" s="43" t="s">
        <v>492</v>
      </c>
      <c r="V806" s="46" t="s">
        <v>33</v>
      </c>
      <c r="W806" s="54"/>
    </row>
    <row r="807" spans="1:23" ht="34.950000000000003" customHeight="1" x14ac:dyDescent="0.25">
      <c r="A807" s="12">
        <f>SUBTOTAL(3,$B$2:B807)</f>
        <v>806</v>
      </c>
      <c r="B807" s="42">
        <v>434</v>
      </c>
      <c r="C807" s="43">
        <v>46032</v>
      </c>
      <c r="D807" s="42">
        <v>82601130015</v>
      </c>
      <c r="E807" s="43">
        <v>46035</v>
      </c>
      <c r="F807" s="79" t="s">
        <v>619</v>
      </c>
      <c r="G807" s="71" t="s">
        <v>212</v>
      </c>
      <c r="H807" s="76" t="s">
        <v>16</v>
      </c>
      <c r="I807" s="46"/>
      <c r="J807" s="43"/>
      <c r="K807" s="73">
        <v>2</v>
      </c>
      <c r="L807" s="49">
        <f t="shared" si="36"/>
        <v>2</v>
      </c>
      <c r="M807" s="48">
        <f t="shared" si="38"/>
        <v>1100</v>
      </c>
      <c r="N807" s="48">
        <v>550</v>
      </c>
      <c r="O807" s="50"/>
      <c r="P807" s="50"/>
      <c r="Q807" s="51">
        <f t="shared" si="37"/>
        <v>1100</v>
      </c>
      <c r="R807" s="48"/>
      <c r="S807" s="24">
        <v>1386</v>
      </c>
      <c r="T807" s="43">
        <v>46032</v>
      </c>
      <c r="U807" s="43" t="s">
        <v>638</v>
      </c>
      <c r="V807" s="46" t="s">
        <v>247</v>
      </c>
      <c r="W807" s="54"/>
    </row>
    <row r="808" spans="1:23" ht="34.950000000000003" customHeight="1" x14ac:dyDescent="0.25">
      <c r="A808" s="12">
        <f>SUBTOTAL(3,$B$2:B808)</f>
        <v>807</v>
      </c>
      <c r="B808" s="42">
        <v>435</v>
      </c>
      <c r="C808" s="43">
        <v>46032</v>
      </c>
      <c r="D808" s="42">
        <v>82601210001</v>
      </c>
      <c r="E808" s="43">
        <v>46043</v>
      </c>
      <c r="F808" s="79" t="s">
        <v>644</v>
      </c>
      <c r="G808" s="71" t="s">
        <v>680</v>
      </c>
      <c r="H808" s="76" t="s">
        <v>478</v>
      </c>
      <c r="I808" s="46"/>
      <c r="J808" s="43"/>
      <c r="K808" s="73">
        <v>5</v>
      </c>
      <c r="L808" s="49">
        <f t="shared" si="36"/>
        <v>5</v>
      </c>
      <c r="M808" s="48">
        <f t="shared" si="38"/>
        <v>537.95000000000005</v>
      </c>
      <c r="N808" s="48">
        <v>107.59</v>
      </c>
      <c r="O808" s="50"/>
      <c r="P808" s="50"/>
      <c r="Q808" s="51">
        <f t="shared" si="37"/>
        <v>537.95000000000005</v>
      </c>
      <c r="R808" s="48"/>
      <c r="S808" s="24">
        <v>2420</v>
      </c>
      <c r="T808" s="43">
        <v>46032</v>
      </c>
      <c r="U808" s="43" t="s">
        <v>638</v>
      </c>
      <c r="V808" s="46" t="s">
        <v>247</v>
      </c>
      <c r="W808" s="54"/>
    </row>
    <row r="809" spans="1:23" ht="34.950000000000003" customHeight="1" x14ac:dyDescent="0.25">
      <c r="A809" s="12">
        <f>SUBTOTAL(3,$B$2:B809)</f>
        <v>808</v>
      </c>
      <c r="B809" s="42">
        <v>436</v>
      </c>
      <c r="C809" s="43">
        <v>46041</v>
      </c>
      <c r="D809" s="42">
        <v>82601210002</v>
      </c>
      <c r="E809" s="43">
        <v>46043</v>
      </c>
      <c r="F809" s="79" t="s">
        <v>841</v>
      </c>
      <c r="G809" s="71" t="s">
        <v>172</v>
      </c>
      <c r="H809" s="76" t="s">
        <v>155</v>
      </c>
      <c r="I809" s="46"/>
      <c r="J809" s="43"/>
      <c r="K809" s="73">
        <v>60</v>
      </c>
      <c r="L809" s="49">
        <f t="shared" si="36"/>
        <v>60</v>
      </c>
      <c r="M809" s="48">
        <f t="shared" si="38"/>
        <v>16020</v>
      </c>
      <c r="N809" s="48">
        <v>267</v>
      </c>
      <c r="O809" s="50">
        <v>9</v>
      </c>
      <c r="P809" s="50">
        <v>9</v>
      </c>
      <c r="Q809" s="51">
        <f t="shared" si="37"/>
        <v>18903.599999999999</v>
      </c>
      <c r="R809" s="48">
        <v>900</v>
      </c>
      <c r="S809" s="24">
        <v>1</v>
      </c>
      <c r="T809" s="43">
        <v>46041</v>
      </c>
      <c r="U809" s="43" t="s">
        <v>920</v>
      </c>
      <c r="V809" s="46" t="s">
        <v>247</v>
      </c>
      <c r="W809" s="54"/>
    </row>
    <row r="810" spans="1:23" ht="34.950000000000003" customHeight="1" x14ac:dyDescent="0.25">
      <c r="A810" s="12">
        <f>SUBTOTAL(3,$B$2:B810)</f>
        <v>809</v>
      </c>
      <c r="B810" s="42">
        <v>437</v>
      </c>
      <c r="C810" s="43">
        <v>46042</v>
      </c>
      <c r="D810" s="42">
        <v>82601210003</v>
      </c>
      <c r="E810" s="44">
        <v>46043</v>
      </c>
      <c r="F810" s="79" t="s">
        <v>35</v>
      </c>
      <c r="G810" s="53" t="s">
        <v>485</v>
      </c>
      <c r="H810" s="76" t="s">
        <v>37</v>
      </c>
      <c r="I810" s="12" t="s">
        <v>869</v>
      </c>
      <c r="J810" s="43">
        <v>46029</v>
      </c>
      <c r="K810" s="55">
        <v>7</v>
      </c>
      <c r="L810" s="49">
        <f t="shared" si="36"/>
        <v>7</v>
      </c>
      <c r="M810" s="48">
        <f t="shared" si="38"/>
        <v>35593.18</v>
      </c>
      <c r="N810" s="48">
        <v>5084.74</v>
      </c>
      <c r="O810" s="50">
        <v>9</v>
      </c>
      <c r="P810" s="50">
        <v>9</v>
      </c>
      <c r="Q810" s="51">
        <f t="shared" si="37"/>
        <v>41999.952399999995</v>
      </c>
      <c r="R810" s="48"/>
      <c r="S810" s="24" t="s">
        <v>921</v>
      </c>
      <c r="T810" s="43">
        <v>46042</v>
      </c>
      <c r="U810" s="43" t="s">
        <v>97</v>
      </c>
      <c r="V810" s="46" t="s">
        <v>33</v>
      </c>
      <c r="W810" s="54"/>
    </row>
    <row r="811" spans="1:23" ht="34.950000000000003" customHeight="1" x14ac:dyDescent="0.25">
      <c r="A811" s="12">
        <f>SUBTOTAL(3,$B$2:B811)</f>
        <v>810</v>
      </c>
      <c r="B811" s="42">
        <v>438</v>
      </c>
      <c r="C811" s="43">
        <v>46042</v>
      </c>
      <c r="D811" s="42">
        <v>82601210004</v>
      </c>
      <c r="E811" s="44">
        <v>46043</v>
      </c>
      <c r="F811" s="79" t="s">
        <v>35</v>
      </c>
      <c r="G811" s="45" t="s">
        <v>485</v>
      </c>
      <c r="H811" s="46" t="s">
        <v>37</v>
      </c>
      <c r="I811" s="12" t="s">
        <v>869</v>
      </c>
      <c r="J811" s="43">
        <v>46029</v>
      </c>
      <c r="K811" s="104">
        <v>6.5</v>
      </c>
      <c r="L811" s="49">
        <f t="shared" si="36"/>
        <v>6.5</v>
      </c>
      <c r="M811" s="48">
        <f t="shared" si="38"/>
        <v>33050.81</v>
      </c>
      <c r="N811" s="48">
        <v>5084.74</v>
      </c>
      <c r="O811" s="50">
        <v>9</v>
      </c>
      <c r="P811" s="50">
        <v>9</v>
      </c>
      <c r="Q811" s="51">
        <f t="shared" si="37"/>
        <v>38999.955799999996</v>
      </c>
      <c r="R811" s="48"/>
      <c r="S811" s="24" t="s">
        <v>922</v>
      </c>
      <c r="T811" s="43">
        <v>46042</v>
      </c>
      <c r="U811" s="24" t="s">
        <v>97</v>
      </c>
      <c r="V811" s="46" t="s">
        <v>33</v>
      </c>
      <c r="W811" s="54"/>
    </row>
    <row r="812" spans="1:23" ht="34.950000000000003" customHeight="1" x14ac:dyDescent="0.25">
      <c r="A812" s="12">
        <f>SUBTOTAL(3,$B$2:B812)</f>
        <v>811</v>
      </c>
      <c r="B812" s="42">
        <v>439</v>
      </c>
      <c r="C812" s="43">
        <v>46052</v>
      </c>
      <c r="D812" s="42">
        <v>82601310001</v>
      </c>
      <c r="E812" s="44">
        <v>46053</v>
      </c>
      <c r="F812" s="79" t="s">
        <v>923</v>
      </c>
      <c r="G812" s="45" t="s">
        <v>637</v>
      </c>
      <c r="H812" s="46" t="s">
        <v>94</v>
      </c>
      <c r="I812" s="12" t="s">
        <v>924</v>
      </c>
      <c r="J812" s="43">
        <v>46050</v>
      </c>
      <c r="K812" s="80">
        <v>120</v>
      </c>
      <c r="L812" s="49">
        <f t="shared" si="36"/>
        <v>120</v>
      </c>
      <c r="M812" s="48">
        <f t="shared" si="38"/>
        <v>9960</v>
      </c>
      <c r="N812" s="48">
        <v>83</v>
      </c>
      <c r="O812" s="50">
        <v>9</v>
      </c>
      <c r="P812" s="50">
        <v>9</v>
      </c>
      <c r="Q812" s="51">
        <f t="shared" si="37"/>
        <v>11752.8</v>
      </c>
      <c r="R812" s="48"/>
      <c r="S812" s="24" t="s">
        <v>925</v>
      </c>
      <c r="T812" s="43">
        <v>46052</v>
      </c>
      <c r="U812" s="24" t="s">
        <v>926</v>
      </c>
      <c r="V812" s="46" t="s">
        <v>33</v>
      </c>
      <c r="W812" s="54"/>
    </row>
    <row r="813" spans="1:23" ht="34.950000000000003" customHeight="1" x14ac:dyDescent="0.25">
      <c r="A813" s="12">
        <f>SUBTOTAL(3,$B$2:B813)</f>
        <v>812</v>
      </c>
      <c r="B813" s="42">
        <v>439</v>
      </c>
      <c r="C813" s="43">
        <v>46052</v>
      </c>
      <c r="D813" s="42">
        <v>82601310001</v>
      </c>
      <c r="E813" s="44">
        <v>46053</v>
      </c>
      <c r="F813" s="79" t="s">
        <v>923</v>
      </c>
      <c r="G813" s="45" t="s">
        <v>154</v>
      </c>
      <c r="H813" s="46" t="s">
        <v>155</v>
      </c>
      <c r="I813" s="12" t="s">
        <v>924</v>
      </c>
      <c r="J813" s="43">
        <v>46050</v>
      </c>
      <c r="K813" s="80">
        <v>20</v>
      </c>
      <c r="L813" s="49">
        <f t="shared" si="36"/>
        <v>20</v>
      </c>
      <c r="M813" s="48">
        <f t="shared" si="38"/>
        <v>10200</v>
      </c>
      <c r="N813" s="48">
        <v>510</v>
      </c>
      <c r="O813" s="50">
        <v>9</v>
      </c>
      <c r="P813" s="50">
        <v>9</v>
      </c>
      <c r="Q813" s="51">
        <f t="shared" si="37"/>
        <v>12036</v>
      </c>
      <c r="R813" s="48"/>
      <c r="S813" s="24" t="s">
        <v>925</v>
      </c>
      <c r="T813" s="43">
        <v>46052</v>
      </c>
      <c r="U813" s="24" t="s">
        <v>926</v>
      </c>
      <c r="V813" s="46" t="s">
        <v>33</v>
      </c>
      <c r="W813" s="54"/>
    </row>
    <row r="814" spans="1:23" ht="34.950000000000003" customHeight="1" x14ac:dyDescent="0.25">
      <c r="A814" s="12">
        <f>SUBTOTAL(3,$B$2:B814)</f>
        <v>813</v>
      </c>
      <c r="B814" s="42">
        <v>440</v>
      </c>
      <c r="C814" s="43">
        <v>46052</v>
      </c>
      <c r="D814" s="42">
        <v>82601310002</v>
      </c>
      <c r="E814" s="44">
        <v>46053</v>
      </c>
      <c r="F814" s="45" t="s">
        <v>735</v>
      </c>
      <c r="G814" s="52" t="s">
        <v>927</v>
      </c>
      <c r="H814" s="46" t="s">
        <v>16</v>
      </c>
      <c r="I814" s="12" t="s">
        <v>928</v>
      </c>
      <c r="J814" s="43">
        <v>46050</v>
      </c>
      <c r="K814" s="47">
        <v>1</v>
      </c>
      <c r="L814" s="49">
        <f t="shared" si="36"/>
        <v>1</v>
      </c>
      <c r="M814" s="48">
        <f t="shared" si="38"/>
        <v>12800</v>
      </c>
      <c r="N814" s="48">
        <v>12800</v>
      </c>
      <c r="O814" s="50">
        <v>9</v>
      </c>
      <c r="P814" s="50">
        <v>9</v>
      </c>
      <c r="Q814" s="51">
        <f t="shared" si="37"/>
        <v>15104</v>
      </c>
      <c r="R814" s="48"/>
      <c r="S814" s="24">
        <v>2122</v>
      </c>
      <c r="T814" s="43">
        <v>46052</v>
      </c>
      <c r="U814" s="43" t="s">
        <v>929</v>
      </c>
      <c r="V814" s="46" t="s">
        <v>33</v>
      </c>
      <c r="W814" s="54" t="s">
        <v>179</v>
      </c>
    </row>
    <row r="815" spans="1:23" ht="34.950000000000003" customHeight="1" x14ac:dyDescent="0.25">
      <c r="A815" s="12">
        <f>SUBTOTAL(3,$B$2:B815)</f>
        <v>814</v>
      </c>
      <c r="B815" s="42">
        <v>440</v>
      </c>
      <c r="C815" s="43">
        <v>46052</v>
      </c>
      <c r="D815" s="42">
        <v>82601310002</v>
      </c>
      <c r="E815" s="44">
        <v>46053</v>
      </c>
      <c r="F815" s="79" t="s">
        <v>735</v>
      </c>
      <c r="G815" s="45" t="s">
        <v>930</v>
      </c>
      <c r="H815" s="46" t="s">
        <v>16</v>
      </c>
      <c r="I815" s="12" t="s">
        <v>928</v>
      </c>
      <c r="J815" s="43">
        <v>46050</v>
      </c>
      <c r="K815" s="80">
        <v>1</v>
      </c>
      <c r="L815" s="49">
        <f t="shared" si="36"/>
        <v>1</v>
      </c>
      <c r="M815" s="48">
        <f t="shared" si="38"/>
        <v>6900</v>
      </c>
      <c r="N815" s="48">
        <v>6900</v>
      </c>
      <c r="O815" s="50">
        <v>9</v>
      </c>
      <c r="P815" s="50">
        <v>9</v>
      </c>
      <c r="Q815" s="51">
        <f t="shared" si="37"/>
        <v>8142</v>
      </c>
      <c r="R815" s="48"/>
      <c r="S815" s="24">
        <v>2122</v>
      </c>
      <c r="T815" s="43">
        <v>46052</v>
      </c>
      <c r="U815" s="24" t="s">
        <v>929</v>
      </c>
      <c r="V815" s="46" t="s">
        <v>33</v>
      </c>
      <c r="W815" s="54" t="s">
        <v>166</v>
      </c>
    </row>
    <row r="816" spans="1:23" ht="34.950000000000003" customHeight="1" x14ac:dyDescent="0.25">
      <c r="A816" s="12">
        <f>SUBTOTAL(3,$B$2:B816)</f>
        <v>815</v>
      </c>
      <c r="B816" s="42">
        <v>440</v>
      </c>
      <c r="C816" s="43">
        <v>46052</v>
      </c>
      <c r="D816" s="42">
        <v>82601310002</v>
      </c>
      <c r="E816" s="44">
        <v>46053</v>
      </c>
      <c r="F816" s="79" t="s">
        <v>735</v>
      </c>
      <c r="G816" s="45" t="s">
        <v>931</v>
      </c>
      <c r="H816" s="46" t="s">
        <v>16</v>
      </c>
      <c r="I816" s="12" t="s">
        <v>928</v>
      </c>
      <c r="J816" s="43">
        <v>46050</v>
      </c>
      <c r="K816" s="80">
        <v>1</v>
      </c>
      <c r="L816" s="49">
        <f t="shared" si="36"/>
        <v>1</v>
      </c>
      <c r="M816" s="48">
        <f t="shared" si="38"/>
        <v>2750</v>
      </c>
      <c r="N816" s="48">
        <v>2750</v>
      </c>
      <c r="O816" s="50">
        <v>9</v>
      </c>
      <c r="P816" s="50">
        <v>9</v>
      </c>
      <c r="Q816" s="51">
        <f t="shared" si="37"/>
        <v>3245</v>
      </c>
      <c r="R816" s="48"/>
      <c r="S816" s="24">
        <v>2122</v>
      </c>
      <c r="T816" s="43">
        <v>46052</v>
      </c>
      <c r="U816" s="24" t="s">
        <v>929</v>
      </c>
      <c r="V816" s="46" t="s">
        <v>33</v>
      </c>
      <c r="W816" s="54" t="s">
        <v>179</v>
      </c>
    </row>
    <row r="817" spans="1:23" ht="34.950000000000003" customHeight="1" x14ac:dyDescent="0.25">
      <c r="A817" s="12">
        <f>SUBTOTAL(3,$B$2:B817)</f>
        <v>816</v>
      </c>
      <c r="B817" s="42">
        <v>440</v>
      </c>
      <c r="C817" s="43">
        <v>46052</v>
      </c>
      <c r="D817" s="42">
        <v>82601310002</v>
      </c>
      <c r="E817" s="44">
        <v>46053</v>
      </c>
      <c r="F817" s="79" t="s">
        <v>735</v>
      </c>
      <c r="G817" s="45" t="s">
        <v>198</v>
      </c>
      <c r="H817" s="46" t="s">
        <v>16</v>
      </c>
      <c r="I817" s="12" t="s">
        <v>928</v>
      </c>
      <c r="J817" s="43">
        <v>46050</v>
      </c>
      <c r="K817" s="80">
        <v>4000</v>
      </c>
      <c r="L817" s="49">
        <f t="shared" si="36"/>
        <v>4000</v>
      </c>
      <c r="M817" s="48">
        <f t="shared" si="38"/>
        <v>4800</v>
      </c>
      <c r="N817" s="48">
        <v>1.2</v>
      </c>
      <c r="O817" s="50">
        <v>9</v>
      </c>
      <c r="P817" s="50">
        <v>9</v>
      </c>
      <c r="Q817" s="51">
        <f t="shared" si="37"/>
        <v>5664</v>
      </c>
      <c r="R817" s="48"/>
      <c r="S817" s="24">
        <v>2122</v>
      </c>
      <c r="T817" s="43">
        <v>46052</v>
      </c>
      <c r="U817" s="24" t="s">
        <v>929</v>
      </c>
      <c r="V817" s="46" t="s">
        <v>33</v>
      </c>
      <c r="W817" s="54"/>
    </row>
    <row r="818" spans="1:23" ht="34.950000000000003" customHeight="1" x14ac:dyDescent="0.25">
      <c r="A818" s="12">
        <f>SUBTOTAL(3,$B$2:B818)</f>
        <v>817</v>
      </c>
      <c r="B818" s="42">
        <v>440</v>
      </c>
      <c r="C818" s="43">
        <v>46052</v>
      </c>
      <c r="D818" s="42">
        <v>82601310002</v>
      </c>
      <c r="E818" s="44">
        <v>46053</v>
      </c>
      <c r="F818" s="45" t="s">
        <v>735</v>
      </c>
      <c r="G818" s="52" t="s">
        <v>199</v>
      </c>
      <c r="H818" s="46" t="s">
        <v>16</v>
      </c>
      <c r="I818" s="12" t="s">
        <v>928</v>
      </c>
      <c r="J818" s="43">
        <v>46050</v>
      </c>
      <c r="K818" s="47">
        <v>2000</v>
      </c>
      <c r="L818" s="49">
        <f t="shared" si="36"/>
        <v>2000</v>
      </c>
      <c r="M818" s="48">
        <f t="shared" si="38"/>
        <v>3600</v>
      </c>
      <c r="N818" s="48">
        <v>1.8</v>
      </c>
      <c r="O818" s="50">
        <v>9</v>
      </c>
      <c r="P818" s="50">
        <v>9</v>
      </c>
      <c r="Q818" s="51">
        <f t="shared" si="37"/>
        <v>4248</v>
      </c>
      <c r="R818" s="48"/>
      <c r="S818" s="24">
        <v>2122</v>
      </c>
      <c r="T818" s="43">
        <v>46052</v>
      </c>
      <c r="U818" s="43" t="s">
        <v>929</v>
      </c>
      <c r="V818" s="46" t="s">
        <v>33</v>
      </c>
      <c r="W818" s="54"/>
    </row>
    <row r="819" spans="1:23" ht="34.950000000000003" customHeight="1" x14ac:dyDescent="0.25">
      <c r="A819" s="12">
        <f>SUBTOTAL(3,$B$2:B819)</f>
        <v>818</v>
      </c>
      <c r="B819" s="42">
        <v>440</v>
      </c>
      <c r="C819" s="43">
        <v>46052</v>
      </c>
      <c r="D819" s="42">
        <v>82601310002</v>
      </c>
      <c r="E819" s="44">
        <v>46053</v>
      </c>
      <c r="F819" s="79" t="s">
        <v>735</v>
      </c>
      <c r="G819" s="45" t="s">
        <v>932</v>
      </c>
      <c r="H819" s="46" t="s">
        <v>16</v>
      </c>
      <c r="I819" s="12" t="s">
        <v>928</v>
      </c>
      <c r="J819" s="43">
        <v>46050</v>
      </c>
      <c r="K819" s="80">
        <v>30</v>
      </c>
      <c r="L819" s="49">
        <f t="shared" si="36"/>
        <v>30</v>
      </c>
      <c r="M819" s="48">
        <f t="shared" si="38"/>
        <v>2340</v>
      </c>
      <c r="N819" s="48">
        <v>78</v>
      </c>
      <c r="O819" s="50">
        <v>9</v>
      </c>
      <c r="P819" s="50">
        <v>9</v>
      </c>
      <c r="Q819" s="51">
        <f t="shared" si="37"/>
        <v>2761.2</v>
      </c>
      <c r="R819" s="48"/>
      <c r="S819" s="24">
        <v>2122</v>
      </c>
      <c r="T819" s="43">
        <v>46052</v>
      </c>
      <c r="U819" s="24" t="s">
        <v>929</v>
      </c>
      <c r="V819" s="46" t="s">
        <v>33</v>
      </c>
      <c r="W819" s="54"/>
    </row>
    <row r="820" spans="1:23" ht="34.950000000000003" customHeight="1" x14ac:dyDescent="0.25">
      <c r="A820" s="12">
        <f>SUBTOTAL(3,$B$2:B820)</f>
        <v>819</v>
      </c>
      <c r="B820" s="42">
        <v>440</v>
      </c>
      <c r="C820" s="43">
        <v>46052</v>
      </c>
      <c r="D820" s="42">
        <v>82601310002</v>
      </c>
      <c r="E820" s="44">
        <v>46053</v>
      </c>
      <c r="F820" s="45" t="s">
        <v>735</v>
      </c>
      <c r="G820" s="52" t="s">
        <v>519</v>
      </c>
      <c r="H820" s="46" t="s">
        <v>16</v>
      </c>
      <c r="I820" s="12" t="s">
        <v>928</v>
      </c>
      <c r="J820" s="43">
        <v>46050</v>
      </c>
      <c r="K820" s="47">
        <v>30</v>
      </c>
      <c r="L820" s="49">
        <f t="shared" si="36"/>
        <v>30</v>
      </c>
      <c r="M820" s="48">
        <f t="shared" si="38"/>
        <v>1050</v>
      </c>
      <c r="N820" s="48">
        <v>35</v>
      </c>
      <c r="O820" s="50">
        <v>9</v>
      </c>
      <c r="P820" s="50">
        <v>9</v>
      </c>
      <c r="Q820" s="51">
        <f t="shared" si="37"/>
        <v>1239</v>
      </c>
      <c r="R820" s="48"/>
      <c r="S820" s="24">
        <v>2122</v>
      </c>
      <c r="T820" s="43">
        <v>46052</v>
      </c>
      <c r="U820" s="43" t="s">
        <v>929</v>
      </c>
      <c r="V820" s="46" t="s">
        <v>33</v>
      </c>
      <c r="W820" s="54"/>
    </row>
    <row r="821" spans="1:23" ht="34.950000000000003" customHeight="1" x14ac:dyDescent="0.25">
      <c r="A821" s="12">
        <f>SUBTOTAL(3,$B$2:B821)</f>
        <v>820</v>
      </c>
      <c r="B821" s="42">
        <v>440</v>
      </c>
      <c r="C821" s="43">
        <v>46052</v>
      </c>
      <c r="D821" s="42">
        <v>82601310002</v>
      </c>
      <c r="E821" s="44">
        <v>46053</v>
      </c>
      <c r="F821" s="45" t="s">
        <v>735</v>
      </c>
      <c r="G821" s="52" t="s">
        <v>208</v>
      </c>
      <c r="H821" s="46" t="s">
        <v>16</v>
      </c>
      <c r="I821" s="12" t="s">
        <v>928</v>
      </c>
      <c r="J821" s="43">
        <v>46050</v>
      </c>
      <c r="K821" s="47">
        <v>10</v>
      </c>
      <c r="L821" s="49">
        <f t="shared" si="36"/>
        <v>10</v>
      </c>
      <c r="M821" s="48">
        <f t="shared" si="38"/>
        <v>900</v>
      </c>
      <c r="N821" s="48">
        <v>90</v>
      </c>
      <c r="O821" s="50">
        <v>9</v>
      </c>
      <c r="P821" s="50">
        <v>9</v>
      </c>
      <c r="Q821" s="51">
        <f t="shared" si="37"/>
        <v>1062</v>
      </c>
      <c r="R821" s="48"/>
      <c r="S821" s="24">
        <v>2122</v>
      </c>
      <c r="T821" s="43">
        <v>46052</v>
      </c>
      <c r="U821" s="43" t="s">
        <v>929</v>
      </c>
      <c r="V821" s="46" t="s">
        <v>33</v>
      </c>
      <c r="W821" s="54"/>
    </row>
    <row r="822" spans="1:23" ht="34.950000000000003" customHeight="1" x14ac:dyDescent="0.25">
      <c r="A822" s="12">
        <f>SUBTOTAL(3,$B$2:B822)</f>
        <v>821</v>
      </c>
      <c r="B822" s="42">
        <v>440</v>
      </c>
      <c r="C822" s="43">
        <v>46052</v>
      </c>
      <c r="D822" s="42">
        <v>82601310002</v>
      </c>
      <c r="E822" s="44">
        <v>46053</v>
      </c>
      <c r="F822" s="45" t="s">
        <v>735</v>
      </c>
      <c r="G822" s="52" t="s">
        <v>209</v>
      </c>
      <c r="H822" s="46" t="s">
        <v>16</v>
      </c>
      <c r="I822" s="12" t="s">
        <v>928</v>
      </c>
      <c r="J822" s="43">
        <v>46050</v>
      </c>
      <c r="K822" s="47">
        <v>10</v>
      </c>
      <c r="L822" s="49">
        <f t="shared" si="36"/>
        <v>10</v>
      </c>
      <c r="M822" s="48">
        <f t="shared" si="38"/>
        <v>900</v>
      </c>
      <c r="N822" s="48">
        <v>90</v>
      </c>
      <c r="O822" s="50">
        <v>9</v>
      </c>
      <c r="P822" s="50">
        <v>9</v>
      </c>
      <c r="Q822" s="51">
        <f t="shared" si="37"/>
        <v>1062</v>
      </c>
      <c r="R822" s="48"/>
      <c r="S822" s="24">
        <v>2122</v>
      </c>
      <c r="T822" s="43">
        <v>46052</v>
      </c>
      <c r="U822" s="43" t="s">
        <v>929</v>
      </c>
      <c r="V822" s="46" t="s">
        <v>33</v>
      </c>
      <c r="W822" s="54"/>
    </row>
    <row r="823" spans="1:23" ht="34.950000000000003" customHeight="1" x14ac:dyDescent="0.25">
      <c r="A823" s="12">
        <f>SUBTOTAL(3,$B$2:B823)</f>
        <v>822</v>
      </c>
      <c r="B823" s="42">
        <v>440</v>
      </c>
      <c r="C823" s="43">
        <v>46052</v>
      </c>
      <c r="D823" s="42">
        <v>82601310002</v>
      </c>
      <c r="E823" s="44">
        <v>46053</v>
      </c>
      <c r="F823" s="79" t="s">
        <v>735</v>
      </c>
      <c r="G823" s="45" t="s">
        <v>742</v>
      </c>
      <c r="H823" s="46" t="s">
        <v>125</v>
      </c>
      <c r="I823" s="12" t="s">
        <v>928</v>
      </c>
      <c r="J823" s="43">
        <v>46050</v>
      </c>
      <c r="K823" s="80">
        <v>300</v>
      </c>
      <c r="L823" s="49">
        <f t="shared" si="36"/>
        <v>300</v>
      </c>
      <c r="M823" s="48">
        <f t="shared" si="38"/>
        <v>13500</v>
      </c>
      <c r="N823" s="48">
        <v>45</v>
      </c>
      <c r="O823" s="50">
        <v>2.5</v>
      </c>
      <c r="P823" s="50">
        <v>2.5</v>
      </c>
      <c r="Q823" s="51">
        <f t="shared" si="37"/>
        <v>14175</v>
      </c>
      <c r="R823" s="48"/>
      <c r="S823" s="24">
        <v>2122</v>
      </c>
      <c r="T823" s="43">
        <v>46052</v>
      </c>
      <c r="U823" s="24" t="s">
        <v>929</v>
      </c>
      <c r="V823" s="46" t="s">
        <v>33</v>
      </c>
      <c r="W823" s="54"/>
    </row>
    <row r="824" spans="1:23" ht="34.950000000000003" customHeight="1" x14ac:dyDescent="0.25">
      <c r="A824" s="12">
        <f>SUBTOTAL(3,$B$2:B824)</f>
        <v>823</v>
      </c>
      <c r="B824" s="42">
        <v>440</v>
      </c>
      <c r="C824" s="43">
        <v>46052</v>
      </c>
      <c r="D824" s="42">
        <v>82601310002</v>
      </c>
      <c r="E824" s="44">
        <v>46053</v>
      </c>
      <c r="F824" s="45" t="s">
        <v>735</v>
      </c>
      <c r="G824" s="52" t="s">
        <v>933</v>
      </c>
      <c r="H824" s="46" t="s">
        <v>125</v>
      </c>
      <c r="I824" s="12" t="s">
        <v>928</v>
      </c>
      <c r="J824" s="43">
        <v>46050</v>
      </c>
      <c r="K824" s="47">
        <v>15</v>
      </c>
      <c r="L824" s="49">
        <f t="shared" si="36"/>
        <v>15</v>
      </c>
      <c r="M824" s="48">
        <f t="shared" si="38"/>
        <v>5700</v>
      </c>
      <c r="N824" s="48">
        <v>380</v>
      </c>
      <c r="O824" s="50">
        <v>2.5</v>
      </c>
      <c r="P824" s="50">
        <v>2.5</v>
      </c>
      <c r="Q824" s="51">
        <f t="shared" si="37"/>
        <v>5985</v>
      </c>
      <c r="R824" s="48"/>
      <c r="S824" s="24">
        <v>2122</v>
      </c>
      <c r="T824" s="43">
        <v>46052</v>
      </c>
      <c r="U824" s="43" t="s">
        <v>929</v>
      </c>
      <c r="V824" s="46" t="s">
        <v>33</v>
      </c>
      <c r="W824" s="54"/>
    </row>
    <row r="825" spans="1:23" ht="34.950000000000003" customHeight="1" x14ac:dyDescent="0.25">
      <c r="A825" s="12">
        <f>SUBTOTAL(3,$B$2:B825)</f>
        <v>824</v>
      </c>
      <c r="B825" s="42">
        <v>440</v>
      </c>
      <c r="C825" s="43">
        <v>46052</v>
      </c>
      <c r="D825" s="42">
        <v>82601310002</v>
      </c>
      <c r="E825" s="44">
        <v>46053</v>
      </c>
      <c r="F825" s="45" t="s">
        <v>735</v>
      </c>
      <c r="G825" s="52" t="s">
        <v>934</v>
      </c>
      <c r="H825" s="46" t="s">
        <v>125</v>
      </c>
      <c r="I825" s="12" t="s">
        <v>928</v>
      </c>
      <c r="J825" s="43">
        <v>46050</v>
      </c>
      <c r="K825" s="47">
        <v>15</v>
      </c>
      <c r="L825" s="49">
        <f t="shared" si="36"/>
        <v>15</v>
      </c>
      <c r="M825" s="48">
        <f t="shared" si="38"/>
        <v>5700</v>
      </c>
      <c r="N825" s="48">
        <v>380</v>
      </c>
      <c r="O825" s="50">
        <v>2.5</v>
      </c>
      <c r="P825" s="50">
        <v>2.5</v>
      </c>
      <c r="Q825" s="51">
        <f t="shared" si="37"/>
        <v>5985</v>
      </c>
      <c r="R825" s="48"/>
      <c r="S825" s="24">
        <v>2122</v>
      </c>
      <c r="T825" s="43">
        <v>46052</v>
      </c>
      <c r="U825" s="43" t="s">
        <v>929</v>
      </c>
      <c r="V825" s="46" t="s">
        <v>33</v>
      </c>
      <c r="W825" s="54"/>
    </row>
    <row r="826" spans="1:23" ht="34.950000000000003" customHeight="1" x14ac:dyDescent="0.3">
      <c r="A826" s="12">
        <f>SUBTOTAL(3,$B$2:B826)</f>
        <v>825</v>
      </c>
      <c r="B826" s="42">
        <v>440</v>
      </c>
      <c r="C826" s="43">
        <v>46052</v>
      </c>
      <c r="D826" s="42">
        <v>82601310002</v>
      </c>
      <c r="E826" s="44">
        <v>46053</v>
      </c>
      <c r="F826" s="119" t="s">
        <v>735</v>
      </c>
      <c r="G826" s="52" t="s">
        <v>129</v>
      </c>
      <c r="H826" s="46" t="s">
        <v>16</v>
      </c>
      <c r="I826" s="12" t="s">
        <v>928</v>
      </c>
      <c r="J826" s="43">
        <v>46050</v>
      </c>
      <c r="K826" s="47">
        <v>20</v>
      </c>
      <c r="L826" s="49">
        <f t="shared" si="36"/>
        <v>20</v>
      </c>
      <c r="M826" s="48">
        <f t="shared" si="38"/>
        <v>1160</v>
      </c>
      <c r="N826" s="48">
        <v>58</v>
      </c>
      <c r="O826" s="50">
        <v>9</v>
      </c>
      <c r="P826" s="50">
        <v>9</v>
      </c>
      <c r="Q826" s="51">
        <f t="shared" si="37"/>
        <v>1368.8</v>
      </c>
      <c r="R826" s="48"/>
      <c r="S826" s="24">
        <v>2122</v>
      </c>
      <c r="T826" s="43">
        <v>46052</v>
      </c>
      <c r="U826" s="43" t="s">
        <v>929</v>
      </c>
      <c r="V826" s="46" t="s">
        <v>33</v>
      </c>
      <c r="W826" s="54"/>
    </row>
    <row r="827" spans="1:23" ht="34.950000000000003" customHeight="1" x14ac:dyDescent="0.25">
      <c r="A827" s="12">
        <f>SUBTOTAL(3,$B$2:B827)</f>
        <v>826</v>
      </c>
      <c r="B827" s="42">
        <v>440</v>
      </c>
      <c r="C827" s="43">
        <v>46052</v>
      </c>
      <c r="D827" s="42">
        <v>82601310002</v>
      </c>
      <c r="E827" s="44">
        <v>46053</v>
      </c>
      <c r="F827" s="45" t="s">
        <v>735</v>
      </c>
      <c r="G827" s="52" t="s">
        <v>128</v>
      </c>
      <c r="H827" s="46" t="s">
        <v>16</v>
      </c>
      <c r="I827" s="12" t="s">
        <v>928</v>
      </c>
      <c r="J827" s="43">
        <v>46050</v>
      </c>
      <c r="K827" s="47">
        <v>20</v>
      </c>
      <c r="L827" s="49">
        <f t="shared" si="36"/>
        <v>20</v>
      </c>
      <c r="M827" s="48">
        <f t="shared" si="38"/>
        <v>1160</v>
      </c>
      <c r="N827" s="48">
        <v>58</v>
      </c>
      <c r="O827" s="50">
        <v>9</v>
      </c>
      <c r="P827" s="50">
        <v>9</v>
      </c>
      <c r="Q827" s="51">
        <f t="shared" si="37"/>
        <v>1368.8</v>
      </c>
      <c r="R827" s="48"/>
      <c r="S827" s="24">
        <v>2122</v>
      </c>
      <c r="T827" s="43">
        <v>46052</v>
      </c>
      <c r="U827" s="43" t="s">
        <v>929</v>
      </c>
      <c r="V827" s="46" t="s">
        <v>33</v>
      </c>
      <c r="W827" s="54"/>
    </row>
    <row r="828" spans="1:23" ht="34.950000000000003" customHeight="1" x14ac:dyDescent="0.25">
      <c r="A828" s="12">
        <f>SUBTOTAL(3,$B$2:B828)</f>
        <v>827</v>
      </c>
      <c r="B828" s="42">
        <v>440</v>
      </c>
      <c r="C828" s="43">
        <v>46052</v>
      </c>
      <c r="D828" s="42">
        <v>82601310002</v>
      </c>
      <c r="E828" s="44">
        <v>46053</v>
      </c>
      <c r="F828" s="45" t="s">
        <v>735</v>
      </c>
      <c r="G828" s="52" t="s">
        <v>57</v>
      </c>
      <c r="H828" s="46" t="s">
        <v>16</v>
      </c>
      <c r="I828" s="12" t="s">
        <v>928</v>
      </c>
      <c r="J828" s="43">
        <v>46050</v>
      </c>
      <c r="K828" s="47">
        <v>360</v>
      </c>
      <c r="L828" s="49">
        <f t="shared" si="36"/>
        <v>360</v>
      </c>
      <c r="M828" s="48">
        <f t="shared" si="38"/>
        <v>3600</v>
      </c>
      <c r="N828" s="48">
        <v>10</v>
      </c>
      <c r="O828" s="50">
        <v>9</v>
      </c>
      <c r="P828" s="50">
        <v>9</v>
      </c>
      <c r="Q828" s="51">
        <f t="shared" si="37"/>
        <v>4248</v>
      </c>
      <c r="R828" s="48"/>
      <c r="S828" s="24">
        <v>2122</v>
      </c>
      <c r="T828" s="43">
        <v>46052</v>
      </c>
      <c r="U828" s="43" t="s">
        <v>929</v>
      </c>
      <c r="V828" s="46" t="s">
        <v>33</v>
      </c>
      <c r="W828" s="54"/>
    </row>
    <row r="829" spans="1:23" ht="34.950000000000003" customHeight="1" x14ac:dyDescent="0.25">
      <c r="A829" s="12">
        <f>SUBTOTAL(3,$B$2:B829)</f>
        <v>828</v>
      </c>
      <c r="B829" s="42">
        <v>440</v>
      </c>
      <c r="C829" s="43">
        <v>46052</v>
      </c>
      <c r="D829" s="42">
        <v>82601310002</v>
      </c>
      <c r="E829" s="44">
        <v>46053</v>
      </c>
      <c r="F829" s="45" t="s">
        <v>735</v>
      </c>
      <c r="G829" s="52" t="s">
        <v>197</v>
      </c>
      <c r="H829" s="46" t="s">
        <v>16</v>
      </c>
      <c r="I829" s="12" t="s">
        <v>928</v>
      </c>
      <c r="J829" s="43">
        <v>46050</v>
      </c>
      <c r="K829" s="47">
        <v>100</v>
      </c>
      <c r="L829" s="49">
        <f t="shared" si="36"/>
        <v>100</v>
      </c>
      <c r="M829" s="48">
        <f t="shared" si="38"/>
        <v>1600</v>
      </c>
      <c r="N829" s="48">
        <v>16</v>
      </c>
      <c r="O829" s="50">
        <v>9</v>
      </c>
      <c r="P829" s="50">
        <v>9</v>
      </c>
      <c r="Q829" s="51">
        <f t="shared" si="37"/>
        <v>1888</v>
      </c>
      <c r="R829" s="48"/>
      <c r="S829" s="24">
        <v>2122</v>
      </c>
      <c r="T829" s="43">
        <v>46052</v>
      </c>
      <c r="U829" s="43" t="s">
        <v>929</v>
      </c>
      <c r="V829" s="46" t="s">
        <v>33</v>
      </c>
      <c r="W829" s="54"/>
    </row>
    <row r="830" spans="1:23" ht="34.950000000000003" customHeight="1" x14ac:dyDescent="0.25">
      <c r="A830" s="12">
        <f>SUBTOTAL(3,$B$2:B830)</f>
        <v>829</v>
      </c>
      <c r="B830" s="42">
        <v>440</v>
      </c>
      <c r="C830" s="43">
        <v>46052</v>
      </c>
      <c r="D830" s="42">
        <v>82601310002</v>
      </c>
      <c r="E830" s="44">
        <v>46053</v>
      </c>
      <c r="F830" s="79" t="s">
        <v>735</v>
      </c>
      <c r="G830" s="45" t="s">
        <v>195</v>
      </c>
      <c r="H830" s="46" t="s">
        <v>16</v>
      </c>
      <c r="I830" s="12" t="s">
        <v>928</v>
      </c>
      <c r="J830" s="43">
        <v>46050</v>
      </c>
      <c r="K830" s="80">
        <v>100</v>
      </c>
      <c r="L830" s="49">
        <f t="shared" si="36"/>
        <v>100</v>
      </c>
      <c r="M830" s="48">
        <f t="shared" si="38"/>
        <v>1600</v>
      </c>
      <c r="N830" s="48">
        <v>16</v>
      </c>
      <c r="O830" s="50">
        <v>9</v>
      </c>
      <c r="P830" s="50">
        <v>9</v>
      </c>
      <c r="Q830" s="51">
        <f t="shared" si="37"/>
        <v>1888</v>
      </c>
      <c r="R830" s="48"/>
      <c r="S830" s="24">
        <v>2122</v>
      </c>
      <c r="T830" s="43">
        <v>46052</v>
      </c>
      <c r="U830" s="24" t="s">
        <v>929</v>
      </c>
      <c r="V830" s="46" t="s">
        <v>33</v>
      </c>
      <c r="W830" s="54"/>
    </row>
    <row r="831" spans="1:23" ht="34.950000000000003" customHeight="1" x14ac:dyDescent="0.25">
      <c r="A831" s="12">
        <f>SUBTOTAL(3,$B$2:B831)</f>
        <v>830</v>
      </c>
      <c r="B831" s="42">
        <v>440</v>
      </c>
      <c r="C831" s="43">
        <v>46052</v>
      </c>
      <c r="D831" s="42">
        <v>82601310002</v>
      </c>
      <c r="E831" s="44">
        <v>46053</v>
      </c>
      <c r="F831" s="79" t="s">
        <v>735</v>
      </c>
      <c r="G831" s="120" t="s">
        <v>65</v>
      </c>
      <c r="H831" s="46" t="s">
        <v>23</v>
      </c>
      <c r="I831" s="12" t="s">
        <v>928</v>
      </c>
      <c r="J831" s="43">
        <v>46050</v>
      </c>
      <c r="K831" s="80">
        <v>100</v>
      </c>
      <c r="L831" s="49">
        <f t="shared" si="36"/>
        <v>100</v>
      </c>
      <c r="M831" s="48">
        <f t="shared" si="38"/>
        <v>8500</v>
      </c>
      <c r="N831" s="48">
        <v>85</v>
      </c>
      <c r="O831" s="50">
        <v>9</v>
      </c>
      <c r="P831" s="50">
        <v>9</v>
      </c>
      <c r="Q831" s="51">
        <f t="shared" si="37"/>
        <v>10030</v>
      </c>
      <c r="R831" s="48">
        <v>2242</v>
      </c>
      <c r="S831" s="24">
        <v>2122</v>
      </c>
      <c r="T831" s="43">
        <v>46052</v>
      </c>
      <c r="U831" s="24" t="s">
        <v>929</v>
      </c>
      <c r="V831" s="46" t="s">
        <v>33</v>
      </c>
      <c r="W831" s="54"/>
    </row>
    <row r="832" spans="1:23" ht="34.950000000000003" customHeight="1" x14ac:dyDescent="0.25">
      <c r="A832" s="12">
        <f>SUBTOTAL(3,$B$2:B832)</f>
        <v>831</v>
      </c>
      <c r="B832" s="42">
        <v>441</v>
      </c>
      <c r="C832" s="43">
        <v>46054</v>
      </c>
      <c r="D832" s="42">
        <v>82602130002</v>
      </c>
      <c r="E832" s="43">
        <v>46066</v>
      </c>
      <c r="F832" s="45" t="s">
        <v>644</v>
      </c>
      <c r="G832" s="52" t="s">
        <v>680</v>
      </c>
      <c r="H832" s="57" t="s">
        <v>478</v>
      </c>
      <c r="I832" s="46"/>
      <c r="J832" s="43"/>
      <c r="K832" s="73">
        <v>10</v>
      </c>
      <c r="L832" s="49">
        <f t="shared" si="36"/>
        <v>10</v>
      </c>
      <c r="M832" s="48">
        <f t="shared" si="38"/>
        <v>1075.1000000000001</v>
      </c>
      <c r="N832" s="48">
        <v>107.51</v>
      </c>
      <c r="O832" s="50"/>
      <c r="P832" s="50"/>
      <c r="Q832" s="51">
        <f t="shared" si="37"/>
        <v>1075.1000000000001</v>
      </c>
      <c r="R832" s="48"/>
      <c r="S832" s="24" t="s">
        <v>935</v>
      </c>
      <c r="T832" s="43">
        <v>46052</v>
      </c>
      <c r="U832" s="43" t="s">
        <v>936</v>
      </c>
      <c r="V832" s="46" t="s">
        <v>247</v>
      </c>
      <c r="W832" s="54"/>
    </row>
    <row r="833" spans="1:23" ht="34.950000000000003" customHeight="1" x14ac:dyDescent="0.25">
      <c r="A833" s="12">
        <f>SUBTOTAL(3,$B$2:B833)</f>
        <v>832</v>
      </c>
      <c r="B833" s="42">
        <v>442</v>
      </c>
      <c r="C833" s="43">
        <v>46060</v>
      </c>
      <c r="D833" s="42">
        <v>82602090001</v>
      </c>
      <c r="E833" s="44">
        <v>46062</v>
      </c>
      <c r="F833" s="45" t="s">
        <v>841</v>
      </c>
      <c r="G833" s="52" t="s">
        <v>172</v>
      </c>
      <c r="H833" s="57" t="s">
        <v>155</v>
      </c>
      <c r="I833" s="46"/>
      <c r="J833" s="43"/>
      <c r="K833" s="73">
        <v>50</v>
      </c>
      <c r="L833" s="49">
        <f t="shared" si="36"/>
        <v>50</v>
      </c>
      <c r="M833" s="48">
        <f t="shared" si="38"/>
        <v>13400</v>
      </c>
      <c r="N833" s="48">
        <v>268</v>
      </c>
      <c r="O833" s="50">
        <v>9</v>
      </c>
      <c r="P833" s="50">
        <v>9</v>
      </c>
      <c r="Q833" s="51">
        <f t="shared" si="37"/>
        <v>15812</v>
      </c>
      <c r="R833" s="48">
        <v>650</v>
      </c>
      <c r="S833" s="24">
        <v>4</v>
      </c>
      <c r="T833" s="43">
        <v>46060</v>
      </c>
      <c r="U833" s="43" t="s">
        <v>937</v>
      </c>
      <c r="V833" s="46" t="s">
        <v>33</v>
      </c>
      <c r="W833" s="54"/>
    </row>
    <row r="834" spans="1:23" ht="34.950000000000003" customHeight="1" x14ac:dyDescent="0.25">
      <c r="A834" s="12">
        <f>SUBTOTAL(3,$B$2:B834)</f>
        <v>833</v>
      </c>
      <c r="B834" s="42">
        <v>443</v>
      </c>
      <c r="C834" s="43">
        <v>46060</v>
      </c>
      <c r="D834" s="42">
        <v>82602130001</v>
      </c>
      <c r="E834" s="43">
        <v>46066</v>
      </c>
      <c r="F834" s="45" t="s">
        <v>518</v>
      </c>
      <c r="G834" s="52" t="s">
        <v>639</v>
      </c>
      <c r="H834" s="57" t="s">
        <v>16</v>
      </c>
      <c r="I834" s="46"/>
      <c r="J834" s="43"/>
      <c r="K834" s="101">
        <v>600</v>
      </c>
      <c r="L834" s="49">
        <f t="shared" ref="L834:L897" si="39">K834</f>
        <v>600</v>
      </c>
      <c r="M834" s="48">
        <f t="shared" si="38"/>
        <v>600</v>
      </c>
      <c r="N834" s="48">
        <v>1</v>
      </c>
      <c r="O834" s="50"/>
      <c r="P834" s="50"/>
      <c r="Q834" s="51">
        <f t="shared" ref="Q834:Q897" si="40">IF(M834="","",M834*(1+(O834+P834)/100))</f>
        <v>600</v>
      </c>
      <c r="R834" s="48"/>
      <c r="S834" s="24">
        <v>2582</v>
      </c>
      <c r="T834" s="43">
        <v>46058</v>
      </c>
      <c r="U834" s="43" t="s">
        <v>638</v>
      </c>
      <c r="V834" s="46" t="s">
        <v>247</v>
      </c>
      <c r="W834" s="54"/>
    </row>
    <row r="835" spans="1:23" ht="34.950000000000003" customHeight="1" x14ac:dyDescent="0.25">
      <c r="A835" s="12">
        <f>SUBTOTAL(3,$B$2:B835)</f>
        <v>834</v>
      </c>
      <c r="B835" s="42">
        <v>444</v>
      </c>
      <c r="C835" s="43">
        <v>46070</v>
      </c>
      <c r="D835" s="42">
        <v>82602230002</v>
      </c>
      <c r="E835" s="43">
        <v>46076</v>
      </c>
      <c r="F835" s="45" t="s">
        <v>644</v>
      </c>
      <c r="G835" s="52" t="s">
        <v>680</v>
      </c>
      <c r="H835" s="57" t="s">
        <v>478</v>
      </c>
      <c r="I835" s="46"/>
      <c r="J835" s="43"/>
      <c r="K835" s="101">
        <v>10</v>
      </c>
      <c r="L835" s="49">
        <f t="shared" si="39"/>
        <v>10</v>
      </c>
      <c r="M835" s="48">
        <f t="shared" si="38"/>
        <v>1075.1000000000001</v>
      </c>
      <c r="N835" s="48">
        <v>107.51</v>
      </c>
      <c r="O835" s="50"/>
      <c r="P835" s="50"/>
      <c r="Q835" s="51">
        <f t="shared" si="40"/>
        <v>1075.1000000000001</v>
      </c>
      <c r="R835" s="48"/>
      <c r="S835" s="24" t="s">
        <v>938</v>
      </c>
      <c r="T835" s="43">
        <v>46070</v>
      </c>
      <c r="U835" s="43" t="s">
        <v>638</v>
      </c>
      <c r="V835" s="46" t="s">
        <v>247</v>
      </c>
      <c r="W835" s="54"/>
    </row>
    <row r="836" spans="1:23" ht="34.950000000000003" customHeight="1" x14ac:dyDescent="0.25">
      <c r="A836" s="12">
        <f>SUBTOTAL(3,$B$2:B836)</f>
        <v>835</v>
      </c>
      <c r="B836" s="42">
        <v>445</v>
      </c>
      <c r="C836" s="43">
        <v>46073</v>
      </c>
      <c r="D836" s="42">
        <v>82602230004</v>
      </c>
      <c r="E836" s="44">
        <v>46076</v>
      </c>
      <c r="F836" s="45" t="s">
        <v>939</v>
      </c>
      <c r="G836" s="52" t="s">
        <v>485</v>
      </c>
      <c r="H836" s="57" t="s">
        <v>37</v>
      </c>
      <c r="I836" s="46" t="s">
        <v>940</v>
      </c>
      <c r="J836" s="43">
        <v>46069</v>
      </c>
      <c r="K836" s="101">
        <v>7</v>
      </c>
      <c r="L836" s="49">
        <f t="shared" si="39"/>
        <v>7</v>
      </c>
      <c r="M836" s="48">
        <f t="shared" ref="M836:M897" si="41">L836*N836</f>
        <v>35593.22</v>
      </c>
      <c r="N836" s="48">
        <v>5084.7457142857147</v>
      </c>
      <c r="O836" s="50">
        <v>9</v>
      </c>
      <c r="P836" s="50">
        <v>9</v>
      </c>
      <c r="Q836" s="51">
        <f t="shared" si="40"/>
        <v>41999.999599999996</v>
      </c>
      <c r="R836" s="48"/>
      <c r="S836" s="24">
        <v>1209011117</v>
      </c>
      <c r="T836" s="43">
        <v>46073</v>
      </c>
      <c r="U836" s="43" t="s">
        <v>941</v>
      </c>
      <c r="V836" s="46" t="s">
        <v>33</v>
      </c>
      <c r="W836" s="54"/>
    </row>
    <row r="837" spans="1:23" ht="34.950000000000003" customHeight="1" x14ac:dyDescent="0.25">
      <c r="A837" s="12">
        <f>SUBTOTAL(3,$B$2:B837)</f>
        <v>836</v>
      </c>
      <c r="B837" s="42">
        <v>446</v>
      </c>
      <c r="C837" s="43">
        <v>46073</v>
      </c>
      <c r="D837" s="42">
        <v>82602230013</v>
      </c>
      <c r="E837" s="44">
        <v>46076</v>
      </c>
      <c r="F837" s="45" t="s">
        <v>939</v>
      </c>
      <c r="G837" s="52" t="s">
        <v>485</v>
      </c>
      <c r="H837" s="46" t="s">
        <v>37</v>
      </c>
      <c r="I837" s="46" t="s">
        <v>940</v>
      </c>
      <c r="J837" s="43">
        <v>46069</v>
      </c>
      <c r="K837" s="47">
        <v>7</v>
      </c>
      <c r="L837" s="49">
        <f t="shared" si="39"/>
        <v>7</v>
      </c>
      <c r="M837" s="48">
        <f t="shared" si="41"/>
        <v>35593.22</v>
      </c>
      <c r="N837" s="48">
        <v>5084.7457142857147</v>
      </c>
      <c r="O837" s="50">
        <v>9</v>
      </c>
      <c r="P837" s="50">
        <v>9</v>
      </c>
      <c r="Q837" s="51">
        <f t="shared" si="40"/>
        <v>41999.999599999996</v>
      </c>
      <c r="R837" s="48"/>
      <c r="S837" s="24">
        <v>1209011119</v>
      </c>
      <c r="T837" s="43">
        <v>46073</v>
      </c>
      <c r="U837" s="43" t="s">
        <v>942</v>
      </c>
      <c r="V837" s="46" t="s">
        <v>33</v>
      </c>
      <c r="W837" s="54"/>
    </row>
    <row r="838" spans="1:23" ht="34.950000000000003" customHeight="1" x14ac:dyDescent="0.25">
      <c r="A838" s="12">
        <f>SUBTOTAL(3,$B$2:B838)</f>
        <v>837</v>
      </c>
      <c r="B838" s="42">
        <v>447</v>
      </c>
      <c r="C838" s="43">
        <v>46073</v>
      </c>
      <c r="D838" s="42">
        <v>82602230005</v>
      </c>
      <c r="E838" s="44">
        <v>46076</v>
      </c>
      <c r="F838" s="45" t="s">
        <v>939</v>
      </c>
      <c r="G838" s="52" t="s">
        <v>485</v>
      </c>
      <c r="H838" s="46" t="s">
        <v>37</v>
      </c>
      <c r="I838" s="46" t="s">
        <v>940</v>
      </c>
      <c r="J838" s="43">
        <v>46069</v>
      </c>
      <c r="K838" s="47">
        <v>7</v>
      </c>
      <c r="L838" s="49">
        <f t="shared" si="39"/>
        <v>7</v>
      </c>
      <c r="M838" s="48">
        <f t="shared" si="41"/>
        <v>35593.22</v>
      </c>
      <c r="N838" s="48">
        <v>5084.7457142857147</v>
      </c>
      <c r="O838" s="50">
        <v>9</v>
      </c>
      <c r="P838" s="50">
        <v>9</v>
      </c>
      <c r="Q838" s="51">
        <f t="shared" si="40"/>
        <v>41999.999599999996</v>
      </c>
      <c r="R838" s="48"/>
      <c r="S838" s="24">
        <v>1209011122</v>
      </c>
      <c r="T838" s="43">
        <v>46073</v>
      </c>
      <c r="U838" s="43" t="s">
        <v>943</v>
      </c>
      <c r="V838" s="46" t="s">
        <v>33</v>
      </c>
      <c r="W838" s="54"/>
    </row>
    <row r="839" spans="1:23" ht="34.950000000000003" customHeight="1" x14ac:dyDescent="0.25">
      <c r="A839" s="12">
        <f>SUBTOTAL(3,$B$2:B839)</f>
        <v>838</v>
      </c>
      <c r="B839" s="42">
        <v>448</v>
      </c>
      <c r="C839" s="43">
        <v>46073</v>
      </c>
      <c r="D839" s="42">
        <v>82602230006</v>
      </c>
      <c r="E839" s="44">
        <v>46076</v>
      </c>
      <c r="F839" s="79" t="s">
        <v>939</v>
      </c>
      <c r="G839" s="45" t="s">
        <v>485</v>
      </c>
      <c r="H839" s="46" t="s">
        <v>37</v>
      </c>
      <c r="I839" s="46" t="s">
        <v>940</v>
      </c>
      <c r="J839" s="43">
        <v>46069</v>
      </c>
      <c r="K839" s="80">
        <v>7</v>
      </c>
      <c r="L839" s="49">
        <f t="shared" si="39"/>
        <v>7</v>
      </c>
      <c r="M839" s="48">
        <f t="shared" si="41"/>
        <v>35593.22</v>
      </c>
      <c r="N839" s="48">
        <v>5084.7457142857147</v>
      </c>
      <c r="O839" s="50">
        <v>9</v>
      </c>
      <c r="P839" s="50">
        <v>9</v>
      </c>
      <c r="Q839" s="51">
        <f t="shared" si="40"/>
        <v>41999.999599999996</v>
      </c>
      <c r="R839" s="48"/>
      <c r="S839" s="24">
        <v>1209011123</v>
      </c>
      <c r="T839" s="43">
        <v>46073</v>
      </c>
      <c r="U839" s="24" t="s">
        <v>944</v>
      </c>
      <c r="V839" s="46" t="s">
        <v>33</v>
      </c>
      <c r="W839" s="54"/>
    </row>
    <row r="840" spans="1:23" ht="34.950000000000003" customHeight="1" x14ac:dyDescent="0.25">
      <c r="A840" s="12">
        <f>SUBTOTAL(3,$B$2:B840)</f>
        <v>839</v>
      </c>
      <c r="B840" s="42">
        <v>449</v>
      </c>
      <c r="C840" s="43">
        <v>46073</v>
      </c>
      <c r="D840" s="42">
        <v>82602230007</v>
      </c>
      <c r="E840" s="44">
        <v>46076</v>
      </c>
      <c r="F840" s="45" t="s">
        <v>939</v>
      </c>
      <c r="G840" s="52" t="s">
        <v>485</v>
      </c>
      <c r="H840" s="46" t="s">
        <v>37</v>
      </c>
      <c r="I840" s="46" t="s">
        <v>940</v>
      </c>
      <c r="J840" s="43">
        <v>46069</v>
      </c>
      <c r="K840" s="47">
        <v>7</v>
      </c>
      <c r="L840" s="49">
        <f t="shared" si="39"/>
        <v>7</v>
      </c>
      <c r="M840" s="48">
        <f t="shared" si="41"/>
        <v>35593.22</v>
      </c>
      <c r="N840" s="48">
        <v>5084.7457142857147</v>
      </c>
      <c r="O840" s="50">
        <v>9</v>
      </c>
      <c r="P840" s="50">
        <v>9</v>
      </c>
      <c r="Q840" s="51">
        <f t="shared" si="40"/>
        <v>41999.999599999996</v>
      </c>
      <c r="R840" s="48"/>
      <c r="S840" s="24">
        <v>1209011124</v>
      </c>
      <c r="T840" s="43">
        <v>46073</v>
      </c>
      <c r="U840" s="43" t="s">
        <v>945</v>
      </c>
      <c r="V840" s="46" t="s">
        <v>33</v>
      </c>
      <c r="W840" s="54"/>
    </row>
    <row r="841" spans="1:23" ht="34.950000000000003" customHeight="1" x14ac:dyDescent="0.25">
      <c r="A841" s="12">
        <f>SUBTOTAL(3,$B$2:B841)</f>
        <v>840</v>
      </c>
      <c r="B841" s="42">
        <v>450</v>
      </c>
      <c r="C841" s="43">
        <v>46073</v>
      </c>
      <c r="D841" s="42">
        <v>82602230008</v>
      </c>
      <c r="E841" s="44">
        <v>46076</v>
      </c>
      <c r="F841" s="45" t="s">
        <v>939</v>
      </c>
      <c r="G841" s="52" t="s">
        <v>485</v>
      </c>
      <c r="H841" s="46" t="s">
        <v>37</v>
      </c>
      <c r="I841" s="46" t="s">
        <v>940</v>
      </c>
      <c r="J841" s="43">
        <v>46069</v>
      </c>
      <c r="K841" s="47">
        <v>7</v>
      </c>
      <c r="L841" s="49">
        <f t="shared" si="39"/>
        <v>7</v>
      </c>
      <c r="M841" s="48">
        <f t="shared" si="41"/>
        <v>35593.22</v>
      </c>
      <c r="N841" s="48">
        <v>5084.7457142857147</v>
      </c>
      <c r="O841" s="50">
        <v>9</v>
      </c>
      <c r="P841" s="50">
        <v>9</v>
      </c>
      <c r="Q841" s="51">
        <f t="shared" si="40"/>
        <v>41999.999599999996</v>
      </c>
      <c r="R841" s="48"/>
      <c r="S841" s="24">
        <v>1209011127</v>
      </c>
      <c r="T841" s="43">
        <v>46073</v>
      </c>
      <c r="U841" s="43" t="s">
        <v>946</v>
      </c>
      <c r="V841" s="46" t="s">
        <v>33</v>
      </c>
      <c r="W841" s="54"/>
    </row>
    <row r="842" spans="1:23" ht="34.950000000000003" customHeight="1" x14ac:dyDescent="0.25">
      <c r="A842" s="12">
        <f>SUBTOTAL(3,$B$2:B842)</f>
        <v>841</v>
      </c>
      <c r="B842" s="42">
        <v>451</v>
      </c>
      <c r="C842" s="43">
        <v>46073</v>
      </c>
      <c r="D842" s="42">
        <v>82602230009</v>
      </c>
      <c r="E842" s="44">
        <v>46076</v>
      </c>
      <c r="F842" s="45" t="s">
        <v>939</v>
      </c>
      <c r="G842" s="52" t="s">
        <v>485</v>
      </c>
      <c r="H842" s="46" t="s">
        <v>37</v>
      </c>
      <c r="I842" s="46" t="s">
        <v>940</v>
      </c>
      <c r="J842" s="43">
        <v>46069</v>
      </c>
      <c r="K842" s="47">
        <v>7</v>
      </c>
      <c r="L842" s="49">
        <f t="shared" si="39"/>
        <v>7</v>
      </c>
      <c r="M842" s="48">
        <f t="shared" si="41"/>
        <v>35593.22</v>
      </c>
      <c r="N842" s="48">
        <v>5084.7457142857147</v>
      </c>
      <c r="O842" s="50">
        <v>9</v>
      </c>
      <c r="P842" s="50">
        <v>9</v>
      </c>
      <c r="Q842" s="51">
        <f t="shared" si="40"/>
        <v>41999.999599999996</v>
      </c>
      <c r="R842" s="48"/>
      <c r="S842" s="24">
        <v>1209011128</v>
      </c>
      <c r="T842" s="43">
        <v>46073</v>
      </c>
      <c r="U842" s="43" t="s">
        <v>947</v>
      </c>
      <c r="V842" s="46" t="s">
        <v>33</v>
      </c>
      <c r="W842" s="54"/>
    </row>
    <row r="843" spans="1:23" ht="34.950000000000003" customHeight="1" x14ac:dyDescent="0.25">
      <c r="A843" s="12">
        <f>SUBTOTAL(3,$B$2:B843)</f>
        <v>842</v>
      </c>
      <c r="B843" s="116">
        <v>452</v>
      </c>
      <c r="C843" s="117">
        <v>46073</v>
      </c>
      <c r="D843" s="116">
        <v>82602230010</v>
      </c>
      <c r="E843" s="118">
        <v>46076</v>
      </c>
      <c r="F843" s="45" t="s">
        <v>939</v>
      </c>
      <c r="G843" s="52" t="s">
        <v>485</v>
      </c>
      <c r="H843" s="46" t="s">
        <v>37</v>
      </c>
      <c r="I843" s="46" t="s">
        <v>940</v>
      </c>
      <c r="J843" s="43">
        <v>46069</v>
      </c>
      <c r="K843" s="47">
        <v>7</v>
      </c>
      <c r="L843" s="49">
        <f t="shared" si="39"/>
        <v>7</v>
      </c>
      <c r="M843" s="48">
        <f t="shared" si="41"/>
        <v>35593.22</v>
      </c>
      <c r="N843" s="48">
        <v>5084.7457142857147</v>
      </c>
      <c r="O843" s="50">
        <v>9</v>
      </c>
      <c r="P843" s="50">
        <v>9</v>
      </c>
      <c r="Q843" s="51">
        <f t="shared" si="40"/>
        <v>41999.999599999996</v>
      </c>
      <c r="R843" s="48"/>
      <c r="S843" s="24">
        <v>1209011129</v>
      </c>
      <c r="T843" s="43">
        <v>46073</v>
      </c>
      <c r="U843" s="43" t="s">
        <v>948</v>
      </c>
      <c r="V843" s="46" t="s">
        <v>33</v>
      </c>
      <c r="W843" s="46"/>
    </row>
    <row r="844" spans="1:23" ht="34.950000000000003" customHeight="1" x14ac:dyDescent="0.25">
      <c r="A844" s="12">
        <f>SUBTOTAL(3,$B$2:B844)</f>
        <v>843</v>
      </c>
      <c r="B844" s="42">
        <v>453</v>
      </c>
      <c r="C844" s="43">
        <v>46073</v>
      </c>
      <c r="D844" s="42">
        <v>82602230015</v>
      </c>
      <c r="E844" s="44">
        <v>46076</v>
      </c>
      <c r="F844" s="79" t="s">
        <v>939</v>
      </c>
      <c r="G844" s="45" t="s">
        <v>485</v>
      </c>
      <c r="H844" s="46" t="s">
        <v>37</v>
      </c>
      <c r="I844" s="46" t="s">
        <v>940</v>
      </c>
      <c r="J844" s="43">
        <v>46069</v>
      </c>
      <c r="K844" s="80">
        <v>7</v>
      </c>
      <c r="L844" s="49">
        <f t="shared" si="39"/>
        <v>7</v>
      </c>
      <c r="M844" s="48">
        <f t="shared" si="41"/>
        <v>35593.22</v>
      </c>
      <c r="N844" s="48">
        <v>5084.7457142857147</v>
      </c>
      <c r="O844" s="50">
        <v>9</v>
      </c>
      <c r="P844" s="50">
        <v>9</v>
      </c>
      <c r="Q844" s="51">
        <f t="shared" si="40"/>
        <v>41999.999599999996</v>
      </c>
      <c r="R844" s="48"/>
      <c r="S844" s="24">
        <v>1209011131</v>
      </c>
      <c r="T844" s="43">
        <v>46073</v>
      </c>
      <c r="U844" s="24" t="s">
        <v>949</v>
      </c>
      <c r="V844" s="46" t="s">
        <v>33</v>
      </c>
      <c r="W844" s="54"/>
    </row>
    <row r="845" spans="1:23" ht="34.950000000000003" customHeight="1" x14ac:dyDescent="0.25">
      <c r="A845" s="12">
        <f>SUBTOTAL(3,$B$2:B845)</f>
        <v>844</v>
      </c>
      <c r="B845" s="42">
        <v>454</v>
      </c>
      <c r="C845" s="43">
        <v>46073</v>
      </c>
      <c r="D845" s="42">
        <v>82602230014</v>
      </c>
      <c r="E845" s="44">
        <v>46076</v>
      </c>
      <c r="F845" s="79" t="s">
        <v>939</v>
      </c>
      <c r="G845" s="45" t="s">
        <v>485</v>
      </c>
      <c r="H845" s="46" t="s">
        <v>37</v>
      </c>
      <c r="I845" s="46" t="s">
        <v>940</v>
      </c>
      <c r="J845" s="43">
        <v>46069</v>
      </c>
      <c r="K845" s="80">
        <v>7</v>
      </c>
      <c r="L845" s="49">
        <f t="shared" si="39"/>
        <v>7</v>
      </c>
      <c r="M845" s="48">
        <f t="shared" si="41"/>
        <v>35593.22</v>
      </c>
      <c r="N845" s="48">
        <v>5084.7457142857147</v>
      </c>
      <c r="O845" s="50">
        <v>9</v>
      </c>
      <c r="P845" s="50">
        <v>9</v>
      </c>
      <c r="Q845" s="51">
        <f t="shared" si="40"/>
        <v>41999.999599999996</v>
      </c>
      <c r="R845" s="48"/>
      <c r="S845" s="24">
        <v>1209011132</v>
      </c>
      <c r="T845" s="43">
        <v>46073</v>
      </c>
      <c r="U845" s="24" t="s">
        <v>942</v>
      </c>
      <c r="V845" s="46" t="s">
        <v>33</v>
      </c>
      <c r="W845" s="54"/>
    </row>
    <row r="846" spans="1:23" ht="34.950000000000003" customHeight="1" x14ac:dyDescent="0.25">
      <c r="A846" s="12">
        <f>SUBTOTAL(3,$B$2:B846)</f>
        <v>845</v>
      </c>
      <c r="B846" s="42">
        <v>455</v>
      </c>
      <c r="C846" s="43">
        <v>46073</v>
      </c>
      <c r="D846" s="42">
        <v>82602230011</v>
      </c>
      <c r="E846" s="44">
        <v>46076</v>
      </c>
      <c r="F846" s="45" t="s">
        <v>939</v>
      </c>
      <c r="G846" s="52" t="s">
        <v>485</v>
      </c>
      <c r="H846" s="46" t="s">
        <v>37</v>
      </c>
      <c r="I846" s="46" t="s">
        <v>940</v>
      </c>
      <c r="J846" s="43">
        <v>46069</v>
      </c>
      <c r="K846" s="73">
        <v>7</v>
      </c>
      <c r="L846" s="49">
        <f t="shared" si="39"/>
        <v>7</v>
      </c>
      <c r="M846" s="48">
        <f t="shared" si="41"/>
        <v>35593.22</v>
      </c>
      <c r="N846" s="48">
        <v>5084.7457142857147</v>
      </c>
      <c r="O846" s="50">
        <v>9</v>
      </c>
      <c r="P846" s="50">
        <v>9</v>
      </c>
      <c r="Q846" s="51">
        <f t="shared" si="40"/>
        <v>41999.999599999996</v>
      </c>
      <c r="R846" s="48"/>
      <c r="S846" s="24">
        <v>1209011133</v>
      </c>
      <c r="T846" s="43">
        <v>46073</v>
      </c>
      <c r="U846" s="24" t="s">
        <v>950</v>
      </c>
      <c r="V846" s="46" t="s">
        <v>33</v>
      </c>
      <c r="W846" s="54"/>
    </row>
    <row r="847" spans="1:23" ht="34.950000000000003" customHeight="1" x14ac:dyDescent="0.25">
      <c r="A847" s="12">
        <f>SUBTOTAL(3,$B$2:B847)</f>
        <v>846</v>
      </c>
      <c r="B847" s="42">
        <v>456</v>
      </c>
      <c r="C847" s="43">
        <v>46073</v>
      </c>
      <c r="D847" s="42">
        <v>82602230012</v>
      </c>
      <c r="E847" s="44">
        <v>46076</v>
      </c>
      <c r="F847" s="45" t="s">
        <v>939</v>
      </c>
      <c r="G847" s="71" t="s">
        <v>485</v>
      </c>
      <c r="H847" s="46" t="s">
        <v>37</v>
      </c>
      <c r="I847" s="46" t="s">
        <v>940</v>
      </c>
      <c r="J847" s="43">
        <v>46069</v>
      </c>
      <c r="K847" s="73">
        <v>3.5</v>
      </c>
      <c r="L847" s="49">
        <f t="shared" si="39"/>
        <v>3.5</v>
      </c>
      <c r="M847" s="48">
        <f t="shared" si="41"/>
        <v>17796.61</v>
      </c>
      <c r="N847" s="48">
        <v>5084.7457142857147</v>
      </c>
      <c r="O847" s="50">
        <v>9</v>
      </c>
      <c r="P847" s="50">
        <v>9</v>
      </c>
      <c r="Q847" s="51">
        <f t="shared" si="40"/>
        <v>20999.999799999998</v>
      </c>
      <c r="R847" s="48"/>
      <c r="S847" s="24">
        <v>1209011137</v>
      </c>
      <c r="T847" s="43">
        <v>46073</v>
      </c>
      <c r="U847" s="24" t="s">
        <v>946</v>
      </c>
      <c r="V847" s="46" t="s">
        <v>33</v>
      </c>
      <c r="W847" s="54"/>
    </row>
    <row r="848" spans="1:23" ht="34.950000000000003" customHeight="1" x14ac:dyDescent="0.25">
      <c r="A848" s="12">
        <f>SUBTOTAL(3,$B$2:B848)</f>
        <v>847</v>
      </c>
      <c r="B848" s="42">
        <v>457</v>
      </c>
      <c r="C848" s="43">
        <v>46074</v>
      </c>
      <c r="D848" s="42">
        <v>82602230001</v>
      </c>
      <c r="E848" s="43">
        <v>46076</v>
      </c>
      <c r="F848" s="45" t="s">
        <v>619</v>
      </c>
      <c r="G848" s="71" t="s">
        <v>656</v>
      </c>
      <c r="H848" s="76" t="s">
        <v>16</v>
      </c>
      <c r="I848" s="46"/>
      <c r="J848" s="43"/>
      <c r="K848" s="73">
        <v>1</v>
      </c>
      <c r="L848" s="49">
        <f t="shared" si="39"/>
        <v>1</v>
      </c>
      <c r="M848" s="48">
        <f t="shared" si="41"/>
        <v>3800</v>
      </c>
      <c r="N848" s="48">
        <v>3800</v>
      </c>
      <c r="O848" s="50">
        <v>9</v>
      </c>
      <c r="P848" s="50">
        <v>9</v>
      </c>
      <c r="Q848" s="51">
        <f t="shared" si="40"/>
        <v>4484</v>
      </c>
      <c r="R848" s="48"/>
      <c r="S848" s="24">
        <v>141</v>
      </c>
      <c r="T848" s="43">
        <v>46074</v>
      </c>
      <c r="U848" s="24"/>
      <c r="V848" s="46" t="s">
        <v>247</v>
      </c>
      <c r="W848" s="54"/>
    </row>
    <row r="849" spans="1:23" ht="34.950000000000003" customHeight="1" x14ac:dyDescent="0.25">
      <c r="A849" s="12">
        <f>SUBTOTAL(3,$B$2:B849)</f>
        <v>848</v>
      </c>
      <c r="B849" s="42">
        <v>458</v>
      </c>
      <c r="C849" s="43">
        <v>46076</v>
      </c>
      <c r="D849" s="42">
        <v>82602230003</v>
      </c>
      <c r="E849" s="43">
        <v>46076</v>
      </c>
      <c r="F849" s="45" t="s">
        <v>841</v>
      </c>
      <c r="G849" s="71" t="s">
        <v>842</v>
      </c>
      <c r="H849" s="76" t="s">
        <v>16</v>
      </c>
      <c r="I849" s="46"/>
      <c r="J849" s="43"/>
      <c r="K849" s="73">
        <v>4.67</v>
      </c>
      <c r="L849" s="49">
        <f t="shared" si="39"/>
        <v>4.67</v>
      </c>
      <c r="M849" s="48">
        <f t="shared" si="41"/>
        <v>5080.96</v>
      </c>
      <c r="N849" s="48">
        <v>1088</v>
      </c>
      <c r="O849" s="50"/>
      <c r="P849" s="50"/>
      <c r="Q849" s="51">
        <f t="shared" si="40"/>
        <v>5080.96</v>
      </c>
      <c r="R849" s="48"/>
      <c r="S849" s="24" t="s">
        <v>951</v>
      </c>
      <c r="T849" s="43">
        <v>46072</v>
      </c>
      <c r="U849" s="24"/>
      <c r="V849" s="46" t="s">
        <v>247</v>
      </c>
      <c r="W849" s="54"/>
    </row>
    <row r="850" spans="1:23" ht="34.950000000000003" customHeight="1" x14ac:dyDescent="0.25">
      <c r="A850" s="12">
        <f>SUBTOTAL(3,$B$2:B850)</f>
        <v>849</v>
      </c>
      <c r="B850" s="42">
        <v>459</v>
      </c>
      <c r="C850" s="43">
        <v>46080</v>
      </c>
      <c r="D850" s="42">
        <v>82602280001</v>
      </c>
      <c r="E850" s="44">
        <v>46081</v>
      </c>
      <c r="F850" s="45" t="s">
        <v>939</v>
      </c>
      <c r="G850" s="71" t="s">
        <v>485</v>
      </c>
      <c r="H850" s="76" t="s">
        <v>37</v>
      </c>
      <c r="I850" s="46" t="s">
        <v>940</v>
      </c>
      <c r="J850" s="43">
        <v>46069</v>
      </c>
      <c r="K850" s="73">
        <v>7</v>
      </c>
      <c r="L850" s="49">
        <f t="shared" si="39"/>
        <v>7</v>
      </c>
      <c r="M850" s="48">
        <f t="shared" si="41"/>
        <v>35593.25</v>
      </c>
      <c r="N850" s="48">
        <v>5084.75</v>
      </c>
      <c r="O850" s="50">
        <v>9</v>
      </c>
      <c r="P850" s="50">
        <v>9</v>
      </c>
      <c r="Q850" s="51">
        <f t="shared" si="40"/>
        <v>42000.034999999996</v>
      </c>
      <c r="R850" s="48"/>
      <c r="S850" s="24">
        <v>1209011306</v>
      </c>
      <c r="T850" s="43">
        <v>46080</v>
      </c>
      <c r="U850" s="24" t="s">
        <v>946</v>
      </c>
      <c r="V850" s="46" t="s">
        <v>33</v>
      </c>
      <c r="W850" s="54"/>
    </row>
    <row r="851" spans="1:23" ht="34.950000000000003" customHeight="1" x14ac:dyDescent="0.25">
      <c r="A851" s="12">
        <f>SUBTOTAL(3,$B$2:B851)</f>
        <v>850</v>
      </c>
      <c r="B851" s="42">
        <v>460</v>
      </c>
      <c r="C851" s="43">
        <v>46080</v>
      </c>
      <c r="D851" s="42">
        <v>82602280002</v>
      </c>
      <c r="E851" s="44">
        <v>46081</v>
      </c>
      <c r="F851" s="45" t="s">
        <v>939</v>
      </c>
      <c r="G851" s="71" t="s">
        <v>485</v>
      </c>
      <c r="H851" s="76" t="s">
        <v>37</v>
      </c>
      <c r="I851" s="46" t="s">
        <v>940</v>
      </c>
      <c r="J851" s="43">
        <v>46069</v>
      </c>
      <c r="K851" s="73">
        <v>7</v>
      </c>
      <c r="L851" s="49">
        <f t="shared" si="39"/>
        <v>7</v>
      </c>
      <c r="M851" s="48">
        <f t="shared" si="41"/>
        <v>35593.25</v>
      </c>
      <c r="N851" s="48">
        <v>5084.75</v>
      </c>
      <c r="O851" s="50">
        <v>9</v>
      </c>
      <c r="P851" s="50">
        <v>9</v>
      </c>
      <c r="Q851" s="51">
        <f t="shared" si="40"/>
        <v>42000.034999999996</v>
      </c>
      <c r="R851" s="48"/>
      <c r="S851" s="24">
        <v>1209011307</v>
      </c>
      <c r="T851" s="43">
        <v>46080</v>
      </c>
      <c r="U851" s="24" t="s">
        <v>952</v>
      </c>
      <c r="V851" s="46" t="s">
        <v>33</v>
      </c>
      <c r="W851" s="54"/>
    </row>
    <row r="852" spans="1:23" ht="34.950000000000003" customHeight="1" x14ac:dyDescent="0.25">
      <c r="A852" s="12">
        <f>SUBTOTAL(3,$B$2:B852)</f>
        <v>851</v>
      </c>
      <c r="B852" s="42">
        <v>461</v>
      </c>
      <c r="C852" s="43">
        <v>46080</v>
      </c>
      <c r="D852" s="42">
        <v>82602280003</v>
      </c>
      <c r="E852" s="44">
        <v>46081</v>
      </c>
      <c r="F852" s="45" t="s">
        <v>939</v>
      </c>
      <c r="G852" s="71" t="s">
        <v>485</v>
      </c>
      <c r="H852" s="76" t="s">
        <v>37</v>
      </c>
      <c r="I852" s="46" t="s">
        <v>940</v>
      </c>
      <c r="J852" s="43">
        <v>46069</v>
      </c>
      <c r="K852" s="73">
        <v>7</v>
      </c>
      <c r="L852" s="49">
        <f t="shared" si="39"/>
        <v>7</v>
      </c>
      <c r="M852" s="48">
        <f t="shared" si="41"/>
        <v>35593.25</v>
      </c>
      <c r="N852" s="48">
        <v>5084.75</v>
      </c>
      <c r="O852" s="50">
        <v>9</v>
      </c>
      <c r="P852" s="50">
        <v>9</v>
      </c>
      <c r="Q852" s="51">
        <f t="shared" si="40"/>
        <v>42000.034999999996</v>
      </c>
      <c r="R852" s="48"/>
      <c r="S852" s="24">
        <v>1209011310</v>
      </c>
      <c r="T852" s="43">
        <v>46080</v>
      </c>
      <c r="U852" s="24" t="s">
        <v>953</v>
      </c>
      <c r="V852" s="46" t="s">
        <v>33</v>
      </c>
      <c r="W852" s="54"/>
    </row>
    <row r="853" spans="1:23" ht="34.950000000000003" customHeight="1" x14ac:dyDescent="0.25">
      <c r="A853" s="12">
        <f>SUBTOTAL(3,$B$2:B853)</f>
        <v>852</v>
      </c>
      <c r="B853" s="42">
        <v>462</v>
      </c>
      <c r="C853" s="43">
        <v>46080</v>
      </c>
      <c r="D853" s="42">
        <v>82602280004</v>
      </c>
      <c r="E853" s="44">
        <v>46081</v>
      </c>
      <c r="F853" s="45" t="s">
        <v>939</v>
      </c>
      <c r="G853" s="71" t="s">
        <v>485</v>
      </c>
      <c r="H853" s="76" t="s">
        <v>37</v>
      </c>
      <c r="I853" s="46" t="s">
        <v>940</v>
      </c>
      <c r="J853" s="43">
        <v>46069</v>
      </c>
      <c r="K853" s="73">
        <v>7</v>
      </c>
      <c r="L853" s="49">
        <f t="shared" si="39"/>
        <v>7</v>
      </c>
      <c r="M853" s="48">
        <f t="shared" si="41"/>
        <v>35593.25</v>
      </c>
      <c r="N853" s="48">
        <v>5084.75</v>
      </c>
      <c r="O853" s="50">
        <v>9</v>
      </c>
      <c r="P853" s="50">
        <v>9</v>
      </c>
      <c r="Q853" s="51">
        <f t="shared" si="40"/>
        <v>42000.034999999996</v>
      </c>
      <c r="R853" s="48"/>
      <c r="S853" s="24">
        <v>1209011311</v>
      </c>
      <c r="T853" s="43">
        <v>46080</v>
      </c>
      <c r="U853" s="24" t="s">
        <v>941</v>
      </c>
      <c r="V853" s="46" t="s">
        <v>33</v>
      </c>
      <c r="W853" s="54"/>
    </row>
    <row r="854" spans="1:23" ht="34.950000000000003" customHeight="1" x14ac:dyDescent="0.25">
      <c r="A854" s="12">
        <f>SUBTOTAL(3,$B$2:B854)</f>
        <v>853</v>
      </c>
      <c r="B854" s="42">
        <v>463</v>
      </c>
      <c r="C854" s="43">
        <v>46080</v>
      </c>
      <c r="D854" s="42">
        <v>82602280005</v>
      </c>
      <c r="E854" s="44">
        <v>46081</v>
      </c>
      <c r="F854" s="45" t="s">
        <v>939</v>
      </c>
      <c r="G854" s="71" t="s">
        <v>485</v>
      </c>
      <c r="H854" s="76" t="s">
        <v>37</v>
      </c>
      <c r="I854" s="46" t="s">
        <v>940</v>
      </c>
      <c r="J854" s="43">
        <v>46069</v>
      </c>
      <c r="K854" s="73">
        <v>8</v>
      </c>
      <c r="L854" s="49">
        <f t="shared" si="39"/>
        <v>8</v>
      </c>
      <c r="M854" s="48">
        <f t="shared" si="41"/>
        <v>40678</v>
      </c>
      <c r="N854" s="48">
        <v>5084.75</v>
      </c>
      <c r="O854" s="50">
        <v>9</v>
      </c>
      <c r="P854" s="50">
        <v>9</v>
      </c>
      <c r="Q854" s="51">
        <f t="shared" si="40"/>
        <v>48000.04</v>
      </c>
      <c r="R854" s="48"/>
      <c r="S854" s="24">
        <v>1209011313</v>
      </c>
      <c r="T854" s="43">
        <v>46080</v>
      </c>
      <c r="U854" s="24" t="s">
        <v>952</v>
      </c>
      <c r="V854" s="46" t="s">
        <v>33</v>
      </c>
      <c r="W854" s="54"/>
    </row>
    <row r="855" spans="1:23" ht="34.950000000000003" customHeight="1" x14ac:dyDescent="0.25">
      <c r="A855" s="12">
        <f>SUBTOTAL(3,$B$2:B855)</f>
        <v>854</v>
      </c>
      <c r="B855" s="42">
        <v>464</v>
      </c>
      <c r="C855" s="43">
        <v>46081</v>
      </c>
      <c r="D855" s="42">
        <v>82602280006</v>
      </c>
      <c r="E855" s="43">
        <v>46081</v>
      </c>
      <c r="F855" s="45" t="s">
        <v>954</v>
      </c>
      <c r="G855" s="71" t="s">
        <v>446</v>
      </c>
      <c r="H855" s="76" t="s">
        <v>16</v>
      </c>
      <c r="I855" s="46"/>
      <c r="J855" s="43"/>
      <c r="K855" s="73">
        <v>207</v>
      </c>
      <c r="L855" s="49">
        <f t="shared" si="39"/>
        <v>207</v>
      </c>
      <c r="M855" s="48">
        <f t="shared" si="41"/>
        <v>44159.930999999997</v>
      </c>
      <c r="N855" s="48">
        <v>213.333</v>
      </c>
      <c r="O855" s="50"/>
      <c r="P855" s="50"/>
      <c r="Q855" s="51">
        <f t="shared" si="40"/>
        <v>44159.930999999997</v>
      </c>
      <c r="R855" s="48">
        <v>500</v>
      </c>
      <c r="S855" s="24" t="s">
        <v>955</v>
      </c>
      <c r="T855" s="43">
        <v>46080</v>
      </c>
      <c r="U855" s="24"/>
      <c r="V855" s="46" t="s">
        <v>247</v>
      </c>
      <c r="W855" s="54"/>
    </row>
    <row r="856" spans="1:23" ht="34.950000000000003" customHeight="1" x14ac:dyDescent="0.25">
      <c r="A856" s="12">
        <f>SUBTOTAL(3,$B$2:B856)</f>
        <v>855</v>
      </c>
      <c r="B856" s="42">
        <v>465</v>
      </c>
      <c r="C856" s="43">
        <v>46085</v>
      </c>
      <c r="D856" s="42">
        <v>82603040001</v>
      </c>
      <c r="E856" s="44">
        <v>46085</v>
      </c>
      <c r="F856" s="45" t="s">
        <v>445</v>
      </c>
      <c r="G856" s="71" t="s">
        <v>450</v>
      </c>
      <c r="H856" s="76" t="s">
        <v>16</v>
      </c>
      <c r="I856" s="46" t="s">
        <v>802</v>
      </c>
      <c r="J856" s="43">
        <v>45978</v>
      </c>
      <c r="K856" s="73">
        <v>100</v>
      </c>
      <c r="L856" s="49">
        <f t="shared" si="39"/>
        <v>100</v>
      </c>
      <c r="M856" s="48">
        <f t="shared" si="41"/>
        <v>160000</v>
      </c>
      <c r="N856" s="48">
        <v>1600</v>
      </c>
      <c r="O856" s="50">
        <v>9</v>
      </c>
      <c r="P856" s="50">
        <v>9</v>
      </c>
      <c r="Q856" s="51">
        <f t="shared" si="40"/>
        <v>188800</v>
      </c>
      <c r="R856" s="48"/>
      <c r="S856" s="24" t="s">
        <v>956</v>
      </c>
      <c r="T856" s="43">
        <v>46083</v>
      </c>
      <c r="U856" s="24"/>
      <c r="V856" s="46" t="s">
        <v>33</v>
      </c>
      <c r="W856" s="54"/>
    </row>
    <row r="857" spans="1:23" ht="34.950000000000003" customHeight="1" x14ac:dyDescent="0.25">
      <c r="A857" s="12">
        <f>SUBTOTAL(3,$B$2:B857)</f>
        <v>856</v>
      </c>
      <c r="B857" s="42">
        <v>465</v>
      </c>
      <c r="C857" s="43">
        <v>46085</v>
      </c>
      <c r="D857" s="42">
        <v>82603040001</v>
      </c>
      <c r="E857" s="44">
        <v>46085</v>
      </c>
      <c r="F857" s="45" t="s">
        <v>445</v>
      </c>
      <c r="G857" s="71" t="s">
        <v>471</v>
      </c>
      <c r="H857" s="76" t="s">
        <v>94</v>
      </c>
      <c r="I857" s="46" t="s">
        <v>802</v>
      </c>
      <c r="J857" s="43">
        <v>45978</v>
      </c>
      <c r="K857" s="73">
        <v>100</v>
      </c>
      <c r="L857" s="49">
        <f t="shared" si="39"/>
        <v>100</v>
      </c>
      <c r="M857" s="48">
        <f t="shared" si="41"/>
        <v>8500</v>
      </c>
      <c r="N857" s="48">
        <v>85</v>
      </c>
      <c r="O857" s="50">
        <v>9</v>
      </c>
      <c r="P857" s="50">
        <v>9</v>
      </c>
      <c r="Q857" s="51">
        <f t="shared" si="40"/>
        <v>10030</v>
      </c>
      <c r="R857" s="48"/>
      <c r="S857" s="24" t="s">
        <v>956</v>
      </c>
      <c r="T857" s="43">
        <v>46083</v>
      </c>
      <c r="U857" s="24"/>
      <c r="V857" s="46" t="s">
        <v>33</v>
      </c>
      <c r="W857" s="54"/>
    </row>
    <row r="858" spans="1:23" ht="34.950000000000003" customHeight="1" x14ac:dyDescent="0.35">
      <c r="A858" s="12">
        <f>SUBTOTAL(3,$B$2:B858)</f>
        <v>857</v>
      </c>
      <c r="B858" s="42">
        <v>465</v>
      </c>
      <c r="C858" s="43">
        <v>46085</v>
      </c>
      <c r="D858" s="42">
        <v>82603040001</v>
      </c>
      <c r="E858" s="44">
        <v>46085</v>
      </c>
      <c r="F858" s="45" t="s">
        <v>445</v>
      </c>
      <c r="G858" s="53" t="s">
        <v>461</v>
      </c>
      <c r="H858" s="72" t="s">
        <v>94</v>
      </c>
      <c r="I858" s="46" t="s">
        <v>802</v>
      </c>
      <c r="J858" s="43">
        <v>45978</v>
      </c>
      <c r="K858" s="73">
        <v>100</v>
      </c>
      <c r="L858" s="49">
        <f t="shared" si="39"/>
        <v>100</v>
      </c>
      <c r="M858" s="48">
        <f t="shared" si="41"/>
        <v>8500</v>
      </c>
      <c r="N858" s="48">
        <v>85</v>
      </c>
      <c r="O858" s="50">
        <v>9</v>
      </c>
      <c r="P858" s="50">
        <v>9</v>
      </c>
      <c r="Q858" s="51">
        <f t="shared" si="40"/>
        <v>10030</v>
      </c>
      <c r="R858" s="48"/>
      <c r="S858" s="24" t="s">
        <v>956</v>
      </c>
      <c r="T858" s="43">
        <v>46083</v>
      </c>
      <c r="U858" s="24"/>
      <c r="V858" s="46" t="s">
        <v>33</v>
      </c>
      <c r="W858" s="54"/>
    </row>
    <row r="859" spans="1:23" ht="34.950000000000003" customHeight="1" x14ac:dyDescent="0.35">
      <c r="A859" s="12">
        <f>SUBTOTAL(3,$B$2:B859)</f>
        <v>858</v>
      </c>
      <c r="B859" s="42">
        <v>466</v>
      </c>
      <c r="C859" s="43">
        <v>46085</v>
      </c>
      <c r="D859" s="42">
        <v>82603040002</v>
      </c>
      <c r="E859" s="44">
        <v>46085</v>
      </c>
      <c r="F859" s="45" t="s">
        <v>445</v>
      </c>
      <c r="G859" s="53" t="s">
        <v>446</v>
      </c>
      <c r="H859" s="72" t="s">
        <v>16</v>
      </c>
      <c r="I859" s="46" t="s">
        <v>802</v>
      </c>
      <c r="J859" s="43">
        <v>45978</v>
      </c>
      <c r="K859" s="73">
        <v>500</v>
      </c>
      <c r="L859" s="49">
        <f t="shared" si="39"/>
        <v>500</v>
      </c>
      <c r="M859" s="48">
        <f t="shared" si="41"/>
        <v>87500</v>
      </c>
      <c r="N859" s="48">
        <v>175</v>
      </c>
      <c r="O859" s="50">
        <v>9</v>
      </c>
      <c r="P859" s="50">
        <v>9</v>
      </c>
      <c r="Q859" s="51">
        <f t="shared" si="40"/>
        <v>103250</v>
      </c>
      <c r="R859" s="48"/>
      <c r="S859" s="24" t="s">
        <v>957</v>
      </c>
      <c r="T859" s="43">
        <v>46084</v>
      </c>
      <c r="U859" s="24"/>
      <c r="V859" s="46" t="s">
        <v>33</v>
      </c>
      <c r="W859" s="54"/>
    </row>
    <row r="860" spans="1:23" ht="34.950000000000003" customHeight="1" x14ac:dyDescent="0.25">
      <c r="A860" s="12">
        <f>SUBTOTAL(3,$B$2:B860)</f>
        <v>859</v>
      </c>
      <c r="B860" s="42">
        <v>467</v>
      </c>
      <c r="C860" s="43">
        <v>46088</v>
      </c>
      <c r="D860" s="42">
        <v>82603070001</v>
      </c>
      <c r="E860" s="44">
        <v>46088</v>
      </c>
      <c r="F860" s="79" t="s">
        <v>939</v>
      </c>
      <c r="G860" s="52" t="s">
        <v>485</v>
      </c>
      <c r="H860" s="46" t="s">
        <v>37</v>
      </c>
      <c r="I860" s="46" t="s">
        <v>940</v>
      </c>
      <c r="J860" s="43">
        <v>46069</v>
      </c>
      <c r="K860" s="80">
        <v>7</v>
      </c>
      <c r="L860" s="49">
        <f t="shared" si="39"/>
        <v>7</v>
      </c>
      <c r="M860" s="48">
        <f t="shared" si="41"/>
        <v>35593.25</v>
      </c>
      <c r="N860" s="48">
        <v>5084.75</v>
      </c>
      <c r="O860" s="50">
        <v>9</v>
      </c>
      <c r="P860" s="50">
        <v>9</v>
      </c>
      <c r="Q860" s="51">
        <f t="shared" si="40"/>
        <v>42000.034999999996</v>
      </c>
      <c r="R860" s="48"/>
      <c r="S860" s="24">
        <v>1209011496</v>
      </c>
      <c r="T860" s="43">
        <v>46086</v>
      </c>
      <c r="U860" s="24"/>
      <c r="V860" s="46" t="s">
        <v>33</v>
      </c>
      <c r="W860" s="54"/>
    </row>
    <row r="861" spans="1:23" ht="34.950000000000003" customHeight="1" x14ac:dyDescent="0.25">
      <c r="A861" s="12">
        <f>SUBTOTAL(3,$B$2:B861)</f>
        <v>860</v>
      </c>
      <c r="B861" s="42">
        <v>468</v>
      </c>
      <c r="C861" s="43">
        <v>46088</v>
      </c>
      <c r="D861" s="42">
        <v>82603070002</v>
      </c>
      <c r="E861" s="44">
        <v>46088</v>
      </c>
      <c r="F861" s="79" t="s">
        <v>939</v>
      </c>
      <c r="G861" s="52" t="s">
        <v>485</v>
      </c>
      <c r="H861" s="46" t="s">
        <v>37</v>
      </c>
      <c r="I861" s="46" t="s">
        <v>940</v>
      </c>
      <c r="J861" s="43">
        <v>46069</v>
      </c>
      <c r="K861" s="73">
        <v>7</v>
      </c>
      <c r="L861" s="49">
        <f t="shared" si="39"/>
        <v>7</v>
      </c>
      <c r="M861" s="48">
        <f t="shared" si="41"/>
        <v>35593.25</v>
      </c>
      <c r="N861" s="48">
        <v>5084.75</v>
      </c>
      <c r="O861" s="50">
        <v>9</v>
      </c>
      <c r="P861" s="50">
        <v>9</v>
      </c>
      <c r="Q861" s="51">
        <f t="shared" si="40"/>
        <v>42000.034999999996</v>
      </c>
      <c r="R861" s="48"/>
      <c r="S861" s="24">
        <v>1209011502</v>
      </c>
      <c r="T861" s="43">
        <v>46086</v>
      </c>
      <c r="U861" s="24"/>
      <c r="V861" s="46" t="s">
        <v>33</v>
      </c>
      <c r="W861" s="54"/>
    </row>
    <row r="862" spans="1:23" ht="34.950000000000003" customHeight="1" x14ac:dyDescent="0.25">
      <c r="A862" s="12">
        <f>SUBTOTAL(3,$B$2:B862)</f>
        <v>861</v>
      </c>
      <c r="B862" s="42">
        <v>469</v>
      </c>
      <c r="C862" s="43">
        <v>46088</v>
      </c>
      <c r="D862" s="42">
        <v>82603070003</v>
      </c>
      <c r="E862" s="44">
        <v>46088</v>
      </c>
      <c r="F862" s="79" t="s">
        <v>939</v>
      </c>
      <c r="G862" s="52" t="s">
        <v>485</v>
      </c>
      <c r="H862" s="46" t="s">
        <v>37</v>
      </c>
      <c r="I862" s="46" t="s">
        <v>940</v>
      </c>
      <c r="J862" s="43">
        <v>46069</v>
      </c>
      <c r="K862" s="73">
        <v>7</v>
      </c>
      <c r="L862" s="49">
        <f t="shared" si="39"/>
        <v>7</v>
      </c>
      <c r="M862" s="48">
        <f t="shared" si="41"/>
        <v>35593.25</v>
      </c>
      <c r="N862" s="48">
        <v>5084.75</v>
      </c>
      <c r="O862" s="50">
        <v>9</v>
      </c>
      <c r="P862" s="50">
        <v>9</v>
      </c>
      <c r="Q862" s="51">
        <f t="shared" si="40"/>
        <v>42000.034999999996</v>
      </c>
      <c r="R862" s="48"/>
      <c r="S862" s="24">
        <v>1209011507</v>
      </c>
      <c r="T862" s="43">
        <v>46086</v>
      </c>
      <c r="U862" s="24"/>
      <c r="V862" s="46" t="s">
        <v>33</v>
      </c>
      <c r="W862" s="54"/>
    </row>
    <row r="863" spans="1:23" ht="34.950000000000003" customHeight="1" x14ac:dyDescent="0.25">
      <c r="A863" s="12">
        <f>SUBTOTAL(3,$B$2:B863)</f>
        <v>862</v>
      </c>
      <c r="B863" s="42">
        <v>470</v>
      </c>
      <c r="C863" s="43">
        <v>46088</v>
      </c>
      <c r="D863" s="42">
        <v>82603070004</v>
      </c>
      <c r="E863" s="44">
        <v>46088</v>
      </c>
      <c r="F863" s="79" t="s">
        <v>939</v>
      </c>
      <c r="G863" s="52" t="s">
        <v>485</v>
      </c>
      <c r="H863" s="46" t="s">
        <v>37</v>
      </c>
      <c r="I863" s="46" t="s">
        <v>940</v>
      </c>
      <c r="J863" s="43">
        <v>46069</v>
      </c>
      <c r="K863" s="73">
        <v>7</v>
      </c>
      <c r="L863" s="49">
        <f t="shared" si="39"/>
        <v>7</v>
      </c>
      <c r="M863" s="48">
        <f t="shared" si="41"/>
        <v>35593.25</v>
      </c>
      <c r="N863" s="48">
        <v>5084.75</v>
      </c>
      <c r="O863" s="50">
        <v>9</v>
      </c>
      <c r="P863" s="50">
        <v>9</v>
      </c>
      <c r="Q863" s="51">
        <f t="shared" si="40"/>
        <v>42000.034999999996</v>
      </c>
      <c r="R863" s="48"/>
      <c r="S863" s="24">
        <v>1209011519</v>
      </c>
      <c r="T863" s="43">
        <v>46086</v>
      </c>
      <c r="U863" s="24"/>
      <c r="V863" s="46" t="s">
        <v>33</v>
      </c>
      <c r="W863" s="54"/>
    </row>
    <row r="864" spans="1:23" ht="34.950000000000003" customHeight="1" x14ac:dyDescent="0.25">
      <c r="A864" s="12">
        <f>SUBTOTAL(3,$B$2:B864)</f>
        <v>863</v>
      </c>
      <c r="B864" s="42">
        <v>471</v>
      </c>
      <c r="C864" s="43">
        <v>46088</v>
      </c>
      <c r="D864" s="42">
        <v>82603070005</v>
      </c>
      <c r="E864" s="44">
        <v>46088</v>
      </c>
      <c r="F864" s="79" t="s">
        <v>939</v>
      </c>
      <c r="G864" s="52" t="s">
        <v>485</v>
      </c>
      <c r="H864" s="46" t="s">
        <v>37</v>
      </c>
      <c r="I864" s="46" t="s">
        <v>940</v>
      </c>
      <c r="J864" s="43">
        <v>46069</v>
      </c>
      <c r="K864" s="73">
        <v>6</v>
      </c>
      <c r="L864" s="49">
        <f t="shared" si="39"/>
        <v>6</v>
      </c>
      <c r="M864" s="48">
        <f t="shared" si="41"/>
        <v>30508.5</v>
      </c>
      <c r="N864" s="48">
        <v>5084.75</v>
      </c>
      <c r="O864" s="50">
        <v>9</v>
      </c>
      <c r="P864" s="50">
        <v>9</v>
      </c>
      <c r="Q864" s="51">
        <f t="shared" si="40"/>
        <v>36000.03</v>
      </c>
      <c r="R864" s="48"/>
      <c r="S864" s="24">
        <v>1209011521</v>
      </c>
      <c r="T864" s="43">
        <v>46086</v>
      </c>
      <c r="U864" s="24"/>
      <c r="V864" s="46" t="s">
        <v>33</v>
      </c>
      <c r="W864" s="54"/>
    </row>
    <row r="865" spans="1:23" ht="34.950000000000003" customHeight="1" x14ac:dyDescent="0.25">
      <c r="A865" s="12">
        <f>SUBTOTAL(3,$B$2:B865)</f>
        <v>864</v>
      </c>
      <c r="B865" s="42">
        <v>472</v>
      </c>
      <c r="C865" s="43">
        <v>46088</v>
      </c>
      <c r="D865" s="42">
        <v>82603070006</v>
      </c>
      <c r="E865" s="44">
        <v>46088</v>
      </c>
      <c r="F865" s="79" t="s">
        <v>939</v>
      </c>
      <c r="G865" s="45" t="s">
        <v>485</v>
      </c>
      <c r="H865" s="46" t="s">
        <v>37</v>
      </c>
      <c r="I865" s="46" t="s">
        <v>940</v>
      </c>
      <c r="J865" s="43">
        <v>46069</v>
      </c>
      <c r="K865" s="73">
        <v>2.5</v>
      </c>
      <c r="L865" s="49">
        <f t="shared" si="39"/>
        <v>2.5</v>
      </c>
      <c r="M865" s="48">
        <f t="shared" si="41"/>
        <v>12711.875</v>
      </c>
      <c r="N865" s="48">
        <v>5084.75</v>
      </c>
      <c r="O865" s="50">
        <v>9</v>
      </c>
      <c r="P865" s="50">
        <v>9</v>
      </c>
      <c r="Q865" s="51">
        <f t="shared" si="40"/>
        <v>15000.012499999999</v>
      </c>
      <c r="R865" s="48"/>
      <c r="S865" s="24">
        <v>1209011523</v>
      </c>
      <c r="T865" s="43">
        <v>46086</v>
      </c>
      <c r="U865" s="24"/>
      <c r="V865" s="46" t="s">
        <v>33</v>
      </c>
      <c r="W865" s="54"/>
    </row>
    <row r="866" spans="1:23" ht="34.950000000000003" customHeight="1" x14ac:dyDescent="0.25">
      <c r="A866" s="12">
        <f>SUBTOTAL(3,$B$2:B866)</f>
        <v>865</v>
      </c>
      <c r="B866" s="42">
        <v>473</v>
      </c>
      <c r="C866" s="43">
        <v>46088</v>
      </c>
      <c r="D866" s="42">
        <v>82603070007</v>
      </c>
      <c r="E866" s="43">
        <v>46088</v>
      </c>
      <c r="F866" s="45" t="s">
        <v>644</v>
      </c>
      <c r="G866" s="52" t="s">
        <v>680</v>
      </c>
      <c r="H866" s="46" t="s">
        <v>478</v>
      </c>
      <c r="I866" s="46"/>
      <c r="J866" s="43"/>
      <c r="K866" s="73">
        <v>10</v>
      </c>
      <c r="L866" s="49">
        <f t="shared" si="39"/>
        <v>10</v>
      </c>
      <c r="M866" s="48">
        <f t="shared" si="41"/>
        <v>1075.1000000000001</v>
      </c>
      <c r="N866" s="48">
        <v>107.51</v>
      </c>
      <c r="O866" s="50"/>
      <c r="P866" s="50"/>
      <c r="Q866" s="51">
        <f t="shared" si="40"/>
        <v>1075.1000000000001</v>
      </c>
      <c r="R866" s="48"/>
      <c r="S866" s="24">
        <v>2455</v>
      </c>
      <c r="T866" s="43">
        <v>46088</v>
      </c>
      <c r="U866" s="43"/>
      <c r="V866" s="46" t="s">
        <v>247</v>
      </c>
      <c r="W866" s="54"/>
    </row>
    <row r="867" spans="1:23" ht="34.950000000000003" customHeight="1" x14ac:dyDescent="0.25">
      <c r="A867" s="12">
        <f>SUBTOTAL(3,$B$2:B867)</f>
        <v>866</v>
      </c>
      <c r="B867" s="42">
        <v>474</v>
      </c>
      <c r="C867" s="43">
        <v>46091</v>
      </c>
      <c r="D867" s="42">
        <v>82603100001</v>
      </c>
      <c r="E867" s="43">
        <v>46091</v>
      </c>
      <c r="F867" s="45" t="s">
        <v>644</v>
      </c>
      <c r="G867" s="52" t="s">
        <v>680</v>
      </c>
      <c r="H867" s="46" t="s">
        <v>478</v>
      </c>
      <c r="I867" s="46"/>
      <c r="J867" s="43"/>
      <c r="K867" s="73">
        <v>10</v>
      </c>
      <c r="L867" s="49">
        <f t="shared" si="39"/>
        <v>10</v>
      </c>
      <c r="M867" s="48">
        <f t="shared" si="41"/>
        <v>1075.1000000000001</v>
      </c>
      <c r="N867" s="48">
        <v>107.51</v>
      </c>
      <c r="O867" s="50"/>
      <c r="P867" s="50"/>
      <c r="Q867" s="51">
        <f t="shared" si="40"/>
        <v>1075.1000000000001</v>
      </c>
      <c r="R867" s="48"/>
      <c r="S867" s="24" t="s">
        <v>958</v>
      </c>
      <c r="T867" s="43">
        <v>46091</v>
      </c>
      <c r="U867" s="43"/>
      <c r="V867" s="46" t="s">
        <v>247</v>
      </c>
      <c r="W867" s="54"/>
    </row>
    <row r="868" spans="1:23" ht="34.950000000000003" customHeight="1" x14ac:dyDescent="0.25">
      <c r="A868" s="12">
        <f>SUBTOTAL(3,$B$2:B868)</f>
        <v>867</v>
      </c>
      <c r="B868" s="42">
        <v>475</v>
      </c>
      <c r="C868" s="43">
        <v>46091</v>
      </c>
      <c r="D868" s="42">
        <v>82603100002</v>
      </c>
      <c r="E868" s="43">
        <v>46091</v>
      </c>
      <c r="F868" s="45" t="s">
        <v>518</v>
      </c>
      <c r="G868" s="58" t="s">
        <v>65</v>
      </c>
      <c r="H868" s="46" t="s">
        <v>16</v>
      </c>
      <c r="I868" s="46"/>
      <c r="J868" s="43"/>
      <c r="K868" s="73">
        <v>20</v>
      </c>
      <c r="L868" s="49">
        <f t="shared" si="39"/>
        <v>20</v>
      </c>
      <c r="M868" s="48">
        <f t="shared" si="41"/>
        <v>1000</v>
      </c>
      <c r="N868" s="48">
        <v>50</v>
      </c>
      <c r="O868" s="50"/>
      <c r="P868" s="50"/>
      <c r="Q868" s="51">
        <f t="shared" si="40"/>
        <v>1000</v>
      </c>
      <c r="R868" s="48"/>
      <c r="S868" s="24">
        <v>1510</v>
      </c>
      <c r="T868" s="43">
        <v>46091</v>
      </c>
      <c r="U868" s="43"/>
      <c r="V868" s="46" t="s">
        <v>247</v>
      </c>
      <c r="W868" s="54"/>
    </row>
    <row r="869" spans="1:23" ht="34.950000000000003" customHeight="1" x14ac:dyDescent="0.25">
      <c r="A869" s="12">
        <f>SUBTOTAL(3,$B$2:B869)</f>
        <v>868</v>
      </c>
      <c r="B869" s="42">
        <v>475</v>
      </c>
      <c r="C869" s="43">
        <v>46091</v>
      </c>
      <c r="D869" s="42">
        <v>82603100002</v>
      </c>
      <c r="E869" s="43">
        <v>46091</v>
      </c>
      <c r="F869" s="45" t="s">
        <v>518</v>
      </c>
      <c r="G869" s="52" t="s">
        <v>639</v>
      </c>
      <c r="H869" s="46" t="s">
        <v>16</v>
      </c>
      <c r="I869" s="46"/>
      <c r="J869" s="43"/>
      <c r="K869" s="73">
        <v>500</v>
      </c>
      <c r="L869" s="49">
        <f t="shared" si="39"/>
        <v>500</v>
      </c>
      <c r="M869" s="48">
        <f t="shared" si="41"/>
        <v>500</v>
      </c>
      <c r="N869" s="48">
        <v>1</v>
      </c>
      <c r="O869" s="50"/>
      <c r="P869" s="50"/>
      <c r="Q869" s="51">
        <f t="shared" si="40"/>
        <v>500</v>
      </c>
      <c r="R869" s="48"/>
      <c r="S869" s="24">
        <v>1510</v>
      </c>
      <c r="T869" s="43">
        <v>46091</v>
      </c>
      <c r="U869" s="43"/>
      <c r="V869" s="46" t="s">
        <v>247</v>
      </c>
      <c r="W869" s="54"/>
    </row>
    <row r="870" spans="1:23" ht="34.950000000000003" customHeight="1" x14ac:dyDescent="0.25">
      <c r="A870" s="12">
        <f>SUBTOTAL(3,$B$2:B870)</f>
        <v>869</v>
      </c>
      <c r="B870" s="42">
        <v>476</v>
      </c>
      <c r="C870" s="43">
        <v>46094</v>
      </c>
      <c r="D870" s="42">
        <v>82603130001</v>
      </c>
      <c r="E870" s="44">
        <v>46094</v>
      </c>
      <c r="F870" s="45" t="s">
        <v>939</v>
      </c>
      <c r="G870" s="52" t="s">
        <v>485</v>
      </c>
      <c r="H870" s="46" t="s">
        <v>37</v>
      </c>
      <c r="I870" s="46" t="s">
        <v>940</v>
      </c>
      <c r="J870" s="43">
        <v>46069</v>
      </c>
      <c r="K870" s="73">
        <v>7</v>
      </c>
      <c r="L870" s="49">
        <f t="shared" si="39"/>
        <v>7</v>
      </c>
      <c r="M870" s="48">
        <f t="shared" si="41"/>
        <v>35593.25</v>
      </c>
      <c r="N870" s="48">
        <v>5084.75</v>
      </c>
      <c r="O870" s="50">
        <v>9</v>
      </c>
      <c r="P870" s="50">
        <v>9</v>
      </c>
      <c r="Q870" s="51">
        <f t="shared" si="40"/>
        <v>42000.034999999996</v>
      </c>
      <c r="R870" s="48"/>
      <c r="S870" s="24">
        <v>1209011736</v>
      </c>
      <c r="T870" s="43">
        <v>46092</v>
      </c>
      <c r="U870" s="43"/>
      <c r="V870" s="46" t="s">
        <v>33</v>
      </c>
      <c r="W870" s="54"/>
    </row>
    <row r="871" spans="1:23" ht="34.950000000000003" customHeight="1" x14ac:dyDescent="0.25">
      <c r="A871" s="12">
        <f>SUBTOTAL(3,$B$2:B871)</f>
        <v>870</v>
      </c>
      <c r="B871" s="42">
        <v>477</v>
      </c>
      <c r="C871" s="43">
        <v>46094</v>
      </c>
      <c r="D871" s="42">
        <v>82603130002</v>
      </c>
      <c r="E871" s="44">
        <v>46094</v>
      </c>
      <c r="F871" s="45" t="s">
        <v>939</v>
      </c>
      <c r="G871" s="52" t="s">
        <v>485</v>
      </c>
      <c r="H871" s="46" t="s">
        <v>37</v>
      </c>
      <c r="I871" s="46" t="s">
        <v>940</v>
      </c>
      <c r="J871" s="43">
        <v>46069</v>
      </c>
      <c r="K871" s="101">
        <v>7</v>
      </c>
      <c r="L871" s="49">
        <f t="shared" si="39"/>
        <v>7</v>
      </c>
      <c r="M871" s="48">
        <f t="shared" si="41"/>
        <v>35593.25</v>
      </c>
      <c r="N871" s="48">
        <v>5084.75</v>
      </c>
      <c r="O871" s="50">
        <v>9</v>
      </c>
      <c r="P871" s="50">
        <v>9</v>
      </c>
      <c r="Q871" s="51">
        <f t="shared" si="40"/>
        <v>42000.034999999996</v>
      </c>
      <c r="R871" s="48"/>
      <c r="S871" s="24">
        <v>1209011738</v>
      </c>
      <c r="T871" s="43">
        <v>46092</v>
      </c>
      <c r="U871" s="43"/>
      <c r="V871" s="46" t="s">
        <v>33</v>
      </c>
      <c r="W871" s="54"/>
    </row>
    <row r="872" spans="1:23" ht="34.950000000000003" customHeight="1" x14ac:dyDescent="0.25">
      <c r="A872" s="12">
        <f>SUBTOTAL(3,$B$2:B872)</f>
        <v>871</v>
      </c>
      <c r="B872" s="42">
        <v>478</v>
      </c>
      <c r="C872" s="43">
        <v>46094</v>
      </c>
      <c r="D872" s="42">
        <v>82603130003</v>
      </c>
      <c r="E872" s="44">
        <v>46094</v>
      </c>
      <c r="F872" s="45" t="s">
        <v>939</v>
      </c>
      <c r="G872" s="71" t="s">
        <v>485</v>
      </c>
      <c r="H872" s="46" t="s">
        <v>37</v>
      </c>
      <c r="I872" s="46" t="s">
        <v>940</v>
      </c>
      <c r="J872" s="43">
        <v>46069</v>
      </c>
      <c r="K872" s="73">
        <v>7</v>
      </c>
      <c r="L872" s="49">
        <f t="shared" si="39"/>
        <v>7</v>
      </c>
      <c r="M872" s="48">
        <f t="shared" si="41"/>
        <v>35593.25</v>
      </c>
      <c r="N872" s="48">
        <v>5084.75</v>
      </c>
      <c r="O872" s="50">
        <v>9</v>
      </c>
      <c r="P872" s="50">
        <v>9</v>
      </c>
      <c r="Q872" s="51">
        <f t="shared" si="40"/>
        <v>42000.034999999996</v>
      </c>
      <c r="R872" s="48"/>
      <c r="S872" s="24">
        <v>1209011742</v>
      </c>
      <c r="T872" s="43">
        <v>46092</v>
      </c>
      <c r="U872" s="43"/>
      <c r="V872" s="46" t="s">
        <v>33</v>
      </c>
      <c r="W872" s="54"/>
    </row>
    <row r="873" spans="1:23" ht="34.950000000000003" customHeight="1" x14ac:dyDescent="0.25">
      <c r="A873" s="12">
        <f>SUBTOTAL(3,$B$2:B873)</f>
        <v>872</v>
      </c>
      <c r="B873" s="42">
        <v>479</v>
      </c>
      <c r="C873" s="43">
        <v>46094</v>
      </c>
      <c r="D873" s="42">
        <v>82603130004</v>
      </c>
      <c r="E873" s="44">
        <v>46094</v>
      </c>
      <c r="F873" s="45" t="s">
        <v>939</v>
      </c>
      <c r="G873" s="71" t="s">
        <v>485</v>
      </c>
      <c r="H873" s="76" t="s">
        <v>37</v>
      </c>
      <c r="I873" s="46" t="s">
        <v>940</v>
      </c>
      <c r="J873" s="43">
        <v>46069</v>
      </c>
      <c r="K873" s="73">
        <v>7</v>
      </c>
      <c r="L873" s="49">
        <f t="shared" si="39"/>
        <v>7</v>
      </c>
      <c r="M873" s="48">
        <f t="shared" si="41"/>
        <v>35593.25</v>
      </c>
      <c r="N873" s="48">
        <v>5084.75</v>
      </c>
      <c r="O873" s="50">
        <v>9</v>
      </c>
      <c r="P873" s="50">
        <v>9</v>
      </c>
      <c r="Q873" s="51">
        <f t="shared" si="40"/>
        <v>42000.034999999996</v>
      </c>
      <c r="R873" s="48"/>
      <c r="S873" s="24">
        <v>1209011744</v>
      </c>
      <c r="T873" s="43">
        <v>46092</v>
      </c>
      <c r="U873" s="43"/>
      <c r="V873" s="46" t="s">
        <v>33</v>
      </c>
      <c r="W873" s="54"/>
    </row>
    <row r="874" spans="1:23" ht="34.950000000000003" customHeight="1" x14ac:dyDescent="0.25">
      <c r="A874" s="12">
        <f>SUBTOTAL(3,$B$2:B874)</f>
        <v>873</v>
      </c>
      <c r="B874" s="42">
        <v>480</v>
      </c>
      <c r="C874" s="43">
        <v>46094</v>
      </c>
      <c r="D874" s="42">
        <v>82603130005</v>
      </c>
      <c r="E874" s="44">
        <v>46094</v>
      </c>
      <c r="F874" s="45" t="s">
        <v>939</v>
      </c>
      <c r="G874" s="71" t="s">
        <v>485</v>
      </c>
      <c r="H874" s="76" t="s">
        <v>37</v>
      </c>
      <c r="I874" s="46" t="s">
        <v>940</v>
      </c>
      <c r="J874" s="43">
        <v>46069</v>
      </c>
      <c r="K874" s="73">
        <v>5</v>
      </c>
      <c r="L874" s="49">
        <f t="shared" si="39"/>
        <v>5</v>
      </c>
      <c r="M874" s="48">
        <f t="shared" si="41"/>
        <v>25423.75</v>
      </c>
      <c r="N874" s="48">
        <v>5084.75</v>
      </c>
      <c r="O874" s="50">
        <v>9</v>
      </c>
      <c r="P874" s="50">
        <v>9</v>
      </c>
      <c r="Q874" s="51">
        <f t="shared" si="40"/>
        <v>30000.024999999998</v>
      </c>
      <c r="R874" s="48"/>
      <c r="S874" s="24">
        <v>1209011748</v>
      </c>
      <c r="T874" s="43">
        <v>46092</v>
      </c>
      <c r="U874" s="43"/>
      <c r="V874" s="46" t="s">
        <v>33</v>
      </c>
      <c r="W874" s="54"/>
    </row>
    <row r="875" spans="1:23" ht="34.950000000000003" customHeight="1" x14ac:dyDescent="0.25">
      <c r="A875" s="12">
        <f>SUBTOTAL(3,$B$2:B875)</f>
        <v>874</v>
      </c>
      <c r="B875" s="42">
        <v>481</v>
      </c>
      <c r="C875" s="43">
        <v>46094</v>
      </c>
      <c r="D875" s="42">
        <v>82603130006</v>
      </c>
      <c r="E875" s="44">
        <v>46094</v>
      </c>
      <c r="F875" s="45" t="s">
        <v>939</v>
      </c>
      <c r="G875" s="71" t="s">
        <v>485</v>
      </c>
      <c r="H875" s="76" t="s">
        <v>37</v>
      </c>
      <c r="I875" s="46" t="s">
        <v>940</v>
      </c>
      <c r="J875" s="43">
        <v>46069</v>
      </c>
      <c r="K875" s="73">
        <v>7.5</v>
      </c>
      <c r="L875" s="49">
        <f t="shared" si="39"/>
        <v>7.5</v>
      </c>
      <c r="M875" s="48">
        <f t="shared" si="41"/>
        <v>38135.625</v>
      </c>
      <c r="N875" s="48">
        <v>5084.75</v>
      </c>
      <c r="O875" s="50">
        <v>9</v>
      </c>
      <c r="P875" s="50">
        <v>9</v>
      </c>
      <c r="Q875" s="51">
        <f t="shared" si="40"/>
        <v>45000.037499999999</v>
      </c>
      <c r="R875" s="48"/>
      <c r="S875" s="24">
        <v>1209011754</v>
      </c>
      <c r="T875" s="43">
        <v>46092</v>
      </c>
      <c r="U875" s="43"/>
      <c r="V875" s="46" t="s">
        <v>33</v>
      </c>
      <c r="W875" s="54"/>
    </row>
    <row r="876" spans="1:23" ht="34.950000000000003" customHeight="1" x14ac:dyDescent="0.35">
      <c r="A876" s="12">
        <f>SUBTOTAL(3,$B$2:B876)</f>
        <v>875</v>
      </c>
      <c r="B876" s="42">
        <v>482</v>
      </c>
      <c r="C876" s="43">
        <v>46094</v>
      </c>
      <c r="D876" s="42">
        <v>82603130007</v>
      </c>
      <c r="E876" s="44">
        <v>46094</v>
      </c>
      <c r="F876" s="45" t="s">
        <v>939</v>
      </c>
      <c r="G876" s="53" t="s">
        <v>485</v>
      </c>
      <c r="H876" s="72" t="s">
        <v>37</v>
      </c>
      <c r="I876" s="46" t="s">
        <v>940</v>
      </c>
      <c r="J876" s="43">
        <v>46069</v>
      </c>
      <c r="K876" s="73">
        <v>7.5</v>
      </c>
      <c r="L876" s="49">
        <f t="shared" si="39"/>
        <v>7.5</v>
      </c>
      <c r="M876" s="48">
        <f t="shared" si="41"/>
        <v>38135.625</v>
      </c>
      <c r="N876" s="48">
        <v>5084.75</v>
      </c>
      <c r="O876" s="50">
        <v>9</v>
      </c>
      <c r="P876" s="50">
        <v>9</v>
      </c>
      <c r="Q876" s="51">
        <f t="shared" si="40"/>
        <v>45000.037499999999</v>
      </c>
      <c r="R876" s="48"/>
      <c r="S876" s="24">
        <v>1209011761</v>
      </c>
      <c r="T876" s="43">
        <v>46092</v>
      </c>
      <c r="U876" s="43"/>
      <c r="V876" s="46" t="s">
        <v>33</v>
      </c>
      <c r="W876" s="54"/>
    </row>
    <row r="877" spans="1:23" ht="34.950000000000003" customHeight="1" x14ac:dyDescent="0.25">
      <c r="A877" s="12">
        <f>SUBTOTAL(3,$B$2:B877)</f>
        <v>876</v>
      </c>
      <c r="B877" s="42">
        <v>483</v>
      </c>
      <c r="C877" s="43">
        <v>46102</v>
      </c>
      <c r="D877" s="42">
        <v>82603210001</v>
      </c>
      <c r="E877" s="43">
        <v>46102</v>
      </c>
      <c r="F877" s="45" t="s">
        <v>644</v>
      </c>
      <c r="G877" s="71" t="s">
        <v>680</v>
      </c>
      <c r="H877" s="76" t="s">
        <v>478</v>
      </c>
      <c r="I877" s="46"/>
      <c r="J877" s="43"/>
      <c r="K877" s="73">
        <v>10</v>
      </c>
      <c r="L877" s="49">
        <f t="shared" si="39"/>
        <v>10</v>
      </c>
      <c r="M877" s="48">
        <f t="shared" si="41"/>
        <v>1075.1000000000001</v>
      </c>
      <c r="N877" s="48">
        <v>107.51</v>
      </c>
      <c r="O877" s="50">
        <v>0</v>
      </c>
      <c r="P877" s="50">
        <v>0</v>
      </c>
      <c r="Q877" s="51">
        <f t="shared" si="40"/>
        <v>1075.1000000000001</v>
      </c>
      <c r="R877" s="48"/>
      <c r="S877" s="24">
        <v>2595</v>
      </c>
      <c r="T877" s="43">
        <v>46094</v>
      </c>
      <c r="U877" s="43"/>
      <c r="V877" s="46" t="s">
        <v>247</v>
      </c>
      <c r="W877" s="54"/>
    </row>
    <row r="878" spans="1:23" ht="34.950000000000003" customHeight="1" x14ac:dyDescent="0.25">
      <c r="A878" s="12">
        <f>SUBTOTAL(3,$B$2:B878)</f>
        <v>877</v>
      </c>
      <c r="B878" s="42">
        <v>484</v>
      </c>
      <c r="C878" s="43">
        <v>46099</v>
      </c>
      <c r="D878" s="42">
        <v>82603200001</v>
      </c>
      <c r="E878" s="44">
        <v>46101</v>
      </c>
      <c r="F878" s="45" t="s">
        <v>939</v>
      </c>
      <c r="G878" s="70" t="s">
        <v>485</v>
      </c>
      <c r="H878" s="46" t="s">
        <v>37</v>
      </c>
      <c r="I878" s="46" t="s">
        <v>940</v>
      </c>
      <c r="J878" s="43">
        <v>46069</v>
      </c>
      <c r="K878" s="73">
        <v>7</v>
      </c>
      <c r="L878" s="49">
        <f t="shared" si="39"/>
        <v>7</v>
      </c>
      <c r="M878" s="48">
        <f t="shared" si="41"/>
        <v>35593.25</v>
      </c>
      <c r="N878" s="48">
        <v>5084.75</v>
      </c>
      <c r="O878" s="50">
        <v>9</v>
      </c>
      <c r="P878" s="50">
        <v>9</v>
      </c>
      <c r="Q878" s="51">
        <f t="shared" si="40"/>
        <v>42000.034999999996</v>
      </c>
      <c r="R878" s="48"/>
      <c r="S878" s="24">
        <v>1209011989</v>
      </c>
      <c r="T878" s="43">
        <v>46099</v>
      </c>
      <c r="U878" s="43"/>
      <c r="V878" s="46" t="s">
        <v>33</v>
      </c>
      <c r="W878" s="54"/>
    </row>
    <row r="879" spans="1:23" ht="34.950000000000003" customHeight="1" x14ac:dyDescent="0.25">
      <c r="A879" s="12">
        <f>SUBTOTAL(3,$B$2:B879)</f>
        <v>878</v>
      </c>
      <c r="B879" s="42">
        <v>485</v>
      </c>
      <c r="C879" s="43">
        <v>46099</v>
      </c>
      <c r="D879" s="42">
        <v>82603200002</v>
      </c>
      <c r="E879" s="44">
        <v>46101</v>
      </c>
      <c r="F879" s="45" t="s">
        <v>939</v>
      </c>
      <c r="G879" s="52" t="s">
        <v>485</v>
      </c>
      <c r="H879" s="46" t="s">
        <v>37</v>
      </c>
      <c r="I879" s="46" t="s">
        <v>940</v>
      </c>
      <c r="J879" s="43">
        <v>46069</v>
      </c>
      <c r="K879" s="47">
        <v>6</v>
      </c>
      <c r="L879" s="49">
        <f t="shared" si="39"/>
        <v>6</v>
      </c>
      <c r="M879" s="48">
        <f t="shared" si="41"/>
        <v>30508.5</v>
      </c>
      <c r="N879" s="48">
        <v>5084.75</v>
      </c>
      <c r="O879" s="50">
        <v>9</v>
      </c>
      <c r="P879" s="50">
        <v>9</v>
      </c>
      <c r="Q879" s="51">
        <f t="shared" si="40"/>
        <v>36000.03</v>
      </c>
      <c r="R879" s="48"/>
      <c r="S879" s="24">
        <v>1209011993</v>
      </c>
      <c r="T879" s="43">
        <v>46099</v>
      </c>
      <c r="U879" s="43"/>
      <c r="V879" s="46" t="s">
        <v>33</v>
      </c>
      <c r="W879" s="54"/>
    </row>
    <row r="880" spans="1:23" ht="34.950000000000003" customHeight="1" x14ac:dyDescent="0.25">
      <c r="A880" s="12">
        <f>SUBTOTAL(3,$B$2:B880)</f>
        <v>879</v>
      </c>
      <c r="B880" s="42">
        <v>486</v>
      </c>
      <c r="C880" s="43">
        <v>46099</v>
      </c>
      <c r="D880" s="42">
        <v>82603200003</v>
      </c>
      <c r="E880" s="44">
        <v>46101</v>
      </c>
      <c r="F880" s="45" t="s">
        <v>939</v>
      </c>
      <c r="G880" s="52" t="s">
        <v>485</v>
      </c>
      <c r="H880" s="46" t="s">
        <v>37</v>
      </c>
      <c r="I880" s="46" t="s">
        <v>940</v>
      </c>
      <c r="J880" s="43">
        <v>46069</v>
      </c>
      <c r="K880" s="47">
        <v>5</v>
      </c>
      <c r="L880" s="49">
        <f t="shared" si="39"/>
        <v>5</v>
      </c>
      <c r="M880" s="48">
        <f t="shared" si="41"/>
        <v>25423.75</v>
      </c>
      <c r="N880" s="48">
        <v>5084.75</v>
      </c>
      <c r="O880" s="50">
        <v>9</v>
      </c>
      <c r="P880" s="50">
        <v>9</v>
      </c>
      <c r="Q880" s="51">
        <f t="shared" si="40"/>
        <v>30000.024999999998</v>
      </c>
      <c r="R880" s="48"/>
      <c r="S880" s="24">
        <v>1209011995</v>
      </c>
      <c r="T880" s="43">
        <v>46099</v>
      </c>
      <c r="U880" s="43"/>
      <c r="V880" s="46" t="s">
        <v>33</v>
      </c>
      <c r="W880" s="54"/>
    </row>
    <row r="881" spans="1:23" ht="34.950000000000003" customHeight="1" x14ac:dyDescent="0.25">
      <c r="A881" s="12">
        <f>SUBTOTAL(3,$B$2:B881)</f>
        <v>880</v>
      </c>
      <c r="B881" s="42">
        <v>487</v>
      </c>
      <c r="C881" s="43">
        <v>46099</v>
      </c>
      <c r="D881" s="42">
        <v>82603200004</v>
      </c>
      <c r="E881" s="44">
        <v>46101</v>
      </c>
      <c r="F881" s="45" t="s">
        <v>939</v>
      </c>
      <c r="G881" s="52" t="s">
        <v>485</v>
      </c>
      <c r="H881" s="46" t="s">
        <v>37</v>
      </c>
      <c r="I881" s="46" t="s">
        <v>940</v>
      </c>
      <c r="J881" s="43">
        <v>46069</v>
      </c>
      <c r="K881" s="47">
        <v>4.5</v>
      </c>
      <c r="L881" s="49">
        <f t="shared" si="39"/>
        <v>4.5</v>
      </c>
      <c r="M881" s="48">
        <f t="shared" si="41"/>
        <v>22881.375</v>
      </c>
      <c r="N881" s="48">
        <v>5084.75</v>
      </c>
      <c r="O881" s="50">
        <v>9</v>
      </c>
      <c r="P881" s="50">
        <v>9</v>
      </c>
      <c r="Q881" s="51">
        <f t="shared" si="40"/>
        <v>27000.022499999999</v>
      </c>
      <c r="R881" s="48"/>
      <c r="S881" s="24">
        <v>1209011997</v>
      </c>
      <c r="T881" s="43">
        <v>46099</v>
      </c>
      <c r="U881" s="43"/>
      <c r="V881" s="46" t="s">
        <v>33</v>
      </c>
      <c r="W881" s="54"/>
    </row>
    <row r="882" spans="1:23" ht="34.950000000000003" customHeight="1" x14ac:dyDescent="0.25">
      <c r="A882" s="12">
        <f>SUBTOTAL(3,$B$2:B882)</f>
        <v>881</v>
      </c>
      <c r="B882" s="42">
        <v>488</v>
      </c>
      <c r="C882" s="43">
        <v>46099</v>
      </c>
      <c r="D882" s="42">
        <v>82603200005</v>
      </c>
      <c r="E882" s="43">
        <v>46101</v>
      </c>
      <c r="F882" s="45" t="s">
        <v>644</v>
      </c>
      <c r="G882" s="52" t="s">
        <v>680</v>
      </c>
      <c r="H882" s="46" t="s">
        <v>478</v>
      </c>
      <c r="I882" s="12"/>
      <c r="J882" s="43"/>
      <c r="K882" s="47">
        <v>10</v>
      </c>
      <c r="L882" s="49">
        <f t="shared" si="39"/>
        <v>10</v>
      </c>
      <c r="M882" s="48">
        <f t="shared" si="41"/>
        <v>1075.1000000000001</v>
      </c>
      <c r="N882" s="48">
        <v>107.51</v>
      </c>
      <c r="O882" s="50"/>
      <c r="P882" s="50"/>
      <c r="Q882" s="51">
        <f t="shared" si="40"/>
        <v>1075.1000000000001</v>
      </c>
      <c r="R882" s="48"/>
      <c r="S882" s="24" t="s">
        <v>959</v>
      </c>
      <c r="T882" s="43">
        <v>46099</v>
      </c>
      <c r="U882" s="43"/>
      <c r="V882" s="46" t="s">
        <v>247</v>
      </c>
      <c r="W882" s="54"/>
    </row>
    <row r="883" spans="1:23" ht="34.950000000000003" customHeight="1" x14ac:dyDescent="0.25">
      <c r="A883" s="12">
        <f>SUBTOTAL(3,$B$2:B883)</f>
        <v>882</v>
      </c>
      <c r="B883" s="42">
        <v>489</v>
      </c>
      <c r="C883" s="43">
        <v>46105</v>
      </c>
      <c r="D883" s="42">
        <v>82604020001</v>
      </c>
      <c r="E883" s="44">
        <v>46114</v>
      </c>
      <c r="F883" s="45" t="s">
        <v>939</v>
      </c>
      <c r="G883" s="52" t="s">
        <v>485</v>
      </c>
      <c r="H883" s="46" t="s">
        <v>37</v>
      </c>
      <c r="I883" s="46" t="s">
        <v>940</v>
      </c>
      <c r="J883" s="43">
        <v>46069</v>
      </c>
      <c r="K883" s="47">
        <v>7</v>
      </c>
      <c r="L883" s="49">
        <f t="shared" si="39"/>
        <v>7</v>
      </c>
      <c r="M883" s="48">
        <f t="shared" si="41"/>
        <v>35593.25</v>
      </c>
      <c r="N883" s="48">
        <v>5084.75</v>
      </c>
      <c r="O883" s="50">
        <v>9</v>
      </c>
      <c r="P883" s="50">
        <v>9</v>
      </c>
      <c r="Q883" s="51">
        <f t="shared" si="40"/>
        <v>42000.034999999996</v>
      </c>
      <c r="R883" s="48"/>
      <c r="S883" s="24">
        <v>1209012137</v>
      </c>
      <c r="T883" s="43">
        <v>46105</v>
      </c>
      <c r="U883" s="43"/>
      <c r="V883" s="46" t="s">
        <v>33</v>
      </c>
      <c r="W883" s="54"/>
    </row>
    <row r="884" spans="1:23" ht="34.950000000000003" customHeight="1" x14ac:dyDescent="0.25">
      <c r="A884" s="12">
        <f>SUBTOTAL(3,$B$2:B884)</f>
        <v>883</v>
      </c>
      <c r="B884" s="42">
        <v>490</v>
      </c>
      <c r="C884" s="43">
        <v>46105</v>
      </c>
      <c r="D884" s="42">
        <v>82604020002</v>
      </c>
      <c r="E884" s="44">
        <v>46114</v>
      </c>
      <c r="F884" s="45" t="s">
        <v>939</v>
      </c>
      <c r="G884" s="52" t="s">
        <v>485</v>
      </c>
      <c r="H884" s="46" t="s">
        <v>37</v>
      </c>
      <c r="I884" s="46" t="s">
        <v>940</v>
      </c>
      <c r="J884" s="43">
        <v>46069</v>
      </c>
      <c r="K884" s="47">
        <v>7</v>
      </c>
      <c r="L884" s="49">
        <f t="shared" si="39"/>
        <v>7</v>
      </c>
      <c r="M884" s="48">
        <f t="shared" si="41"/>
        <v>35593.25</v>
      </c>
      <c r="N884" s="48">
        <v>5084.75</v>
      </c>
      <c r="O884" s="50">
        <v>9</v>
      </c>
      <c r="P884" s="50">
        <v>9</v>
      </c>
      <c r="Q884" s="51">
        <f t="shared" si="40"/>
        <v>42000.034999999996</v>
      </c>
      <c r="R884" s="48"/>
      <c r="S884" s="24">
        <v>1209012147</v>
      </c>
      <c r="T884" s="43">
        <v>46105</v>
      </c>
      <c r="U884" s="43"/>
      <c r="V884" s="46" t="s">
        <v>33</v>
      </c>
      <c r="W884" s="54"/>
    </row>
    <row r="885" spans="1:23" ht="34.950000000000003" customHeight="1" x14ac:dyDescent="0.25">
      <c r="A885" s="12">
        <f>SUBTOTAL(3,$B$2:B885)</f>
        <v>884</v>
      </c>
      <c r="B885" s="42">
        <v>491</v>
      </c>
      <c r="C885" s="43">
        <v>46105</v>
      </c>
      <c r="D885" s="42">
        <v>82604020003</v>
      </c>
      <c r="E885" s="44">
        <v>46114</v>
      </c>
      <c r="F885" s="45" t="s">
        <v>939</v>
      </c>
      <c r="G885" s="52" t="s">
        <v>485</v>
      </c>
      <c r="H885" s="46" t="s">
        <v>37</v>
      </c>
      <c r="I885" s="46" t="s">
        <v>940</v>
      </c>
      <c r="J885" s="43">
        <v>46069</v>
      </c>
      <c r="K885" s="47">
        <v>5</v>
      </c>
      <c r="L885" s="49">
        <f t="shared" si="39"/>
        <v>5</v>
      </c>
      <c r="M885" s="48">
        <f t="shared" si="41"/>
        <v>25423.75</v>
      </c>
      <c r="N885" s="48">
        <v>5084.75</v>
      </c>
      <c r="O885" s="50">
        <v>9</v>
      </c>
      <c r="P885" s="50">
        <v>9</v>
      </c>
      <c r="Q885" s="51">
        <f t="shared" si="40"/>
        <v>30000.024999999998</v>
      </c>
      <c r="R885" s="48"/>
      <c r="S885" s="24">
        <v>1209012150</v>
      </c>
      <c r="T885" s="43">
        <v>46105</v>
      </c>
      <c r="U885" s="43"/>
      <c r="V885" s="46" t="s">
        <v>33</v>
      </c>
      <c r="W885" s="54"/>
    </row>
    <row r="886" spans="1:23" ht="34.950000000000003" customHeight="1" x14ac:dyDescent="0.25">
      <c r="A886" s="12">
        <f>SUBTOTAL(3,$B$2:B886)</f>
        <v>885</v>
      </c>
      <c r="B886" s="42">
        <v>492</v>
      </c>
      <c r="C886" s="43">
        <v>46105</v>
      </c>
      <c r="D886" s="42">
        <v>82604020004</v>
      </c>
      <c r="E886" s="44">
        <v>46114</v>
      </c>
      <c r="F886" s="45" t="s">
        <v>939</v>
      </c>
      <c r="G886" s="52" t="s">
        <v>485</v>
      </c>
      <c r="H886" s="46" t="s">
        <v>37</v>
      </c>
      <c r="I886" s="46" t="s">
        <v>940</v>
      </c>
      <c r="J886" s="43">
        <v>46069</v>
      </c>
      <c r="K886" s="47">
        <v>6</v>
      </c>
      <c r="L886" s="49">
        <f t="shared" si="39"/>
        <v>6</v>
      </c>
      <c r="M886" s="48">
        <f t="shared" si="41"/>
        <v>30508.5</v>
      </c>
      <c r="N886" s="48">
        <v>5084.75</v>
      </c>
      <c r="O886" s="50">
        <v>9</v>
      </c>
      <c r="P886" s="50">
        <v>9</v>
      </c>
      <c r="Q886" s="51">
        <f t="shared" si="40"/>
        <v>36000.03</v>
      </c>
      <c r="R886" s="48"/>
      <c r="S886" s="24">
        <v>1209012158</v>
      </c>
      <c r="T886" s="43">
        <v>46105</v>
      </c>
      <c r="U886" s="43"/>
      <c r="V886" s="46" t="s">
        <v>33</v>
      </c>
      <c r="W886" s="54"/>
    </row>
    <row r="887" spans="1:23" ht="34.950000000000003" customHeight="1" x14ac:dyDescent="0.25">
      <c r="A887" s="12">
        <f>SUBTOTAL(3,$B$2:B887)</f>
        <v>886</v>
      </c>
      <c r="B887" s="42">
        <v>493</v>
      </c>
      <c r="C887" s="43">
        <v>46105</v>
      </c>
      <c r="D887" s="42">
        <v>82604020005</v>
      </c>
      <c r="E887" s="44">
        <v>46114</v>
      </c>
      <c r="F887" s="45" t="s">
        <v>939</v>
      </c>
      <c r="G887" s="52" t="s">
        <v>485</v>
      </c>
      <c r="H887" s="46" t="s">
        <v>37</v>
      </c>
      <c r="I887" s="46" t="s">
        <v>940</v>
      </c>
      <c r="J887" s="43">
        <v>46069</v>
      </c>
      <c r="K887" s="47">
        <v>5</v>
      </c>
      <c r="L887" s="49">
        <f t="shared" si="39"/>
        <v>5</v>
      </c>
      <c r="M887" s="48">
        <f t="shared" si="41"/>
        <v>25423.75</v>
      </c>
      <c r="N887" s="48">
        <v>5084.75</v>
      </c>
      <c r="O887" s="50">
        <v>9</v>
      </c>
      <c r="P887" s="50">
        <v>9</v>
      </c>
      <c r="Q887" s="51">
        <f t="shared" si="40"/>
        <v>30000.024999999998</v>
      </c>
      <c r="R887" s="48"/>
      <c r="S887" s="24">
        <v>1209012161</v>
      </c>
      <c r="T887" s="43">
        <v>46105</v>
      </c>
      <c r="U887" s="43"/>
      <c r="V887" s="46" t="s">
        <v>33</v>
      </c>
      <c r="W887" s="54"/>
    </row>
    <row r="888" spans="1:23" ht="34.950000000000003" customHeight="1" x14ac:dyDescent="0.25">
      <c r="A888" s="12">
        <f>SUBTOTAL(3,$B$2:B888)</f>
        <v>887</v>
      </c>
      <c r="B888" s="42">
        <v>494</v>
      </c>
      <c r="C888" s="43">
        <v>46108</v>
      </c>
      <c r="D888" s="42">
        <v>82604020006</v>
      </c>
      <c r="E888" s="43">
        <v>46114</v>
      </c>
      <c r="F888" s="45" t="s">
        <v>417</v>
      </c>
      <c r="G888" s="52" t="s">
        <v>418</v>
      </c>
      <c r="H888" s="46" t="s">
        <v>23</v>
      </c>
      <c r="I888" s="12"/>
      <c r="J888" s="43"/>
      <c r="K888" s="47">
        <v>120</v>
      </c>
      <c r="L888" s="49">
        <f t="shared" si="39"/>
        <v>120</v>
      </c>
      <c r="M888" s="48">
        <f t="shared" si="41"/>
        <v>15400.000000000002</v>
      </c>
      <c r="N888" s="48">
        <v>128.33333333333334</v>
      </c>
      <c r="O888" s="50">
        <v>9</v>
      </c>
      <c r="P888" s="50">
        <v>9</v>
      </c>
      <c r="Q888" s="51">
        <f t="shared" si="40"/>
        <v>18172</v>
      </c>
      <c r="R888" s="48"/>
      <c r="S888" s="24">
        <v>5274</v>
      </c>
      <c r="T888" s="43">
        <v>46108</v>
      </c>
      <c r="U888" s="43"/>
      <c r="V888" s="46" t="s">
        <v>247</v>
      </c>
      <c r="W888" s="54"/>
    </row>
    <row r="889" spans="1:23" ht="34.950000000000003" customHeight="1" x14ac:dyDescent="0.25">
      <c r="A889" s="12">
        <f>SUBTOTAL(3,$B$2:B889)</f>
        <v>888</v>
      </c>
      <c r="B889" s="42">
        <v>495</v>
      </c>
      <c r="C889" s="43">
        <v>46105</v>
      </c>
      <c r="D889" s="42">
        <v>0</v>
      </c>
      <c r="E889" s="43">
        <v>0</v>
      </c>
      <c r="F889" s="45" t="s">
        <v>92</v>
      </c>
      <c r="G889" s="52" t="s">
        <v>477</v>
      </c>
      <c r="H889" s="46" t="s">
        <v>478</v>
      </c>
      <c r="I889" s="12"/>
      <c r="J889" s="43"/>
      <c r="K889" s="47">
        <v>400</v>
      </c>
      <c r="L889" s="62">
        <f t="shared" si="39"/>
        <v>400</v>
      </c>
      <c r="M889" s="48"/>
      <c r="N889" s="48"/>
      <c r="O889" s="50"/>
      <c r="P889" s="50"/>
      <c r="Q889" s="51"/>
      <c r="R889" s="48"/>
      <c r="S889" s="24">
        <v>32603240593</v>
      </c>
      <c r="T889" s="43">
        <v>46105</v>
      </c>
      <c r="U889" s="43"/>
      <c r="V889" s="46" t="s">
        <v>25</v>
      </c>
      <c r="W889" s="54"/>
    </row>
    <row r="890" spans="1:23" ht="34.950000000000003" customHeight="1" x14ac:dyDescent="0.25">
      <c r="A890" s="12">
        <f>SUBTOTAL(3,$B$2:B890)</f>
        <v>889</v>
      </c>
      <c r="B890" s="42">
        <v>496</v>
      </c>
      <c r="C890" s="43">
        <v>46114</v>
      </c>
      <c r="D890" s="42">
        <v>82604100001</v>
      </c>
      <c r="E890" s="43">
        <v>46122</v>
      </c>
      <c r="F890" s="45" t="s">
        <v>619</v>
      </c>
      <c r="G890" s="52" t="s">
        <v>960</v>
      </c>
      <c r="H890" s="46" t="s">
        <v>16</v>
      </c>
      <c r="I890" s="12"/>
      <c r="J890" s="43"/>
      <c r="K890" s="47">
        <v>2</v>
      </c>
      <c r="L890" s="49">
        <f t="shared" si="39"/>
        <v>2</v>
      </c>
      <c r="M890" s="48">
        <f t="shared" si="41"/>
        <v>800</v>
      </c>
      <c r="N890" s="48">
        <v>400</v>
      </c>
      <c r="O890" s="50">
        <v>0</v>
      </c>
      <c r="P890" s="50">
        <v>0</v>
      </c>
      <c r="Q890" s="51">
        <f t="shared" ref="Q890:Q953" si="42">IF(M890="","",M890*(1+(O890+P890)/100))</f>
        <v>800</v>
      </c>
      <c r="R890" s="48"/>
      <c r="S890" s="24">
        <v>1144</v>
      </c>
      <c r="T890" s="43">
        <v>46114</v>
      </c>
      <c r="U890" s="43" t="s">
        <v>638</v>
      </c>
      <c r="V890" s="46" t="s">
        <v>247</v>
      </c>
      <c r="W890" s="54"/>
    </row>
    <row r="891" spans="1:23" ht="34.950000000000003" customHeight="1" x14ac:dyDescent="0.25">
      <c r="A891" s="12">
        <f>SUBTOTAL(3,$B$2:B891)</f>
        <v>890</v>
      </c>
      <c r="B891" s="42">
        <v>497</v>
      </c>
      <c r="C891" s="43">
        <v>46114</v>
      </c>
      <c r="D891" s="42">
        <v>82604100002</v>
      </c>
      <c r="E891" s="43">
        <v>46122</v>
      </c>
      <c r="F891" s="45" t="s">
        <v>145</v>
      </c>
      <c r="G891" s="52" t="s">
        <v>961</v>
      </c>
      <c r="H891" s="46" t="s">
        <v>16</v>
      </c>
      <c r="I891" s="12"/>
      <c r="J891" s="43"/>
      <c r="K891" s="47">
        <v>1</v>
      </c>
      <c r="L891" s="49">
        <f t="shared" si="39"/>
        <v>1</v>
      </c>
      <c r="M891" s="48">
        <f t="shared" si="41"/>
        <v>4661</v>
      </c>
      <c r="N891" s="48">
        <v>4661</v>
      </c>
      <c r="O891" s="50">
        <v>9</v>
      </c>
      <c r="P891" s="50">
        <v>9</v>
      </c>
      <c r="Q891" s="51">
        <f t="shared" si="42"/>
        <v>5499.98</v>
      </c>
      <c r="R891" s="48"/>
      <c r="S891" s="24" t="s">
        <v>962</v>
      </c>
      <c r="T891" s="43">
        <v>46114</v>
      </c>
      <c r="U891" s="43" t="s">
        <v>638</v>
      </c>
      <c r="V891" s="46" t="s">
        <v>247</v>
      </c>
      <c r="W891" s="54"/>
    </row>
    <row r="892" spans="1:23" ht="34.950000000000003" customHeight="1" x14ac:dyDescent="0.25">
      <c r="A892" s="12">
        <f>SUBTOTAL(3,$B$2:B892)</f>
        <v>891</v>
      </c>
      <c r="B892" s="42">
        <v>498</v>
      </c>
      <c r="C892" s="43">
        <v>46114</v>
      </c>
      <c r="D892" s="42">
        <v>82604100003</v>
      </c>
      <c r="E892" s="44">
        <v>46122</v>
      </c>
      <c r="F892" s="45" t="s">
        <v>923</v>
      </c>
      <c r="G892" s="52" t="s">
        <v>637</v>
      </c>
      <c r="H892" s="46" t="s">
        <v>94</v>
      </c>
      <c r="I892" s="12" t="s">
        <v>963</v>
      </c>
      <c r="J892" s="43">
        <v>46116</v>
      </c>
      <c r="K892" s="47">
        <v>120</v>
      </c>
      <c r="L892" s="49">
        <f t="shared" si="39"/>
        <v>120</v>
      </c>
      <c r="M892" s="48">
        <f t="shared" si="41"/>
        <v>9960</v>
      </c>
      <c r="N892" s="48">
        <v>83</v>
      </c>
      <c r="O892" s="50">
        <v>9</v>
      </c>
      <c r="P892" s="50">
        <v>9</v>
      </c>
      <c r="Q892" s="51">
        <f t="shared" si="42"/>
        <v>11752.8</v>
      </c>
      <c r="R892" s="48"/>
      <c r="S892" s="24" t="s">
        <v>964</v>
      </c>
      <c r="T892" s="43">
        <v>46114</v>
      </c>
      <c r="U892" s="43"/>
      <c r="V892" s="46" t="s">
        <v>33</v>
      </c>
      <c r="W892" s="54"/>
    </row>
    <row r="893" spans="1:23" ht="34.950000000000003" customHeight="1" x14ac:dyDescent="0.25">
      <c r="A893" s="12">
        <f>SUBTOTAL(3,$B$2:B893)</f>
        <v>892</v>
      </c>
      <c r="B893" s="42">
        <v>499</v>
      </c>
      <c r="C893" s="43">
        <v>46130</v>
      </c>
      <c r="D893" s="42">
        <v>82604200001</v>
      </c>
      <c r="E893" s="44">
        <v>46132</v>
      </c>
      <c r="F893" s="45" t="s">
        <v>939</v>
      </c>
      <c r="G893" s="52" t="s">
        <v>485</v>
      </c>
      <c r="H893" s="46" t="s">
        <v>37</v>
      </c>
      <c r="I893" s="12" t="s">
        <v>965</v>
      </c>
      <c r="J893" s="43">
        <v>46129</v>
      </c>
      <c r="K893" s="55">
        <v>7</v>
      </c>
      <c r="L893" s="49">
        <f t="shared" si="39"/>
        <v>7</v>
      </c>
      <c r="M893" s="48">
        <f t="shared" si="41"/>
        <v>33813.57</v>
      </c>
      <c r="N893" s="48">
        <v>4830.51</v>
      </c>
      <c r="O893" s="50">
        <v>9</v>
      </c>
      <c r="P893" s="50">
        <v>9</v>
      </c>
      <c r="Q893" s="51">
        <f t="shared" si="42"/>
        <v>39900.012599999995</v>
      </c>
      <c r="R893" s="48"/>
      <c r="S893" s="24">
        <v>261209000461</v>
      </c>
      <c r="T893" s="43">
        <v>46130</v>
      </c>
      <c r="U893" s="43" t="s">
        <v>946</v>
      </c>
      <c r="V893" s="46" t="s">
        <v>33</v>
      </c>
      <c r="W893" s="54"/>
    </row>
    <row r="894" spans="1:23" ht="34.950000000000003" customHeight="1" x14ac:dyDescent="0.25">
      <c r="A894" s="12">
        <f>SUBTOTAL(3,$B$2:B894)</f>
        <v>893</v>
      </c>
      <c r="B894" s="42">
        <v>500</v>
      </c>
      <c r="C894" s="43">
        <v>46130</v>
      </c>
      <c r="D894" s="42">
        <v>82604200002</v>
      </c>
      <c r="E894" s="44">
        <v>46132</v>
      </c>
      <c r="F894" s="45" t="s">
        <v>939</v>
      </c>
      <c r="G894" s="52" t="s">
        <v>485</v>
      </c>
      <c r="H894" s="46" t="s">
        <v>37</v>
      </c>
      <c r="I894" s="12" t="s">
        <v>965</v>
      </c>
      <c r="J894" s="43">
        <v>46129</v>
      </c>
      <c r="K894" s="55">
        <v>7</v>
      </c>
      <c r="L894" s="49">
        <f t="shared" si="39"/>
        <v>7</v>
      </c>
      <c r="M894" s="48">
        <f t="shared" si="41"/>
        <v>33813.57</v>
      </c>
      <c r="N894" s="48">
        <v>4830.51</v>
      </c>
      <c r="O894" s="50">
        <v>9</v>
      </c>
      <c r="P894" s="50">
        <v>9</v>
      </c>
      <c r="Q894" s="51">
        <f t="shared" si="42"/>
        <v>39900.012599999995</v>
      </c>
      <c r="R894" s="48"/>
      <c r="S894" s="24">
        <v>261209000462</v>
      </c>
      <c r="T894" s="43">
        <v>46130</v>
      </c>
      <c r="U894" s="43" t="s">
        <v>942</v>
      </c>
      <c r="V894" s="46" t="s">
        <v>33</v>
      </c>
      <c r="W894" s="54"/>
    </row>
    <row r="895" spans="1:23" ht="34.950000000000003" customHeight="1" x14ac:dyDescent="0.25">
      <c r="A895" s="12">
        <f>SUBTOTAL(3,$B$2:B895)</f>
        <v>894</v>
      </c>
      <c r="B895" s="42">
        <v>501</v>
      </c>
      <c r="C895" s="43">
        <v>46130</v>
      </c>
      <c r="D895" s="42">
        <v>82604200003</v>
      </c>
      <c r="E895" s="44">
        <v>46132</v>
      </c>
      <c r="F895" s="45" t="s">
        <v>939</v>
      </c>
      <c r="G895" s="52" t="s">
        <v>485</v>
      </c>
      <c r="H895" s="57" t="s">
        <v>37</v>
      </c>
      <c r="I895" s="12" t="s">
        <v>965</v>
      </c>
      <c r="J895" s="43">
        <v>46129</v>
      </c>
      <c r="K895" s="55">
        <v>7</v>
      </c>
      <c r="L895" s="49">
        <f t="shared" si="39"/>
        <v>7</v>
      </c>
      <c r="M895" s="48">
        <f t="shared" si="41"/>
        <v>33813.57</v>
      </c>
      <c r="N895" s="48">
        <v>4830.51</v>
      </c>
      <c r="O895" s="50">
        <v>9</v>
      </c>
      <c r="P895" s="50">
        <v>9</v>
      </c>
      <c r="Q895" s="51">
        <f t="shared" si="42"/>
        <v>39900.012599999995</v>
      </c>
      <c r="R895" s="48"/>
      <c r="S895" s="24">
        <v>261209000463</v>
      </c>
      <c r="T895" s="43">
        <v>46130</v>
      </c>
      <c r="U895" s="43" t="s">
        <v>966</v>
      </c>
      <c r="V895" s="46" t="s">
        <v>33</v>
      </c>
      <c r="W895" s="54"/>
    </row>
    <row r="896" spans="1:23" ht="34.950000000000003" customHeight="1" x14ac:dyDescent="0.25">
      <c r="A896" s="12">
        <f>SUBTOTAL(3,$B$2:B896)</f>
        <v>895</v>
      </c>
      <c r="B896" s="42">
        <v>502</v>
      </c>
      <c r="C896" s="43">
        <v>46130</v>
      </c>
      <c r="D896" s="42">
        <v>82604200004</v>
      </c>
      <c r="E896" s="44">
        <v>46132</v>
      </c>
      <c r="F896" s="45" t="s">
        <v>939</v>
      </c>
      <c r="G896" s="52" t="s">
        <v>485</v>
      </c>
      <c r="H896" s="46" t="s">
        <v>37</v>
      </c>
      <c r="I896" s="12" t="s">
        <v>965</v>
      </c>
      <c r="J896" s="43">
        <v>46129</v>
      </c>
      <c r="K896" s="55">
        <v>7</v>
      </c>
      <c r="L896" s="49">
        <f t="shared" si="39"/>
        <v>7</v>
      </c>
      <c r="M896" s="48">
        <f t="shared" si="41"/>
        <v>33813.57</v>
      </c>
      <c r="N896" s="48">
        <v>4830.51</v>
      </c>
      <c r="O896" s="50">
        <v>9</v>
      </c>
      <c r="P896" s="50">
        <v>9</v>
      </c>
      <c r="Q896" s="51">
        <f t="shared" si="42"/>
        <v>39900.012599999995</v>
      </c>
      <c r="R896" s="48"/>
      <c r="S896" s="24">
        <v>261209000464</v>
      </c>
      <c r="T896" s="43">
        <v>46130</v>
      </c>
      <c r="U896" s="43" t="s">
        <v>949</v>
      </c>
      <c r="V896" s="46" t="s">
        <v>33</v>
      </c>
      <c r="W896" s="54"/>
    </row>
    <row r="897" spans="1:23" ht="34.950000000000003" customHeight="1" x14ac:dyDescent="0.25">
      <c r="A897" s="12">
        <f>SUBTOTAL(3,$B$2:B897)</f>
        <v>896</v>
      </c>
      <c r="B897" s="42">
        <v>503</v>
      </c>
      <c r="C897" s="43">
        <v>46130</v>
      </c>
      <c r="D897" s="42">
        <v>82604200005</v>
      </c>
      <c r="E897" s="44">
        <v>46132</v>
      </c>
      <c r="F897" s="45" t="s">
        <v>939</v>
      </c>
      <c r="G897" s="52" t="s">
        <v>485</v>
      </c>
      <c r="H897" s="46" t="s">
        <v>37</v>
      </c>
      <c r="I897" s="12" t="s">
        <v>965</v>
      </c>
      <c r="J897" s="43">
        <v>46129</v>
      </c>
      <c r="K897" s="55">
        <v>7</v>
      </c>
      <c r="L897" s="49">
        <f t="shared" si="39"/>
        <v>7</v>
      </c>
      <c r="M897" s="48">
        <f t="shared" si="41"/>
        <v>33813.57</v>
      </c>
      <c r="N897" s="48">
        <v>4830.51</v>
      </c>
      <c r="O897" s="50">
        <v>9</v>
      </c>
      <c r="P897" s="50">
        <v>9</v>
      </c>
      <c r="Q897" s="51">
        <f t="shared" si="42"/>
        <v>39900.012599999995</v>
      </c>
      <c r="R897" s="48"/>
      <c r="S897" s="24">
        <v>261209000465</v>
      </c>
      <c r="T897" s="43">
        <v>46130</v>
      </c>
      <c r="U897" s="43" t="s">
        <v>967</v>
      </c>
      <c r="V897" s="46" t="s">
        <v>33</v>
      </c>
      <c r="W897" s="54"/>
    </row>
    <row r="898" spans="1:23" ht="34.950000000000003" customHeight="1" x14ac:dyDescent="0.25">
      <c r="A898" s="12">
        <f>SUBTOTAL(3,$B$2:B898)</f>
        <v>897</v>
      </c>
      <c r="B898" s="42">
        <v>504</v>
      </c>
      <c r="C898" s="43">
        <v>46130</v>
      </c>
      <c r="D898" s="42">
        <v>82604200006</v>
      </c>
      <c r="E898" s="44">
        <v>46132</v>
      </c>
      <c r="F898" s="45" t="s">
        <v>939</v>
      </c>
      <c r="G898" s="52" t="s">
        <v>485</v>
      </c>
      <c r="H898" s="46" t="s">
        <v>37</v>
      </c>
      <c r="I898" s="12" t="s">
        <v>965</v>
      </c>
      <c r="J898" s="43">
        <v>46129</v>
      </c>
      <c r="K898" s="55">
        <v>7</v>
      </c>
      <c r="L898" s="49">
        <f t="shared" ref="L898:L961" si="43">K898</f>
        <v>7</v>
      </c>
      <c r="M898" s="48">
        <f>L898*N898</f>
        <v>33813.57</v>
      </c>
      <c r="N898" s="48">
        <v>4830.51</v>
      </c>
      <c r="O898" s="50">
        <v>9</v>
      </c>
      <c r="P898" s="50">
        <v>9</v>
      </c>
      <c r="Q898" s="51">
        <f t="shared" si="42"/>
        <v>39900.012599999995</v>
      </c>
      <c r="R898" s="48"/>
      <c r="S898" s="24">
        <v>261209000468</v>
      </c>
      <c r="T898" s="43">
        <v>46130</v>
      </c>
      <c r="U898" s="43" t="s">
        <v>947</v>
      </c>
      <c r="V898" s="46" t="s">
        <v>33</v>
      </c>
      <c r="W898" s="54"/>
    </row>
    <row r="899" spans="1:23" ht="34.950000000000003" customHeight="1" x14ac:dyDescent="0.25">
      <c r="A899" s="12">
        <f>SUBTOTAL(3,$B$2:B899)</f>
        <v>898</v>
      </c>
      <c r="B899" s="42">
        <v>505</v>
      </c>
      <c r="C899" s="43">
        <v>46130</v>
      </c>
      <c r="D899" s="42">
        <v>82604200007</v>
      </c>
      <c r="E899" s="44">
        <v>46132</v>
      </c>
      <c r="F899" s="45" t="s">
        <v>939</v>
      </c>
      <c r="G899" s="52" t="s">
        <v>485</v>
      </c>
      <c r="H899" s="46" t="s">
        <v>37</v>
      </c>
      <c r="I899" s="12" t="s">
        <v>965</v>
      </c>
      <c r="J899" s="43">
        <v>46129</v>
      </c>
      <c r="K899" s="55">
        <v>7</v>
      </c>
      <c r="L899" s="49">
        <f t="shared" si="43"/>
        <v>7</v>
      </c>
      <c r="M899" s="48">
        <f t="shared" ref="M899:M915" si="44">L899*N899</f>
        <v>33813.57</v>
      </c>
      <c r="N899" s="48">
        <v>4830.51</v>
      </c>
      <c r="O899" s="50">
        <v>9</v>
      </c>
      <c r="P899" s="50">
        <v>9</v>
      </c>
      <c r="Q899" s="51">
        <f t="shared" si="42"/>
        <v>39900.012599999995</v>
      </c>
      <c r="R899" s="48"/>
      <c r="S899" s="24">
        <v>261209000469</v>
      </c>
      <c r="T899" s="43">
        <v>46130</v>
      </c>
      <c r="U899" s="43" t="s">
        <v>952</v>
      </c>
      <c r="V899" s="46" t="s">
        <v>33</v>
      </c>
      <c r="W899" s="54"/>
    </row>
    <row r="900" spans="1:23" ht="34.950000000000003" customHeight="1" x14ac:dyDescent="0.25">
      <c r="A900" s="12">
        <f>SUBTOTAL(3,$B$2:B900)</f>
        <v>899</v>
      </c>
      <c r="B900" s="42">
        <v>506</v>
      </c>
      <c r="C900" s="43">
        <v>46130</v>
      </c>
      <c r="D900" s="42">
        <v>82604200008</v>
      </c>
      <c r="E900" s="44">
        <v>46132</v>
      </c>
      <c r="F900" s="45" t="s">
        <v>939</v>
      </c>
      <c r="G900" s="52" t="s">
        <v>485</v>
      </c>
      <c r="H900" s="46" t="s">
        <v>37</v>
      </c>
      <c r="I900" s="12" t="s">
        <v>965</v>
      </c>
      <c r="J900" s="43">
        <v>46129</v>
      </c>
      <c r="K900" s="55">
        <v>7</v>
      </c>
      <c r="L900" s="49">
        <f t="shared" si="43"/>
        <v>7</v>
      </c>
      <c r="M900" s="48">
        <f t="shared" si="44"/>
        <v>33813.57</v>
      </c>
      <c r="N900" s="48">
        <v>4830.51</v>
      </c>
      <c r="O900" s="50">
        <v>9</v>
      </c>
      <c r="P900" s="50">
        <v>9</v>
      </c>
      <c r="Q900" s="51">
        <f t="shared" si="42"/>
        <v>39900.012599999995</v>
      </c>
      <c r="R900" s="48"/>
      <c r="S900" s="24">
        <v>261209000472</v>
      </c>
      <c r="T900" s="43">
        <v>46130</v>
      </c>
      <c r="U900" s="43" t="s">
        <v>946</v>
      </c>
      <c r="V900" s="46" t="s">
        <v>33</v>
      </c>
      <c r="W900" s="54"/>
    </row>
    <row r="901" spans="1:23" ht="34.950000000000003" customHeight="1" x14ac:dyDescent="0.25">
      <c r="A901" s="12">
        <f>SUBTOTAL(3,$B$2:B901)</f>
        <v>900</v>
      </c>
      <c r="B901" s="42">
        <v>507</v>
      </c>
      <c r="C901" s="43">
        <v>46130</v>
      </c>
      <c r="D901" s="42">
        <v>82604200009</v>
      </c>
      <c r="E901" s="44">
        <v>46132</v>
      </c>
      <c r="F901" s="45" t="s">
        <v>939</v>
      </c>
      <c r="G901" s="52" t="s">
        <v>485</v>
      </c>
      <c r="H901" s="46" t="s">
        <v>37</v>
      </c>
      <c r="I901" s="12" t="s">
        <v>965</v>
      </c>
      <c r="J901" s="43">
        <v>46129</v>
      </c>
      <c r="K901" s="55">
        <v>7</v>
      </c>
      <c r="L901" s="49">
        <f t="shared" si="43"/>
        <v>7</v>
      </c>
      <c r="M901" s="48">
        <f t="shared" si="44"/>
        <v>33813.57</v>
      </c>
      <c r="N901" s="48">
        <v>4830.51</v>
      </c>
      <c r="O901" s="50">
        <v>9</v>
      </c>
      <c r="P901" s="50">
        <v>9</v>
      </c>
      <c r="Q901" s="51">
        <f t="shared" si="42"/>
        <v>39900.012599999995</v>
      </c>
      <c r="R901" s="48"/>
      <c r="S901" s="24">
        <v>261209000473</v>
      </c>
      <c r="T901" s="43">
        <v>46130</v>
      </c>
      <c r="U901" s="43" t="s">
        <v>942</v>
      </c>
      <c r="V901" s="46" t="s">
        <v>33</v>
      </c>
      <c r="W901" s="45"/>
    </row>
    <row r="902" spans="1:23" ht="34.950000000000003" customHeight="1" x14ac:dyDescent="0.25">
      <c r="A902" s="12">
        <f>SUBTOTAL(3,$B$2:B902)</f>
        <v>901</v>
      </c>
      <c r="B902" s="42">
        <v>508</v>
      </c>
      <c r="C902" s="43">
        <v>46130</v>
      </c>
      <c r="D902" s="42">
        <v>82604200010</v>
      </c>
      <c r="E902" s="44">
        <v>46132</v>
      </c>
      <c r="F902" s="45" t="s">
        <v>939</v>
      </c>
      <c r="G902" s="52" t="s">
        <v>485</v>
      </c>
      <c r="H902" s="46" t="s">
        <v>37</v>
      </c>
      <c r="I902" s="12" t="s">
        <v>965</v>
      </c>
      <c r="J902" s="43">
        <v>46129</v>
      </c>
      <c r="K902" s="55">
        <v>6.5</v>
      </c>
      <c r="L902" s="49">
        <f t="shared" si="43"/>
        <v>6.5</v>
      </c>
      <c r="M902" s="48">
        <f t="shared" si="44"/>
        <v>31398.315000000002</v>
      </c>
      <c r="N902" s="48">
        <v>4830.51</v>
      </c>
      <c r="O902" s="50">
        <v>9</v>
      </c>
      <c r="P902" s="50">
        <v>9</v>
      </c>
      <c r="Q902" s="51">
        <f t="shared" si="42"/>
        <v>37050.011700000003</v>
      </c>
      <c r="R902" s="48">
        <v>0</v>
      </c>
      <c r="S902" s="24">
        <v>261209000478</v>
      </c>
      <c r="T902" s="43">
        <v>46130</v>
      </c>
      <c r="U902" s="43" t="s">
        <v>945</v>
      </c>
      <c r="V902" s="46" t="s">
        <v>33</v>
      </c>
      <c r="W902" s="45"/>
    </row>
    <row r="903" spans="1:23" ht="34.950000000000003" customHeight="1" x14ac:dyDescent="0.25">
      <c r="A903" s="12">
        <f>SUBTOTAL(3,$B$2:B903)</f>
        <v>902</v>
      </c>
      <c r="B903" s="42">
        <v>509</v>
      </c>
      <c r="C903" s="43">
        <v>46130</v>
      </c>
      <c r="D903" s="42">
        <v>82604220002</v>
      </c>
      <c r="E903" s="43">
        <v>46134</v>
      </c>
      <c r="F903" s="45" t="s">
        <v>968</v>
      </c>
      <c r="G903" s="52" t="s">
        <v>680</v>
      </c>
      <c r="H903" s="46" t="s">
        <v>478</v>
      </c>
      <c r="I903" s="12"/>
      <c r="J903" s="43"/>
      <c r="K903" s="73">
        <v>5</v>
      </c>
      <c r="L903" s="49">
        <v>5</v>
      </c>
      <c r="M903" s="48">
        <f t="shared" si="44"/>
        <v>537.5</v>
      </c>
      <c r="N903" s="48">
        <v>107.5</v>
      </c>
      <c r="O903" s="50">
        <v>0</v>
      </c>
      <c r="P903" s="50">
        <v>0</v>
      </c>
      <c r="Q903" s="51">
        <f t="shared" si="42"/>
        <v>537.5</v>
      </c>
      <c r="R903" s="48"/>
      <c r="S903" s="24" t="s">
        <v>969</v>
      </c>
      <c r="T903" s="43">
        <v>46130</v>
      </c>
      <c r="U903" s="43" t="s">
        <v>638</v>
      </c>
      <c r="V903" s="46" t="s">
        <v>247</v>
      </c>
      <c r="W903" s="45"/>
    </row>
    <row r="904" spans="1:23" ht="34.950000000000003" customHeight="1" x14ac:dyDescent="0.25">
      <c r="A904" s="12">
        <f>SUBTOTAL(3,$B$2:B904)</f>
        <v>903</v>
      </c>
      <c r="B904" s="42">
        <v>510</v>
      </c>
      <c r="C904" s="43">
        <v>46134</v>
      </c>
      <c r="D904" s="42">
        <v>82604220001</v>
      </c>
      <c r="E904" s="43">
        <v>46134</v>
      </c>
      <c r="F904" s="45" t="s">
        <v>619</v>
      </c>
      <c r="G904" s="52" t="s">
        <v>502</v>
      </c>
      <c r="H904" s="46" t="s">
        <v>16</v>
      </c>
      <c r="I904" s="12"/>
      <c r="J904" s="43"/>
      <c r="K904" s="73">
        <v>4</v>
      </c>
      <c r="L904" s="49">
        <v>4</v>
      </c>
      <c r="M904" s="48">
        <f t="shared" si="44"/>
        <v>600</v>
      </c>
      <c r="N904" s="48">
        <v>150</v>
      </c>
      <c r="O904" s="50">
        <v>9</v>
      </c>
      <c r="P904" s="50">
        <v>9</v>
      </c>
      <c r="Q904" s="51">
        <f t="shared" si="42"/>
        <v>708</v>
      </c>
      <c r="R904" s="48"/>
      <c r="S904" s="24">
        <v>144</v>
      </c>
      <c r="T904" s="43">
        <v>46134</v>
      </c>
      <c r="U904" s="43" t="s">
        <v>638</v>
      </c>
      <c r="V904" s="46" t="s">
        <v>247</v>
      </c>
      <c r="W904" s="45"/>
    </row>
    <row r="905" spans="1:23" ht="34.950000000000003" customHeight="1" x14ac:dyDescent="0.25">
      <c r="A905" s="12">
        <f>SUBTOTAL(3,$B$2:B905)</f>
        <v>904</v>
      </c>
      <c r="B905" s="42">
        <v>510</v>
      </c>
      <c r="C905" s="43">
        <v>46134</v>
      </c>
      <c r="D905" s="42">
        <v>82604220001</v>
      </c>
      <c r="E905" s="43">
        <v>46134</v>
      </c>
      <c r="F905" s="45" t="s">
        <v>619</v>
      </c>
      <c r="G905" s="52" t="s">
        <v>464</v>
      </c>
      <c r="H905" s="46" t="s">
        <v>16</v>
      </c>
      <c r="I905" s="12"/>
      <c r="J905" s="43"/>
      <c r="K905" s="73">
        <v>2</v>
      </c>
      <c r="L905" s="49">
        <v>2</v>
      </c>
      <c r="M905" s="48">
        <f t="shared" si="44"/>
        <v>200</v>
      </c>
      <c r="N905" s="48">
        <v>100</v>
      </c>
      <c r="O905" s="50">
        <v>9</v>
      </c>
      <c r="P905" s="50">
        <v>9</v>
      </c>
      <c r="Q905" s="51">
        <f t="shared" si="42"/>
        <v>236</v>
      </c>
      <c r="R905" s="48"/>
      <c r="S905" s="24">
        <v>144</v>
      </c>
      <c r="T905" s="43">
        <v>46134</v>
      </c>
      <c r="U905" s="43" t="s">
        <v>638</v>
      </c>
      <c r="V905" s="46" t="s">
        <v>247</v>
      </c>
      <c r="W905" s="45"/>
    </row>
    <row r="906" spans="1:23" ht="34.950000000000003" customHeight="1" x14ac:dyDescent="0.25">
      <c r="A906" s="12">
        <f>SUBTOTAL(3,$B$2:B906)</f>
        <v>905</v>
      </c>
      <c r="B906" s="42">
        <v>510</v>
      </c>
      <c r="C906" s="43">
        <v>46134</v>
      </c>
      <c r="D906" s="42">
        <v>82604220001</v>
      </c>
      <c r="E906" s="43">
        <v>46134</v>
      </c>
      <c r="F906" s="45" t="s">
        <v>619</v>
      </c>
      <c r="G906" s="52" t="s">
        <v>67</v>
      </c>
      <c r="H906" s="46" t="s">
        <v>16</v>
      </c>
      <c r="I906" s="12"/>
      <c r="J906" s="43"/>
      <c r="K906" s="73">
        <v>150</v>
      </c>
      <c r="L906" s="49">
        <v>150</v>
      </c>
      <c r="M906" s="48">
        <f t="shared" si="44"/>
        <v>4500</v>
      </c>
      <c r="N906" s="48">
        <f>4500/150</f>
        <v>30</v>
      </c>
      <c r="O906" s="50">
        <v>9</v>
      </c>
      <c r="P906" s="50">
        <v>9</v>
      </c>
      <c r="Q906" s="51">
        <f t="shared" si="42"/>
        <v>5310</v>
      </c>
      <c r="R906" s="48"/>
      <c r="S906" s="24">
        <v>144</v>
      </c>
      <c r="T906" s="43">
        <v>46134</v>
      </c>
      <c r="U906" s="43" t="s">
        <v>638</v>
      </c>
      <c r="V906" s="46" t="s">
        <v>247</v>
      </c>
      <c r="W906" s="45"/>
    </row>
    <row r="907" spans="1:23" ht="34.950000000000003" customHeight="1" x14ac:dyDescent="0.25">
      <c r="A907" s="12">
        <f>SUBTOTAL(3,$B$2:B907)</f>
        <v>906</v>
      </c>
      <c r="B907" s="42">
        <v>510</v>
      </c>
      <c r="C907" s="43">
        <v>46134</v>
      </c>
      <c r="D907" s="42">
        <v>82604220001</v>
      </c>
      <c r="E907" s="43">
        <v>46134</v>
      </c>
      <c r="F907" s="45" t="s">
        <v>619</v>
      </c>
      <c r="G907" s="52" t="s">
        <v>66</v>
      </c>
      <c r="H907" s="46" t="s">
        <v>16</v>
      </c>
      <c r="I907" s="12"/>
      <c r="J907" s="43"/>
      <c r="K907" s="73">
        <v>50</v>
      </c>
      <c r="L907" s="49">
        <v>50</v>
      </c>
      <c r="M907" s="48">
        <f t="shared" si="44"/>
        <v>500</v>
      </c>
      <c r="N907" s="48">
        <v>10</v>
      </c>
      <c r="O907" s="50">
        <v>9</v>
      </c>
      <c r="P907" s="50">
        <v>9</v>
      </c>
      <c r="Q907" s="51">
        <f t="shared" si="42"/>
        <v>590</v>
      </c>
      <c r="R907" s="48"/>
      <c r="S907" s="24">
        <v>144</v>
      </c>
      <c r="T907" s="43">
        <v>46134</v>
      </c>
      <c r="U907" s="43" t="s">
        <v>638</v>
      </c>
      <c r="V907" s="46" t="s">
        <v>247</v>
      </c>
      <c r="W907" s="45"/>
    </row>
    <row r="908" spans="1:23" ht="34.950000000000003" customHeight="1" x14ac:dyDescent="0.25">
      <c r="A908" s="12">
        <f>SUBTOTAL(3,$B$2:B908)</f>
        <v>907</v>
      </c>
      <c r="B908" s="42">
        <v>510</v>
      </c>
      <c r="C908" s="43">
        <v>46134</v>
      </c>
      <c r="D908" s="42">
        <v>82604220001</v>
      </c>
      <c r="E908" s="43">
        <v>46134</v>
      </c>
      <c r="F908" s="45" t="s">
        <v>619</v>
      </c>
      <c r="G908" s="121" t="s">
        <v>639</v>
      </c>
      <c r="H908" s="46" t="s">
        <v>16</v>
      </c>
      <c r="I908" s="12"/>
      <c r="J908" s="43"/>
      <c r="K908" s="48">
        <v>500</v>
      </c>
      <c r="L908" s="49">
        <v>500</v>
      </c>
      <c r="M908" s="48">
        <f t="shared" si="44"/>
        <v>500</v>
      </c>
      <c r="N908" s="48">
        <v>1</v>
      </c>
      <c r="O908" s="50">
        <v>9</v>
      </c>
      <c r="P908" s="50">
        <v>9</v>
      </c>
      <c r="Q908" s="51">
        <f t="shared" si="42"/>
        <v>590</v>
      </c>
      <c r="R908" s="48"/>
      <c r="S908" s="24">
        <v>144</v>
      </c>
      <c r="T908" s="43">
        <v>46134</v>
      </c>
      <c r="U908" s="43" t="s">
        <v>638</v>
      </c>
      <c r="V908" s="46" t="s">
        <v>247</v>
      </c>
      <c r="W908" s="45"/>
    </row>
    <row r="909" spans="1:23" ht="34.950000000000003" customHeight="1" x14ac:dyDescent="0.25">
      <c r="A909" s="12">
        <f>SUBTOTAL(3,$B$2:B909)</f>
        <v>908</v>
      </c>
      <c r="B909" s="42">
        <v>510</v>
      </c>
      <c r="C909" s="43">
        <v>46134</v>
      </c>
      <c r="D909" s="42">
        <v>82604220001</v>
      </c>
      <c r="E909" s="43">
        <v>46134</v>
      </c>
      <c r="F909" s="45" t="s">
        <v>619</v>
      </c>
      <c r="G909" s="58" t="s">
        <v>65</v>
      </c>
      <c r="H909" s="46" t="s">
        <v>16</v>
      </c>
      <c r="I909" s="12"/>
      <c r="J909" s="43"/>
      <c r="K909" s="48">
        <v>50</v>
      </c>
      <c r="L909" s="49">
        <v>50</v>
      </c>
      <c r="M909" s="48">
        <f t="shared" si="44"/>
        <v>2000</v>
      </c>
      <c r="N909" s="48">
        <f>2000/50</f>
        <v>40</v>
      </c>
      <c r="O909" s="50">
        <v>9</v>
      </c>
      <c r="P909" s="50">
        <v>9</v>
      </c>
      <c r="Q909" s="51">
        <f t="shared" si="42"/>
        <v>2360</v>
      </c>
      <c r="R909" s="48"/>
      <c r="S909" s="24">
        <v>144</v>
      </c>
      <c r="T909" s="43">
        <v>46134</v>
      </c>
      <c r="U909" s="43" t="s">
        <v>638</v>
      </c>
      <c r="V909" s="46" t="s">
        <v>247</v>
      </c>
      <c r="W909" s="45"/>
    </row>
    <row r="910" spans="1:23" ht="34.950000000000003" customHeight="1" x14ac:dyDescent="0.25">
      <c r="A910" s="12">
        <f>SUBTOTAL(3,$B$2:B910)</f>
        <v>909</v>
      </c>
      <c r="B910" s="42">
        <v>511</v>
      </c>
      <c r="C910" s="43">
        <v>46134</v>
      </c>
      <c r="D910" s="42">
        <v>82604230001</v>
      </c>
      <c r="E910" s="44">
        <v>46135</v>
      </c>
      <c r="F910" s="45" t="s">
        <v>445</v>
      </c>
      <c r="G910" s="52" t="s">
        <v>450</v>
      </c>
      <c r="H910" s="46" t="s">
        <v>16</v>
      </c>
      <c r="I910" s="46" t="s">
        <v>802</v>
      </c>
      <c r="J910" s="43">
        <v>45978</v>
      </c>
      <c r="K910" s="48">
        <v>70</v>
      </c>
      <c r="L910" s="49">
        <v>70</v>
      </c>
      <c r="M910" s="48">
        <f t="shared" si="44"/>
        <v>112000</v>
      </c>
      <c r="N910" s="48">
        <v>1600</v>
      </c>
      <c r="O910" s="50">
        <v>9</v>
      </c>
      <c r="P910" s="50">
        <v>9</v>
      </c>
      <c r="Q910" s="51">
        <f t="shared" si="42"/>
        <v>132160</v>
      </c>
      <c r="R910" s="48"/>
      <c r="S910" s="24" t="s">
        <v>970</v>
      </c>
      <c r="T910" s="43">
        <v>46134</v>
      </c>
      <c r="U910" s="43" t="s">
        <v>449</v>
      </c>
      <c r="V910" s="46" t="s">
        <v>33</v>
      </c>
      <c r="W910" s="45"/>
    </row>
    <row r="911" spans="1:23" ht="34.950000000000003" customHeight="1" x14ac:dyDescent="0.25">
      <c r="A911" s="12">
        <f>SUBTOTAL(3,$B$2:B911)</f>
        <v>910</v>
      </c>
      <c r="B911" s="42">
        <v>511</v>
      </c>
      <c r="C911" s="43">
        <v>46134</v>
      </c>
      <c r="D911" s="42">
        <v>82604230001</v>
      </c>
      <c r="E911" s="44">
        <v>46135</v>
      </c>
      <c r="F911" s="45" t="s">
        <v>445</v>
      </c>
      <c r="G911" s="52" t="s">
        <v>470</v>
      </c>
      <c r="H911" s="46" t="s">
        <v>94</v>
      </c>
      <c r="I911" s="46" t="s">
        <v>802</v>
      </c>
      <c r="J911" s="43">
        <v>45978</v>
      </c>
      <c r="K911" s="48">
        <v>75</v>
      </c>
      <c r="L911" s="49">
        <v>75</v>
      </c>
      <c r="M911" s="48">
        <f t="shared" si="44"/>
        <v>6375</v>
      </c>
      <c r="N911" s="48">
        <v>85</v>
      </c>
      <c r="O911" s="50">
        <v>9</v>
      </c>
      <c r="P911" s="50">
        <v>9</v>
      </c>
      <c r="Q911" s="51">
        <f t="shared" si="42"/>
        <v>7522.5</v>
      </c>
      <c r="R911" s="48"/>
      <c r="S911" s="24" t="s">
        <v>970</v>
      </c>
      <c r="T911" s="43">
        <v>46134</v>
      </c>
      <c r="U911" s="43" t="s">
        <v>449</v>
      </c>
      <c r="V911" s="46" t="s">
        <v>33</v>
      </c>
      <c r="W911" s="45"/>
    </row>
    <row r="912" spans="1:23" ht="34.950000000000003" customHeight="1" x14ac:dyDescent="0.25">
      <c r="A912" s="12">
        <f>SUBTOTAL(3,$B$2:B912)</f>
        <v>911</v>
      </c>
      <c r="B912" s="42">
        <v>511</v>
      </c>
      <c r="C912" s="43">
        <v>46134</v>
      </c>
      <c r="D912" s="42">
        <v>82604230001</v>
      </c>
      <c r="E912" s="44">
        <v>46135</v>
      </c>
      <c r="F912" s="45" t="s">
        <v>445</v>
      </c>
      <c r="G912" s="52" t="s">
        <v>471</v>
      </c>
      <c r="H912" s="46" t="s">
        <v>94</v>
      </c>
      <c r="I912" s="46" t="s">
        <v>802</v>
      </c>
      <c r="J912" s="43">
        <v>45978</v>
      </c>
      <c r="K912" s="48">
        <v>25</v>
      </c>
      <c r="L912" s="49">
        <v>25</v>
      </c>
      <c r="M912" s="48">
        <f t="shared" si="44"/>
        <v>2125</v>
      </c>
      <c r="N912" s="48">
        <v>85</v>
      </c>
      <c r="O912" s="50">
        <v>9</v>
      </c>
      <c r="P912" s="50">
        <v>9</v>
      </c>
      <c r="Q912" s="51">
        <f t="shared" si="42"/>
        <v>2507.5</v>
      </c>
      <c r="R912" s="48"/>
      <c r="S912" s="24" t="s">
        <v>970</v>
      </c>
      <c r="T912" s="43">
        <v>46134</v>
      </c>
      <c r="U912" s="43" t="s">
        <v>449</v>
      </c>
      <c r="V912" s="46" t="s">
        <v>33</v>
      </c>
      <c r="W912" s="45"/>
    </row>
    <row r="913" spans="1:23" ht="34.950000000000003" customHeight="1" x14ac:dyDescent="0.25">
      <c r="A913" s="12">
        <f>SUBTOTAL(3,$B$2:B913)</f>
        <v>912</v>
      </c>
      <c r="B913" s="42">
        <v>511</v>
      </c>
      <c r="C913" s="43">
        <v>46134</v>
      </c>
      <c r="D913" s="42">
        <v>82604230001</v>
      </c>
      <c r="E913" s="44">
        <v>46135</v>
      </c>
      <c r="F913" s="45" t="s">
        <v>445</v>
      </c>
      <c r="G913" s="52" t="s">
        <v>209</v>
      </c>
      <c r="H913" s="46" t="s">
        <v>94</v>
      </c>
      <c r="I913" s="46" t="s">
        <v>802</v>
      </c>
      <c r="J913" s="43">
        <v>45978</v>
      </c>
      <c r="K913" s="48">
        <v>75</v>
      </c>
      <c r="L913" s="49">
        <v>75</v>
      </c>
      <c r="M913" s="48">
        <f t="shared" si="44"/>
        <v>6375</v>
      </c>
      <c r="N913" s="48">
        <v>85</v>
      </c>
      <c r="O913" s="50">
        <v>9</v>
      </c>
      <c r="P913" s="50">
        <v>9</v>
      </c>
      <c r="Q913" s="51">
        <f t="shared" si="42"/>
        <v>7522.5</v>
      </c>
      <c r="R913" s="48"/>
      <c r="S913" s="24" t="s">
        <v>970</v>
      </c>
      <c r="T913" s="43">
        <v>46134</v>
      </c>
      <c r="U913" s="43" t="s">
        <v>449</v>
      </c>
      <c r="V913" s="46" t="s">
        <v>33</v>
      </c>
      <c r="W913" s="45"/>
    </row>
    <row r="914" spans="1:23" ht="34.950000000000003" customHeight="1" x14ac:dyDescent="0.25">
      <c r="A914" s="12">
        <f>SUBTOTAL(3,$B$2:B914)</f>
        <v>913</v>
      </c>
      <c r="B914" s="42">
        <v>512</v>
      </c>
      <c r="C914" s="43">
        <v>46135</v>
      </c>
      <c r="D914" s="42">
        <v>82604240001</v>
      </c>
      <c r="E914" s="44">
        <v>46136</v>
      </c>
      <c r="F914" s="45" t="s">
        <v>939</v>
      </c>
      <c r="G914" s="52" t="s">
        <v>485</v>
      </c>
      <c r="H914" s="46" t="s">
        <v>37</v>
      </c>
      <c r="I914" s="12" t="s">
        <v>965</v>
      </c>
      <c r="J914" s="43">
        <v>46129</v>
      </c>
      <c r="K914" s="122">
        <v>6</v>
      </c>
      <c r="L914" s="49">
        <v>6</v>
      </c>
      <c r="M914" s="48">
        <f t="shared" si="44"/>
        <v>28983</v>
      </c>
      <c r="N914" s="48">
        <v>4830.5</v>
      </c>
      <c r="O914" s="50">
        <v>9</v>
      </c>
      <c r="P914" s="50">
        <v>9</v>
      </c>
      <c r="Q914" s="51">
        <f t="shared" si="42"/>
        <v>34199.939999999995</v>
      </c>
      <c r="R914" s="48"/>
      <c r="S914" s="24">
        <v>261209000580</v>
      </c>
      <c r="T914" s="43">
        <v>46135</v>
      </c>
      <c r="U914" s="43" t="s">
        <v>971</v>
      </c>
      <c r="V914" s="46" t="s">
        <v>33</v>
      </c>
      <c r="W914" s="45"/>
    </row>
    <row r="915" spans="1:23" ht="34.950000000000003" customHeight="1" x14ac:dyDescent="0.25">
      <c r="A915" s="12">
        <f>SUBTOTAL(3,$B$2:B915)</f>
        <v>914</v>
      </c>
      <c r="B915" s="42">
        <v>513</v>
      </c>
      <c r="C915" s="43">
        <v>46135</v>
      </c>
      <c r="D915" s="42">
        <v>82604240002</v>
      </c>
      <c r="E915" s="44">
        <v>46136</v>
      </c>
      <c r="F915" s="45" t="s">
        <v>939</v>
      </c>
      <c r="G915" s="52" t="s">
        <v>485</v>
      </c>
      <c r="H915" s="46" t="s">
        <v>37</v>
      </c>
      <c r="I915" s="12" t="s">
        <v>965</v>
      </c>
      <c r="J915" s="43">
        <v>46129</v>
      </c>
      <c r="K915" s="122">
        <v>5</v>
      </c>
      <c r="L915" s="49">
        <v>5</v>
      </c>
      <c r="M915" s="48">
        <f t="shared" si="44"/>
        <v>24152.5</v>
      </c>
      <c r="N915" s="48">
        <v>4830.5</v>
      </c>
      <c r="O915" s="50">
        <v>9</v>
      </c>
      <c r="P915" s="50">
        <v>9</v>
      </c>
      <c r="Q915" s="51">
        <f t="shared" si="42"/>
        <v>28499.949999999997</v>
      </c>
      <c r="R915" s="48"/>
      <c r="S915" s="24">
        <v>261209000581</v>
      </c>
      <c r="T915" s="43">
        <v>46135</v>
      </c>
      <c r="U915" s="43" t="s">
        <v>952</v>
      </c>
      <c r="V915" s="46" t="s">
        <v>33</v>
      </c>
      <c r="W915" s="45"/>
    </row>
    <row r="916" spans="1:23" ht="34.950000000000003" customHeight="1" x14ac:dyDescent="0.25">
      <c r="A916" s="12">
        <f>SUBTOTAL(3,$B$2:B916)</f>
        <v>915</v>
      </c>
      <c r="B916" s="42">
        <v>514</v>
      </c>
      <c r="C916" s="43">
        <v>46135</v>
      </c>
      <c r="D916" s="42">
        <v>82604240003</v>
      </c>
      <c r="E916" s="44">
        <v>46136</v>
      </c>
      <c r="F916" s="45" t="s">
        <v>939</v>
      </c>
      <c r="G916" s="52" t="s">
        <v>485</v>
      </c>
      <c r="H916" s="46" t="s">
        <v>37</v>
      </c>
      <c r="I916" s="12" t="s">
        <v>965</v>
      </c>
      <c r="J916" s="43">
        <v>46129</v>
      </c>
      <c r="K916" s="122">
        <v>4</v>
      </c>
      <c r="L916" s="49">
        <v>4</v>
      </c>
      <c r="M916" s="48">
        <f>L916*N916</f>
        <v>19322</v>
      </c>
      <c r="N916" s="48">
        <v>4830.5</v>
      </c>
      <c r="O916" s="50">
        <v>9</v>
      </c>
      <c r="P916" s="50">
        <v>9</v>
      </c>
      <c r="Q916" s="51">
        <f t="shared" si="42"/>
        <v>22799.96</v>
      </c>
      <c r="R916" s="48"/>
      <c r="S916" s="24">
        <v>261209000585</v>
      </c>
      <c r="T916" s="43">
        <v>46135</v>
      </c>
      <c r="U916" s="43" t="s">
        <v>945</v>
      </c>
      <c r="V916" s="46" t="s">
        <v>33</v>
      </c>
      <c r="W916" s="45"/>
    </row>
    <row r="917" spans="1:23" ht="34.950000000000003" customHeight="1" x14ac:dyDescent="0.25">
      <c r="A917" s="12">
        <f>SUBTOTAL(3,$B$2:B917)</f>
        <v>916</v>
      </c>
      <c r="B917" s="42">
        <v>515</v>
      </c>
      <c r="C917" s="43">
        <v>46141</v>
      </c>
      <c r="D917" s="42">
        <v>82605010003</v>
      </c>
      <c r="E917" s="43">
        <v>46143</v>
      </c>
      <c r="F917" s="123" t="s">
        <v>619</v>
      </c>
      <c r="G917" s="1" t="s">
        <v>972</v>
      </c>
      <c r="H917" s="46" t="s">
        <v>16</v>
      </c>
      <c r="I917" s="12"/>
      <c r="J917" s="43"/>
      <c r="K917" s="48">
        <v>1</v>
      </c>
      <c r="L917" s="49">
        <v>1</v>
      </c>
      <c r="M917" s="48">
        <v>4400</v>
      </c>
      <c r="N917" s="48">
        <v>4400</v>
      </c>
      <c r="O917" s="50">
        <v>9</v>
      </c>
      <c r="P917" s="50">
        <v>9</v>
      </c>
      <c r="Q917" s="51">
        <f t="shared" si="42"/>
        <v>5192</v>
      </c>
      <c r="R917" s="48"/>
      <c r="S917" s="24">
        <v>145</v>
      </c>
      <c r="T917" s="43">
        <v>46141</v>
      </c>
      <c r="U917" s="43" t="s">
        <v>973</v>
      </c>
      <c r="V917" s="46" t="s">
        <v>247</v>
      </c>
      <c r="W917" s="45" t="s">
        <v>179</v>
      </c>
    </row>
    <row r="918" spans="1:23" ht="34.950000000000003" customHeight="1" x14ac:dyDescent="0.25">
      <c r="A918" s="12">
        <f>SUBTOTAL(3,$B$2:B918)</f>
        <v>917</v>
      </c>
      <c r="B918" s="42">
        <v>516</v>
      </c>
      <c r="C918" s="43">
        <v>46142</v>
      </c>
      <c r="D918" s="42">
        <v>82605010001</v>
      </c>
      <c r="E918" s="44">
        <v>46143</v>
      </c>
      <c r="F918" s="45" t="s">
        <v>939</v>
      </c>
      <c r="G918" s="52" t="s">
        <v>485</v>
      </c>
      <c r="H918" s="46" t="s">
        <v>37</v>
      </c>
      <c r="I918" s="12" t="s">
        <v>965</v>
      </c>
      <c r="J918" s="43">
        <v>46129</v>
      </c>
      <c r="K918" s="122">
        <v>7.5</v>
      </c>
      <c r="L918" s="49">
        <v>7.5</v>
      </c>
      <c r="M918" s="48">
        <v>36228.82</v>
      </c>
      <c r="N918" s="48">
        <v>4830.51</v>
      </c>
      <c r="O918" s="50">
        <v>9</v>
      </c>
      <c r="P918" s="50">
        <v>9</v>
      </c>
      <c r="Q918" s="51">
        <f t="shared" si="42"/>
        <v>42750.007599999997</v>
      </c>
      <c r="R918" s="48"/>
      <c r="S918" s="24">
        <v>261209000736</v>
      </c>
      <c r="T918" s="43">
        <v>46142</v>
      </c>
      <c r="U918" s="43" t="s">
        <v>974</v>
      </c>
      <c r="V918" s="46" t="s">
        <v>33</v>
      </c>
      <c r="W918" s="45"/>
    </row>
    <row r="919" spans="1:23" ht="34.950000000000003" customHeight="1" x14ac:dyDescent="0.25">
      <c r="A919" s="12">
        <f>SUBTOTAL(3,$B$2:B919)</f>
        <v>918</v>
      </c>
      <c r="B919" s="42">
        <v>517</v>
      </c>
      <c r="C919" s="43">
        <v>46142</v>
      </c>
      <c r="D919" s="42">
        <v>82605010002</v>
      </c>
      <c r="E919" s="44">
        <v>46143</v>
      </c>
      <c r="F919" s="45" t="s">
        <v>939</v>
      </c>
      <c r="G919" s="52" t="s">
        <v>485</v>
      </c>
      <c r="H919" s="46" t="s">
        <v>37</v>
      </c>
      <c r="I919" s="12" t="s">
        <v>965</v>
      </c>
      <c r="J919" s="43">
        <v>46129</v>
      </c>
      <c r="K919" s="122">
        <v>7.5</v>
      </c>
      <c r="L919" s="49">
        <v>7.5</v>
      </c>
      <c r="M919" s="48">
        <v>36228.82</v>
      </c>
      <c r="N919" s="48">
        <v>4830.51</v>
      </c>
      <c r="O919" s="50">
        <v>9</v>
      </c>
      <c r="P919" s="50">
        <v>9</v>
      </c>
      <c r="Q919" s="51">
        <f t="shared" si="42"/>
        <v>42750.007599999997</v>
      </c>
      <c r="R919" s="48"/>
      <c r="S919" s="24">
        <v>261209000748</v>
      </c>
      <c r="T919" s="43">
        <v>46142</v>
      </c>
      <c r="U919" s="43" t="s">
        <v>941</v>
      </c>
      <c r="V919" s="46" t="s">
        <v>33</v>
      </c>
      <c r="W919" s="45"/>
    </row>
    <row r="920" spans="1:23" ht="34.950000000000003" customHeight="1" x14ac:dyDescent="0.25">
      <c r="A920" s="12">
        <f>SUBTOTAL(3,$B$2:B920)</f>
        <v>919</v>
      </c>
      <c r="B920" s="42">
        <v>518</v>
      </c>
      <c r="C920" s="43">
        <v>46148</v>
      </c>
      <c r="D920" s="42">
        <v>82605080001</v>
      </c>
      <c r="E920" s="43">
        <v>46150</v>
      </c>
      <c r="F920" s="45" t="s">
        <v>841</v>
      </c>
      <c r="G920" s="52" t="s">
        <v>172</v>
      </c>
      <c r="H920" s="46" t="s">
        <v>155</v>
      </c>
      <c r="I920" s="12"/>
      <c r="J920" s="43"/>
      <c r="K920" s="48">
        <v>15</v>
      </c>
      <c r="L920" s="49">
        <v>15</v>
      </c>
      <c r="M920" s="48">
        <f>4080+254</f>
        <v>4334</v>
      </c>
      <c r="N920" s="48">
        <v>272</v>
      </c>
      <c r="O920" s="50">
        <v>9</v>
      </c>
      <c r="P920" s="50">
        <v>9</v>
      </c>
      <c r="Q920" s="51">
        <f t="shared" si="42"/>
        <v>5114.12</v>
      </c>
      <c r="R920" s="48"/>
      <c r="S920" s="24" t="s">
        <v>975</v>
      </c>
      <c r="T920" s="43">
        <v>46150</v>
      </c>
      <c r="U920" s="43" t="s">
        <v>937</v>
      </c>
      <c r="V920" s="46" t="s">
        <v>247</v>
      </c>
      <c r="W920" s="45"/>
    </row>
    <row r="921" spans="1:23" ht="34.950000000000003" customHeight="1" x14ac:dyDescent="0.25">
      <c r="A921" s="12">
        <f>SUBTOTAL(3,$B$2:B921)</f>
        <v>920</v>
      </c>
      <c r="B921" s="42">
        <v>519</v>
      </c>
      <c r="C921" s="43">
        <v>46148</v>
      </c>
      <c r="D921" s="42">
        <v>0</v>
      </c>
      <c r="E921" s="43">
        <v>0</v>
      </c>
      <c r="F921" s="45" t="s">
        <v>799</v>
      </c>
      <c r="G921" s="52" t="s">
        <v>976</v>
      </c>
      <c r="H921" s="46" t="s">
        <v>16</v>
      </c>
      <c r="I921" s="12"/>
      <c r="J921" s="43"/>
      <c r="K921" s="48">
        <v>680</v>
      </c>
      <c r="L921" s="62">
        <v>680</v>
      </c>
      <c r="M921" s="48">
        <v>156400</v>
      </c>
      <c r="N921" s="48">
        <v>230</v>
      </c>
      <c r="O921" s="50"/>
      <c r="P921" s="50"/>
      <c r="Q921" s="51">
        <f t="shared" si="42"/>
        <v>156400</v>
      </c>
      <c r="R921" s="48"/>
      <c r="S921" s="24">
        <v>32605060472</v>
      </c>
      <c r="T921" s="43">
        <v>46148</v>
      </c>
      <c r="U921" s="43" t="s">
        <v>296</v>
      </c>
      <c r="V921" s="46" t="s">
        <v>25</v>
      </c>
      <c r="W921" s="45"/>
    </row>
    <row r="922" spans="1:23" ht="34.950000000000003" customHeight="1" x14ac:dyDescent="0.25">
      <c r="A922" s="12">
        <f>SUBTOTAL(3,$B$2:B922)</f>
        <v>921</v>
      </c>
      <c r="B922" s="42">
        <v>520</v>
      </c>
      <c r="C922" s="43">
        <v>46156</v>
      </c>
      <c r="D922" s="42">
        <v>82605220001</v>
      </c>
      <c r="E922" s="44">
        <v>46164</v>
      </c>
      <c r="F922" s="45" t="s">
        <v>27</v>
      </c>
      <c r="G922" s="52" t="s">
        <v>86</v>
      </c>
      <c r="H922" s="46" t="s">
        <v>29</v>
      </c>
      <c r="I922" s="12" t="s">
        <v>977</v>
      </c>
      <c r="J922" s="43">
        <v>46154</v>
      </c>
      <c r="K922" s="48">
        <v>18.12</v>
      </c>
      <c r="L922" s="49">
        <v>18.12</v>
      </c>
      <c r="M922" s="48">
        <v>1159680</v>
      </c>
      <c r="N922" s="48">
        <v>64000</v>
      </c>
      <c r="O922" s="50">
        <v>9</v>
      </c>
      <c r="P922" s="50">
        <v>9</v>
      </c>
      <c r="Q922" s="51">
        <f t="shared" si="42"/>
        <v>1368422.3999999999</v>
      </c>
      <c r="R922" s="48"/>
      <c r="S922" s="24" t="s">
        <v>978</v>
      </c>
      <c r="T922" s="43">
        <v>46155</v>
      </c>
      <c r="U922" s="43" t="s">
        <v>979</v>
      </c>
      <c r="V922" s="46" t="s">
        <v>33</v>
      </c>
      <c r="W922" s="45"/>
    </row>
    <row r="923" spans="1:23" ht="34.950000000000003" customHeight="1" x14ac:dyDescent="0.25">
      <c r="A923" s="12">
        <f>SUBTOTAL(3,$B$2:B923)</f>
        <v>922</v>
      </c>
      <c r="B923" s="42">
        <v>520</v>
      </c>
      <c r="C923" s="43">
        <v>46156</v>
      </c>
      <c r="D923" s="42">
        <v>82605220001</v>
      </c>
      <c r="E923" s="44">
        <v>46164</v>
      </c>
      <c r="F923" s="45" t="s">
        <v>27</v>
      </c>
      <c r="G923" s="52" t="s">
        <v>44</v>
      </c>
      <c r="H923" s="46" t="s">
        <v>29</v>
      </c>
      <c r="I923" s="12" t="s">
        <v>977</v>
      </c>
      <c r="J923" s="43">
        <v>46154</v>
      </c>
      <c r="K923" s="48">
        <v>9.9499999999999993</v>
      </c>
      <c r="L923" s="49">
        <v>9.9499999999999993</v>
      </c>
      <c r="M923" s="48">
        <v>621875</v>
      </c>
      <c r="N923" s="48">
        <v>62500</v>
      </c>
      <c r="O923" s="50">
        <v>9</v>
      </c>
      <c r="P923" s="50">
        <v>9</v>
      </c>
      <c r="Q923" s="51">
        <f t="shared" si="42"/>
        <v>733812.5</v>
      </c>
      <c r="R923" s="48"/>
      <c r="S923" s="24" t="s">
        <v>978</v>
      </c>
      <c r="T923" s="43">
        <v>46155</v>
      </c>
      <c r="U923" s="43" t="s">
        <v>979</v>
      </c>
      <c r="V923" s="46" t="s">
        <v>33</v>
      </c>
      <c r="W923" s="45"/>
    </row>
    <row r="924" spans="1:23" ht="34.950000000000003" customHeight="1" x14ac:dyDescent="0.25">
      <c r="A924" s="12">
        <f>SUBTOTAL(3,$B$2:B924)</f>
        <v>923</v>
      </c>
      <c r="B924" s="42">
        <v>520</v>
      </c>
      <c r="C924" s="43">
        <v>46156</v>
      </c>
      <c r="D924" s="42">
        <v>82605220001</v>
      </c>
      <c r="E924" s="44">
        <v>46164</v>
      </c>
      <c r="F924" s="45" t="s">
        <v>27</v>
      </c>
      <c r="G924" s="52" t="s">
        <v>88</v>
      </c>
      <c r="H924" s="46" t="s">
        <v>29</v>
      </c>
      <c r="I924" s="12" t="s">
        <v>977</v>
      </c>
      <c r="J924" s="43">
        <v>46154</v>
      </c>
      <c r="K924" s="48">
        <v>10.1</v>
      </c>
      <c r="L924" s="49">
        <v>10.1</v>
      </c>
      <c r="M924" s="48">
        <v>631250</v>
      </c>
      <c r="N924" s="48">
        <v>62500</v>
      </c>
      <c r="O924" s="50">
        <v>9</v>
      </c>
      <c r="P924" s="50">
        <v>9</v>
      </c>
      <c r="Q924" s="51">
        <f t="shared" si="42"/>
        <v>744875</v>
      </c>
      <c r="R924" s="48"/>
      <c r="S924" s="24" t="s">
        <v>978</v>
      </c>
      <c r="T924" s="43">
        <v>46155</v>
      </c>
      <c r="U924" s="43" t="s">
        <v>979</v>
      </c>
      <c r="V924" s="46" t="s">
        <v>33</v>
      </c>
      <c r="W924" s="45"/>
    </row>
    <row r="925" spans="1:23" ht="34.950000000000003" customHeight="1" x14ac:dyDescent="0.25">
      <c r="A925" s="12">
        <f>SUBTOTAL(3,$B$2:B925)</f>
        <v>924</v>
      </c>
      <c r="B925" s="42">
        <v>520</v>
      </c>
      <c r="C925" s="43">
        <v>46156</v>
      </c>
      <c r="D925" s="42">
        <v>82605220001</v>
      </c>
      <c r="E925" s="44">
        <v>46164</v>
      </c>
      <c r="F925" s="45" t="s">
        <v>27</v>
      </c>
      <c r="G925" s="52" t="s">
        <v>41</v>
      </c>
      <c r="H925" s="46" t="s">
        <v>29</v>
      </c>
      <c r="I925" s="12" t="s">
        <v>977</v>
      </c>
      <c r="J925" s="43">
        <v>46154</v>
      </c>
      <c r="K925" s="48">
        <v>4.04</v>
      </c>
      <c r="L925" s="49">
        <v>4.04</v>
      </c>
      <c r="M925" s="48">
        <v>252500</v>
      </c>
      <c r="N925" s="48">
        <v>62500</v>
      </c>
      <c r="O925" s="50">
        <v>9</v>
      </c>
      <c r="P925" s="50">
        <v>9</v>
      </c>
      <c r="Q925" s="51">
        <f t="shared" si="42"/>
        <v>297950</v>
      </c>
      <c r="R925" s="48"/>
      <c r="S925" s="24" t="s">
        <v>978</v>
      </c>
      <c r="T925" s="43">
        <v>46155</v>
      </c>
      <c r="U925" s="43" t="s">
        <v>979</v>
      </c>
      <c r="V925" s="46" t="s">
        <v>33</v>
      </c>
      <c r="W925" s="45"/>
    </row>
    <row r="926" spans="1:23" ht="34.950000000000003" customHeight="1" x14ac:dyDescent="0.25">
      <c r="A926" s="12">
        <f>SUBTOTAL(3,$B$2:B926)</f>
        <v>925</v>
      </c>
      <c r="B926" s="42">
        <v>521</v>
      </c>
      <c r="C926" s="43">
        <v>46161</v>
      </c>
      <c r="D926" s="42">
        <v>0</v>
      </c>
      <c r="E926" s="43">
        <v>0</v>
      </c>
      <c r="F926" s="45" t="s">
        <v>799</v>
      </c>
      <c r="G926" s="52" t="s">
        <v>976</v>
      </c>
      <c r="H926" s="46" t="s">
        <v>16</v>
      </c>
      <c r="I926" s="12"/>
      <c r="J926" s="43"/>
      <c r="K926" s="48">
        <v>120</v>
      </c>
      <c r="L926" s="62">
        <v>120</v>
      </c>
      <c r="M926" s="48">
        <v>27600</v>
      </c>
      <c r="N926" s="48">
        <v>230</v>
      </c>
      <c r="O926" s="50">
        <v>0</v>
      </c>
      <c r="P926" s="50">
        <v>0</v>
      </c>
      <c r="Q926" s="51">
        <f t="shared" si="42"/>
        <v>27600</v>
      </c>
      <c r="R926" s="48"/>
      <c r="S926" s="24">
        <v>32605190657</v>
      </c>
      <c r="T926" s="43">
        <v>46161</v>
      </c>
      <c r="U926" s="43" t="s">
        <v>296</v>
      </c>
      <c r="V926" s="46" t="s">
        <v>25</v>
      </c>
      <c r="W926" s="45"/>
    </row>
    <row r="927" spans="1:23" ht="34.950000000000003" customHeight="1" x14ac:dyDescent="0.25">
      <c r="A927" s="12">
        <f>SUBTOTAL(3,$B$2:B927)</f>
        <v>926</v>
      </c>
      <c r="B927" s="42">
        <v>522</v>
      </c>
      <c r="C927" s="43">
        <v>46161</v>
      </c>
      <c r="D927" s="42">
        <v>0</v>
      </c>
      <c r="E927" s="43">
        <v>0</v>
      </c>
      <c r="F927" s="45" t="s">
        <v>799</v>
      </c>
      <c r="G927" s="52" t="s">
        <v>976</v>
      </c>
      <c r="H927" s="46" t="s">
        <v>16</v>
      </c>
      <c r="I927" s="12"/>
      <c r="J927" s="43"/>
      <c r="K927" s="48">
        <v>900</v>
      </c>
      <c r="L927" s="62">
        <v>900</v>
      </c>
      <c r="M927" s="48">
        <v>207000</v>
      </c>
      <c r="N927" s="48">
        <v>230</v>
      </c>
      <c r="O927" s="50"/>
      <c r="P927" s="50"/>
      <c r="Q927" s="51">
        <f t="shared" si="42"/>
        <v>207000</v>
      </c>
      <c r="R927" s="48"/>
      <c r="S927" s="24">
        <v>32605190551</v>
      </c>
      <c r="T927" s="43">
        <v>46161</v>
      </c>
      <c r="U927" s="43" t="s">
        <v>296</v>
      </c>
      <c r="V927" s="46" t="s">
        <v>25</v>
      </c>
      <c r="W927" s="45"/>
    </row>
    <row r="928" spans="1:23" ht="34.950000000000003" customHeight="1" x14ac:dyDescent="0.25">
      <c r="A928" s="12">
        <f>SUBTOTAL(3,$B$2:B928)</f>
        <v>927</v>
      </c>
      <c r="B928" s="42">
        <v>523</v>
      </c>
      <c r="C928" s="43">
        <v>46168</v>
      </c>
      <c r="D928" s="42" t="s">
        <v>980</v>
      </c>
      <c r="E928" s="43">
        <v>46169</v>
      </c>
      <c r="F928" s="45" t="s">
        <v>939</v>
      </c>
      <c r="G928" s="52" t="s">
        <v>485</v>
      </c>
      <c r="H928" s="46" t="s">
        <v>37</v>
      </c>
      <c r="I928" s="12" t="s">
        <v>965</v>
      </c>
      <c r="J928" s="43">
        <v>46129</v>
      </c>
      <c r="K928" s="122">
        <v>7</v>
      </c>
      <c r="L928" s="49">
        <v>7</v>
      </c>
      <c r="M928" s="48">
        <v>33813.56</v>
      </c>
      <c r="N928" s="48">
        <v>4830.5</v>
      </c>
      <c r="O928" s="50">
        <v>9</v>
      </c>
      <c r="P928" s="50">
        <v>9</v>
      </c>
      <c r="Q928" s="51">
        <f t="shared" si="42"/>
        <v>39900.000799999994</v>
      </c>
      <c r="R928" s="48"/>
      <c r="S928" s="24">
        <v>261209001364</v>
      </c>
      <c r="T928" s="43">
        <v>46168</v>
      </c>
      <c r="U928" s="43" t="s">
        <v>950</v>
      </c>
      <c r="V928" s="46" t="s">
        <v>33</v>
      </c>
      <c r="W928" s="45"/>
    </row>
    <row r="929" spans="1:23" ht="34.950000000000003" customHeight="1" x14ac:dyDescent="0.25">
      <c r="A929" s="12">
        <f>SUBTOTAL(3,$B$2:B929)</f>
        <v>928</v>
      </c>
      <c r="B929" s="42">
        <v>524</v>
      </c>
      <c r="C929" s="43">
        <v>46168</v>
      </c>
      <c r="D929" s="42" t="s">
        <v>981</v>
      </c>
      <c r="E929" s="43">
        <v>46169</v>
      </c>
      <c r="F929" s="45" t="s">
        <v>939</v>
      </c>
      <c r="G929" s="52" t="s">
        <v>485</v>
      </c>
      <c r="H929" s="46" t="s">
        <v>37</v>
      </c>
      <c r="I929" s="12" t="s">
        <v>965</v>
      </c>
      <c r="J929" s="43">
        <v>46129</v>
      </c>
      <c r="K929" s="122">
        <v>7</v>
      </c>
      <c r="L929" s="49">
        <v>7</v>
      </c>
      <c r="M929" s="48">
        <v>33813.56</v>
      </c>
      <c r="N929" s="48">
        <v>4830.5</v>
      </c>
      <c r="O929" s="50">
        <v>9</v>
      </c>
      <c r="P929" s="50">
        <v>9</v>
      </c>
      <c r="Q929" s="51">
        <f t="shared" si="42"/>
        <v>39900.000799999994</v>
      </c>
      <c r="R929" s="48"/>
      <c r="S929" s="24">
        <v>261209001365</v>
      </c>
      <c r="T929" s="43">
        <v>46168</v>
      </c>
      <c r="U929" s="43" t="s">
        <v>952</v>
      </c>
      <c r="V929" s="46" t="s">
        <v>33</v>
      </c>
      <c r="W929" s="45"/>
    </row>
    <row r="930" spans="1:23" ht="34.950000000000003" customHeight="1" x14ac:dyDescent="0.25">
      <c r="A930" s="12">
        <f>SUBTOTAL(3,$B$2:B930)</f>
        <v>929</v>
      </c>
      <c r="B930" s="42">
        <v>525</v>
      </c>
      <c r="C930" s="43">
        <v>46168</v>
      </c>
      <c r="D930" s="42" t="s">
        <v>982</v>
      </c>
      <c r="E930" s="43">
        <v>46169</v>
      </c>
      <c r="F930" s="45" t="s">
        <v>939</v>
      </c>
      <c r="G930" s="52" t="s">
        <v>485</v>
      </c>
      <c r="H930" s="46" t="s">
        <v>37</v>
      </c>
      <c r="I930" s="12" t="s">
        <v>965</v>
      </c>
      <c r="J930" s="43">
        <v>46129</v>
      </c>
      <c r="K930" s="122">
        <v>7</v>
      </c>
      <c r="L930" s="49">
        <v>7</v>
      </c>
      <c r="M930" s="48">
        <v>33813.56</v>
      </c>
      <c r="N930" s="48">
        <v>4830.5</v>
      </c>
      <c r="O930" s="50">
        <v>9</v>
      </c>
      <c r="P930" s="50">
        <v>9</v>
      </c>
      <c r="Q930" s="51">
        <f t="shared" si="42"/>
        <v>39900.000799999994</v>
      </c>
      <c r="R930" s="48"/>
      <c r="S930" s="24">
        <v>261209001366</v>
      </c>
      <c r="T930" s="43">
        <v>46168</v>
      </c>
      <c r="U930" s="43" t="s">
        <v>967</v>
      </c>
      <c r="V930" s="46" t="s">
        <v>33</v>
      </c>
      <c r="W930" s="45"/>
    </row>
    <row r="931" spans="1:23" ht="34.950000000000003" customHeight="1" x14ac:dyDescent="0.25">
      <c r="A931" s="12">
        <f>SUBTOTAL(3,$B$2:B931)</f>
        <v>930</v>
      </c>
      <c r="B931" s="42">
        <v>526</v>
      </c>
      <c r="C931" s="43">
        <v>46168</v>
      </c>
      <c r="D931" s="42" t="s">
        <v>983</v>
      </c>
      <c r="E931" s="43">
        <v>46169</v>
      </c>
      <c r="F931" s="45" t="s">
        <v>939</v>
      </c>
      <c r="G931" s="52" t="s">
        <v>485</v>
      </c>
      <c r="H931" s="46" t="s">
        <v>37</v>
      </c>
      <c r="I931" s="12" t="s">
        <v>965</v>
      </c>
      <c r="J931" s="43">
        <v>46129</v>
      </c>
      <c r="K931" s="122">
        <v>7</v>
      </c>
      <c r="L931" s="49">
        <v>7</v>
      </c>
      <c r="M931" s="48">
        <v>33813.56</v>
      </c>
      <c r="N931" s="48">
        <v>4830.5</v>
      </c>
      <c r="O931" s="50">
        <v>9</v>
      </c>
      <c r="P931" s="50">
        <v>9</v>
      </c>
      <c r="Q931" s="51">
        <f t="shared" si="42"/>
        <v>39900.000799999994</v>
      </c>
      <c r="R931" s="48"/>
      <c r="S931" s="24">
        <v>261209001368</v>
      </c>
      <c r="T931" s="43">
        <v>46168</v>
      </c>
      <c r="U931" s="43" t="s">
        <v>949</v>
      </c>
      <c r="V931" s="46" t="s">
        <v>33</v>
      </c>
      <c r="W931" s="45"/>
    </row>
    <row r="932" spans="1:23" ht="34.950000000000003" customHeight="1" x14ac:dyDescent="0.25">
      <c r="A932" s="12">
        <f>SUBTOTAL(3,$B$2:B932)</f>
        <v>931</v>
      </c>
      <c r="B932" s="42">
        <v>527</v>
      </c>
      <c r="C932" s="43">
        <v>46168</v>
      </c>
      <c r="D932" s="42" t="s">
        <v>984</v>
      </c>
      <c r="E932" s="43">
        <v>46169</v>
      </c>
      <c r="F932" s="45" t="s">
        <v>939</v>
      </c>
      <c r="G932" s="52" t="s">
        <v>485</v>
      </c>
      <c r="H932" s="46" t="s">
        <v>37</v>
      </c>
      <c r="I932" s="12" t="s">
        <v>965</v>
      </c>
      <c r="J932" s="43">
        <v>46129</v>
      </c>
      <c r="K932" s="122">
        <v>7</v>
      </c>
      <c r="L932" s="49">
        <v>7</v>
      </c>
      <c r="M932" s="48">
        <v>33813.56</v>
      </c>
      <c r="N932" s="48">
        <v>4830.5</v>
      </c>
      <c r="O932" s="50">
        <v>9</v>
      </c>
      <c r="P932" s="50">
        <v>9</v>
      </c>
      <c r="Q932" s="51">
        <f t="shared" si="42"/>
        <v>39900.000799999994</v>
      </c>
      <c r="R932" s="48"/>
      <c r="S932" s="24">
        <v>261209001369</v>
      </c>
      <c r="T932" s="43">
        <v>46168</v>
      </c>
      <c r="U932" s="43" t="s">
        <v>942</v>
      </c>
      <c r="V932" s="46" t="s">
        <v>33</v>
      </c>
      <c r="W932" s="45"/>
    </row>
    <row r="933" spans="1:23" ht="34.950000000000003" customHeight="1" x14ac:dyDescent="0.25">
      <c r="A933" s="12">
        <f>SUBTOTAL(3,$B$2:B933)</f>
        <v>932</v>
      </c>
      <c r="B933" s="42">
        <v>528</v>
      </c>
      <c r="C933" s="43">
        <v>46168</v>
      </c>
      <c r="D933" s="42" t="s">
        <v>985</v>
      </c>
      <c r="E933" s="43">
        <v>46169</v>
      </c>
      <c r="F933" s="45" t="s">
        <v>939</v>
      </c>
      <c r="G933" s="52" t="s">
        <v>485</v>
      </c>
      <c r="H933" s="46" t="s">
        <v>37</v>
      </c>
      <c r="I933" s="12" t="s">
        <v>965</v>
      </c>
      <c r="J933" s="43">
        <v>46129</v>
      </c>
      <c r="K933" s="122">
        <v>7</v>
      </c>
      <c r="L933" s="49">
        <v>7</v>
      </c>
      <c r="M933" s="48">
        <v>33813.56</v>
      </c>
      <c r="N933" s="48">
        <v>4830.5</v>
      </c>
      <c r="O933" s="50">
        <v>9</v>
      </c>
      <c r="P933" s="50">
        <v>9</v>
      </c>
      <c r="Q933" s="51">
        <f t="shared" si="42"/>
        <v>39900.000799999994</v>
      </c>
      <c r="R933" s="48"/>
      <c r="S933" s="24">
        <v>261209001370</v>
      </c>
      <c r="T933" s="43">
        <v>46168</v>
      </c>
      <c r="U933" s="43" t="s">
        <v>941</v>
      </c>
      <c r="V933" s="46" t="s">
        <v>33</v>
      </c>
      <c r="W933" s="45"/>
    </row>
    <row r="934" spans="1:23" ht="34.950000000000003" customHeight="1" x14ac:dyDescent="0.25">
      <c r="A934" s="12">
        <f>SUBTOTAL(3,$B$2:B934)</f>
        <v>933</v>
      </c>
      <c r="B934" s="42">
        <v>529</v>
      </c>
      <c r="C934" s="43">
        <v>46168</v>
      </c>
      <c r="D934" s="42" t="s">
        <v>986</v>
      </c>
      <c r="E934" s="43">
        <v>46169</v>
      </c>
      <c r="F934" s="45" t="s">
        <v>939</v>
      </c>
      <c r="G934" s="52" t="s">
        <v>485</v>
      </c>
      <c r="H934" s="46" t="s">
        <v>37</v>
      </c>
      <c r="I934" s="12" t="s">
        <v>965</v>
      </c>
      <c r="J934" s="43">
        <v>46129</v>
      </c>
      <c r="K934" s="122">
        <v>7</v>
      </c>
      <c r="L934" s="49">
        <v>7</v>
      </c>
      <c r="M934" s="48">
        <v>33813.56</v>
      </c>
      <c r="N934" s="48">
        <v>4830.5</v>
      </c>
      <c r="O934" s="50">
        <v>9</v>
      </c>
      <c r="P934" s="50">
        <v>9</v>
      </c>
      <c r="Q934" s="51">
        <f t="shared" si="42"/>
        <v>39900.000799999994</v>
      </c>
      <c r="R934" s="48"/>
      <c r="S934" s="24">
        <v>261209001372</v>
      </c>
      <c r="T934" s="43">
        <v>46168</v>
      </c>
      <c r="U934" s="43" t="s">
        <v>967</v>
      </c>
      <c r="V934" s="46" t="s">
        <v>33</v>
      </c>
      <c r="W934" s="45"/>
    </row>
    <row r="935" spans="1:23" ht="34.950000000000003" customHeight="1" x14ac:dyDescent="0.25">
      <c r="A935" s="12">
        <f>SUBTOTAL(3,$B$2:B935)</f>
        <v>934</v>
      </c>
      <c r="B935" s="42">
        <v>530</v>
      </c>
      <c r="C935" s="43">
        <v>46168</v>
      </c>
      <c r="D935" s="42" t="s">
        <v>987</v>
      </c>
      <c r="E935" s="43">
        <v>46169</v>
      </c>
      <c r="F935" s="45" t="s">
        <v>939</v>
      </c>
      <c r="G935" s="52" t="s">
        <v>485</v>
      </c>
      <c r="H935" s="46" t="s">
        <v>37</v>
      </c>
      <c r="I935" s="12" t="s">
        <v>965</v>
      </c>
      <c r="J935" s="43">
        <v>46129</v>
      </c>
      <c r="K935" s="122">
        <v>7</v>
      </c>
      <c r="L935" s="49">
        <v>7</v>
      </c>
      <c r="M935" s="48">
        <v>33813.56</v>
      </c>
      <c r="N935" s="48">
        <v>4830.5</v>
      </c>
      <c r="O935" s="50">
        <v>9</v>
      </c>
      <c r="P935" s="50">
        <v>9</v>
      </c>
      <c r="Q935" s="51">
        <f t="shared" si="42"/>
        <v>39900.000799999994</v>
      </c>
      <c r="R935" s="48"/>
      <c r="S935" s="24">
        <v>261209001373</v>
      </c>
      <c r="T935" s="43">
        <v>46168</v>
      </c>
      <c r="U935" s="43" t="s">
        <v>952</v>
      </c>
      <c r="V935" s="46" t="s">
        <v>33</v>
      </c>
      <c r="W935" s="45"/>
    </row>
    <row r="936" spans="1:23" ht="34.950000000000003" customHeight="1" x14ac:dyDescent="0.25">
      <c r="A936" s="12">
        <f>SUBTOTAL(3,$B$2:B936)</f>
        <v>935</v>
      </c>
      <c r="B936" s="42">
        <v>531</v>
      </c>
      <c r="C936" s="43">
        <v>46168</v>
      </c>
      <c r="D936" s="42" t="s">
        <v>988</v>
      </c>
      <c r="E936" s="43">
        <v>46169</v>
      </c>
      <c r="F936" s="45" t="s">
        <v>939</v>
      </c>
      <c r="G936" s="52" t="s">
        <v>485</v>
      </c>
      <c r="H936" s="46" t="s">
        <v>37</v>
      </c>
      <c r="I936" s="12" t="s">
        <v>965</v>
      </c>
      <c r="J936" s="43">
        <v>46129</v>
      </c>
      <c r="K936" s="122">
        <v>7</v>
      </c>
      <c r="L936" s="49">
        <v>7</v>
      </c>
      <c r="M936" s="48">
        <v>33813.56</v>
      </c>
      <c r="N936" s="48">
        <v>4830.5</v>
      </c>
      <c r="O936" s="50">
        <v>9</v>
      </c>
      <c r="P936" s="50">
        <v>9</v>
      </c>
      <c r="Q936" s="51">
        <f t="shared" si="42"/>
        <v>39900.000799999994</v>
      </c>
      <c r="R936" s="48"/>
      <c r="S936" s="24">
        <v>261209001374</v>
      </c>
      <c r="T936" s="43">
        <v>46168</v>
      </c>
      <c r="U936" s="43" t="s">
        <v>945</v>
      </c>
      <c r="V936" s="46" t="s">
        <v>33</v>
      </c>
      <c r="W936" s="45"/>
    </row>
    <row r="937" spans="1:23" ht="34.950000000000003" customHeight="1" x14ac:dyDescent="0.25">
      <c r="A937" s="12">
        <f>SUBTOTAL(3,$B$2:B937)</f>
        <v>936</v>
      </c>
      <c r="B937" s="42">
        <v>532</v>
      </c>
      <c r="C937" s="43">
        <v>46168</v>
      </c>
      <c r="D937" s="42" t="s">
        <v>989</v>
      </c>
      <c r="E937" s="43">
        <v>46169</v>
      </c>
      <c r="F937" s="45" t="s">
        <v>939</v>
      </c>
      <c r="G937" s="52" t="s">
        <v>485</v>
      </c>
      <c r="H937" s="46" t="s">
        <v>37</v>
      </c>
      <c r="I937" s="12" t="s">
        <v>965</v>
      </c>
      <c r="J937" s="43">
        <v>46129</v>
      </c>
      <c r="K937" s="122">
        <v>7</v>
      </c>
      <c r="L937" s="49">
        <v>7</v>
      </c>
      <c r="M937" s="48">
        <v>33813.56</v>
      </c>
      <c r="N937" s="48">
        <v>4830.5</v>
      </c>
      <c r="O937" s="50">
        <v>9</v>
      </c>
      <c r="P937" s="50">
        <v>9</v>
      </c>
      <c r="Q937" s="51">
        <f t="shared" si="42"/>
        <v>39900.000799999994</v>
      </c>
      <c r="R937" s="48"/>
      <c r="S937" s="24">
        <v>261209001375</v>
      </c>
      <c r="T937" s="43">
        <v>46168</v>
      </c>
      <c r="U937" s="43" t="s">
        <v>949</v>
      </c>
      <c r="V937" s="46" t="s">
        <v>33</v>
      </c>
      <c r="W937" s="45"/>
    </row>
    <row r="938" spans="1:23" ht="34.950000000000003" customHeight="1" x14ac:dyDescent="0.25">
      <c r="A938" s="12">
        <f>SUBTOTAL(3,$B$2:B938)</f>
        <v>937</v>
      </c>
      <c r="B938" s="42">
        <v>533</v>
      </c>
      <c r="C938" s="43">
        <v>46168</v>
      </c>
      <c r="D938" s="42" t="s">
        <v>990</v>
      </c>
      <c r="E938" s="43">
        <v>46169</v>
      </c>
      <c r="F938" s="45" t="s">
        <v>939</v>
      </c>
      <c r="G938" s="52" t="s">
        <v>485</v>
      </c>
      <c r="H938" s="46" t="s">
        <v>37</v>
      </c>
      <c r="I938" s="12" t="s">
        <v>965</v>
      </c>
      <c r="J938" s="43">
        <v>46129</v>
      </c>
      <c r="K938" s="122">
        <v>7</v>
      </c>
      <c r="L938" s="49">
        <v>7</v>
      </c>
      <c r="M938" s="48">
        <v>33813.56</v>
      </c>
      <c r="N938" s="48">
        <v>4830.5</v>
      </c>
      <c r="O938" s="50">
        <v>9</v>
      </c>
      <c r="P938" s="50">
        <v>9</v>
      </c>
      <c r="Q938" s="51">
        <f t="shared" si="42"/>
        <v>39900.000799999994</v>
      </c>
      <c r="R938" s="48"/>
      <c r="S938" s="24">
        <v>261209001376</v>
      </c>
      <c r="T938" s="43">
        <v>46168</v>
      </c>
      <c r="U938" s="43" t="s">
        <v>966</v>
      </c>
      <c r="V938" s="46" t="s">
        <v>33</v>
      </c>
      <c r="W938" s="45"/>
    </row>
    <row r="939" spans="1:23" ht="34.950000000000003" customHeight="1" x14ac:dyDescent="0.25">
      <c r="A939" s="12">
        <f>SUBTOTAL(3,$B$2:B939)</f>
        <v>938</v>
      </c>
      <c r="B939" s="42">
        <v>534</v>
      </c>
      <c r="C939" s="43">
        <v>46169</v>
      </c>
      <c r="D939" s="42">
        <v>82605280001</v>
      </c>
      <c r="E939" s="43">
        <v>46170</v>
      </c>
      <c r="F939" s="45" t="s">
        <v>939</v>
      </c>
      <c r="G939" s="52" t="s">
        <v>485</v>
      </c>
      <c r="H939" s="46" t="s">
        <v>37</v>
      </c>
      <c r="I939" s="12" t="s">
        <v>965</v>
      </c>
      <c r="J939" s="43">
        <v>46129</v>
      </c>
      <c r="K939" s="122">
        <v>7</v>
      </c>
      <c r="L939" s="49">
        <v>7</v>
      </c>
      <c r="M939" s="48">
        <v>33813.56</v>
      </c>
      <c r="N939" s="48">
        <v>4830.5</v>
      </c>
      <c r="O939" s="50">
        <v>9</v>
      </c>
      <c r="P939" s="50">
        <v>9</v>
      </c>
      <c r="Q939" s="51">
        <f t="shared" si="42"/>
        <v>39900.000799999994</v>
      </c>
      <c r="R939" s="48"/>
      <c r="S939" s="24">
        <v>261209001382</v>
      </c>
      <c r="T939" s="43">
        <v>46169</v>
      </c>
      <c r="U939" s="43"/>
      <c r="V939" s="46" t="s">
        <v>33</v>
      </c>
      <c r="W939" s="45"/>
    </row>
    <row r="940" spans="1:23" ht="34.950000000000003" customHeight="1" x14ac:dyDescent="0.25">
      <c r="A940" s="12">
        <f>SUBTOTAL(3,$B$2:B940)</f>
        <v>939</v>
      </c>
      <c r="B940" s="42">
        <v>535</v>
      </c>
      <c r="C940" s="43">
        <v>46169</v>
      </c>
      <c r="D940" s="42">
        <v>82605280002</v>
      </c>
      <c r="E940" s="43">
        <v>46170</v>
      </c>
      <c r="F940" s="45" t="s">
        <v>939</v>
      </c>
      <c r="G940" s="52" t="s">
        <v>485</v>
      </c>
      <c r="H940" s="46" t="s">
        <v>37</v>
      </c>
      <c r="I940" s="12" t="s">
        <v>965</v>
      </c>
      <c r="J940" s="43">
        <v>46129</v>
      </c>
      <c r="K940" s="122">
        <v>7</v>
      </c>
      <c r="L940" s="49">
        <v>7</v>
      </c>
      <c r="M940" s="48">
        <v>33813.56</v>
      </c>
      <c r="N940" s="48">
        <v>4830.5</v>
      </c>
      <c r="O940" s="50">
        <v>9</v>
      </c>
      <c r="P940" s="50">
        <v>9</v>
      </c>
      <c r="Q940" s="51">
        <f t="shared" si="42"/>
        <v>39900.000799999994</v>
      </c>
      <c r="R940" s="48"/>
      <c r="S940" s="24">
        <v>261209001383</v>
      </c>
      <c r="T940" s="43">
        <v>46169</v>
      </c>
      <c r="U940" s="43"/>
      <c r="V940" s="46" t="s">
        <v>33</v>
      </c>
      <c r="W940" s="45"/>
    </row>
    <row r="941" spans="1:23" ht="34.950000000000003" customHeight="1" x14ac:dyDescent="0.25">
      <c r="A941" s="12">
        <f>SUBTOTAL(3,$B$2:B941)</f>
        <v>940</v>
      </c>
      <c r="B941" s="42">
        <v>536</v>
      </c>
      <c r="C941" s="43">
        <v>46169</v>
      </c>
      <c r="D941" s="42">
        <v>82605280003</v>
      </c>
      <c r="E941" s="43">
        <v>46170</v>
      </c>
      <c r="F941" s="45" t="s">
        <v>939</v>
      </c>
      <c r="G941" s="52" t="s">
        <v>485</v>
      </c>
      <c r="H941" s="46" t="s">
        <v>37</v>
      </c>
      <c r="I941" s="12" t="s">
        <v>965</v>
      </c>
      <c r="J941" s="43">
        <v>46129</v>
      </c>
      <c r="K941" s="122">
        <v>7</v>
      </c>
      <c r="L941" s="49">
        <v>7</v>
      </c>
      <c r="M941" s="48">
        <v>33813.56</v>
      </c>
      <c r="N941" s="48">
        <v>4830.5</v>
      </c>
      <c r="O941" s="50">
        <v>9</v>
      </c>
      <c r="P941" s="50">
        <v>9</v>
      </c>
      <c r="Q941" s="51">
        <f t="shared" si="42"/>
        <v>39900.000799999994</v>
      </c>
      <c r="R941" s="48"/>
      <c r="S941" s="24">
        <v>261209001384</v>
      </c>
      <c r="T941" s="43">
        <v>46169</v>
      </c>
      <c r="U941" s="43"/>
      <c r="V941" s="46" t="s">
        <v>33</v>
      </c>
      <c r="W941" s="45"/>
    </row>
    <row r="942" spans="1:23" ht="34.950000000000003" customHeight="1" x14ac:dyDescent="0.25">
      <c r="A942" s="12">
        <f>SUBTOTAL(3,$B$2:B942)</f>
        <v>941</v>
      </c>
      <c r="B942" s="42">
        <v>537</v>
      </c>
      <c r="C942" s="43">
        <v>46169</v>
      </c>
      <c r="D942" s="42">
        <v>82605280004</v>
      </c>
      <c r="E942" s="43">
        <v>46170</v>
      </c>
      <c r="F942" s="45" t="s">
        <v>939</v>
      </c>
      <c r="G942" s="52" t="s">
        <v>485</v>
      </c>
      <c r="H942" s="46" t="s">
        <v>37</v>
      </c>
      <c r="I942" s="12" t="s">
        <v>965</v>
      </c>
      <c r="J942" s="43">
        <v>46129</v>
      </c>
      <c r="K942" s="122">
        <v>7</v>
      </c>
      <c r="L942" s="49">
        <v>7</v>
      </c>
      <c r="M942" s="48">
        <v>33813.56</v>
      </c>
      <c r="N942" s="48">
        <v>4830.5</v>
      </c>
      <c r="O942" s="50">
        <v>9</v>
      </c>
      <c r="P942" s="50">
        <v>9</v>
      </c>
      <c r="Q942" s="51">
        <f t="shared" si="42"/>
        <v>39900.000799999994</v>
      </c>
      <c r="R942" s="48"/>
      <c r="S942" s="24">
        <v>261209001385</v>
      </c>
      <c r="T942" s="43">
        <v>46169</v>
      </c>
      <c r="U942" s="43"/>
      <c r="V942" s="46" t="s">
        <v>33</v>
      </c>
      <c r="W942" s="45"/>
    </row>
    <row r="943" spans="1:23" ht="34.950000000000003" customHeight="1" x14ac:dyDescent="0.25">
      <c r="A943" s="12">
        <f>SUBTOTAL(3,$B$2:B943)</f>
        <v>942</v>
      </c>
      <c r="B943" s="42">
        <v>538</v>
      </c>
      <c r="C943" s="43">
        <v>46169</v>
      </c>
      <c r="D943" s="42">
        <v>82605280005</v>
      </c>
      <c r="E943" s="43">
        <v>46170</v>
      </c>
      <c r="F943" s="45" t="s">
        <v>939</v>
      </c>
      <c r="G943" s="52" t="s">
        <v>485</v>
      </c>
      <c r="H943" s="46" t="s">
        <v>37</v>
      </c>
      <c r="I943" s="12" t="s">
        <v>965</v>
      </c>
      <c r="J943" s="43">
        <v>46129</v>
      </c>
      <c r="K943" s="122">
        <v>7</v>
      </c>
      <c r="L943" s="49">
        <v>7</v>
      </c>
      <c r="M943" s="48">
        <v>33813.56</v>
      </c>
      <c r="N943" s="48">
        <v>4830.5</v>
      </c>
      <c r="O943" s="50">
        <v>9</v>
      </c>
      <c r="P943" s="50">
        <v>9</v>
      </c>
      <c r="Q943" s="51">
        <f t="shared" si="42"/>
        <v>39900.000799999994</v>
      </c>
      <c r="R943" s="48"/>
      <c r="S943" s="24">
        <v>261209001386</v>
      </c>
      <c r="T943" s="43">
        <v>46169</v>
      </c>
      <c r="U943" s="43"/>
      <c r="V943" s="46" t="s">
        <v>33</v>
      </c>
      <c r="W943" s="45"/>
    </row>
    <row r="944" spans="1:23" ht="34.950000000000003" customHeight="1" x14ac:dyDescent="0.25">
      <c r="A944" s="12">
        <f>SUBTOTAL(3,$B$2:B944)</f>
        <v>943</v>
      </c>
      <c r="B944" s="42">
        <v>539</v>
      </c>
      <c r="C944" s="43">
        <v>46169</v>
      </c>
      <c r="D944" s="42">
        <v>82605280006</v>
      </c>
      <c r="E944" s="43">
        <v>46170</v>
      </c>
      <c r="F944" s="45" t="s">
        <v>939</v>
      </c>
      <c r="G944" s="52" t="s">
        <v>485</v>
      </c>
      <c r="H944" s="46" t="s">
        <v>37</v>
      </c>
      <c r="I944" s="12" t="s">
        <v>965</v>
      </c>
      <c r="J944" s="43">
        <v>46129</v>
      </c>
      <c r="K944" s="122">
        <v>7</v>
      </c>
      <c r="L944" s="49">
        <v>7</v>
      </c>
      <c r="M944" s="48">
        <v>33813.56</v>
      </c>
      <c r="N944" s="48">
        <v>4830.5</v>
      </c>
      <c r="O944" s="50">
        <v>9</v>
      </c>
      <c r="P944" s="50">
        <v>9</v>
      </c>
      <c r="Q944" s="51">
        <f t="shared" si="42"/>
        <v>39900.000799999994</v>
      </c>
      <c r="R944" s="48"/>
      <c r="S944" s="24">
        <v>261209001387</v>
      </c>
      <c r="T944" s="43">
        <v>46169</v>
      </c>
      <c r="U944" s="43"/>
      <c r="V944" s="46" t="s">
        <v>33</v>
      </c>
      <c r="W944" s="45"/>
    </row>
    <row r="945" spans="1:23" ht="34.950000000000003" customHeight="1" x14ac:dyDescent="0.25">
      <c r="A945" s="12">
        <f>SUBTOTAL(3,$B$2:B945)</f>
        <v>944</v>
      </c>
      <c r="B945" s="42">
        <v>540</v>
      </c>
      <c r="C945" s="43">
        <v>46169</v>
      </c>
      <c r="D945" s="42">
        <v>82605280007</v>
      </c>
      <c r="E945" s="43">
        <v>46170</v>
      </c>
      <c r="F945" s="45" t="s">
        <v>939</v>
      </c>
      <c r="G945" s="52" t="s">
        <v>485</v>
      </c>
      <c r="H945" s="46" t="s">
        <v>37</v>
      </c>
      <c r="I945" s="12" t="s">
        <v>965</v>
      </c>
      <c r="J945" s="43">
        <v>46129</v>
      </c>
      <c r="K945" s="122">
        <v>7</v>
      </c>
      <c r="L945" s="49">
        <v>7</v>
      </c>
      <c r="M945" s="48">
        <v>33813.56</v>
      </c>
      <c r="N945" s="48">
        <v>4830.5</v>
      </c>
      <c r="O945" s="50">
        <v>9</v>
      </c>
      <c r="P945" s="50">
        <v>9</v>
      </c>
      <c r="Q945" s="51">
        <f t="shared" si="42"/>
        <v>39900.000799999994</v>
      </c>
      <c r="R945" s="48"/>
      <c r="S945" s="24">
        <v>261209001388</v>
      </c>
      <c r="T945" s="43">
        <v>46169</v>
      </c>
      <c r="U945" s="43"/>
      <c r="V945" s="46" t="s">
        <v>33</v>
      </c>
      <c r="W945" s="45"/>
    </row>
    <row r="946" spans="1:23" ht="34.950000000000003" customHeight="1" x14ac:dyDescent="0.25">
      <c r="A946" s="12">
        <f>SUBTOTAL(3,$B$2:B946)</f>
        <v>945</v>
      </c>
      <c r="B946" s="42">
        <v>541</v>
      </c>
      <c r="C946" s="43">
        <v>46169</v>
      </c>
      <c r="D946" s="42">
        <v>82605280008</v>
      </c>
      <c r="E946" s="43">
        <v>46170</v>
      </c>
      <c r="F946" s="45" t="s">
        <v>939</v>
      </c>
      <c r="G946" s="52" t="s">
        <v>485</v>
      </c>
      <c r="H946" s="46" t="s">
        <v>37</v>
      </c>
      <c r="I946" s="12" t="s">
        <v>965</v>
      </c>
      <c r="J946" s="43">
        <v>46129</v>
      </c>
      <c r="K946" s="122">
        <v>7</v>
      </c>
      <c r="L946" s="49">
        <v>7</v>
      </c>
      <c r="M946" s="48">
        <v>33813.56</v>
      </c>
      <c r="N946" s="48">
        <v>4830.5</v>
      </c>
      <c r="O946" s="50">
        <v>9</v>
      </c>
      <c r="P946" s="50">
        <v>9</v>
      </c>
      <c r="Q946" s="51">
        <f t="shared" si="42"/>
        <v>39900.000799999994</v>
      </c>
      <c r="R946" s="48"/>
      <c r="S946" s="24">
        <v>261209001389</v>
      </c>
      <c r="T946" s="43">
        <v>46169</v>
      </c>
      <c r="U946" s="43"/>
      <c r="V946" s="46" t="s">
        <v>33</v>
      </c>
      <c r="W946" s="45"/>
    </row>
    <row r="947" spans="1:23" ht="34.950000000000003" customHeight="1" x14ac:dyDescent="0.25">
      <c r="A947" s="12">
        <f>SUBTOTAL(3,$B$2:B947)</f>
        <v>946</v>
      </c>
      <c r="B947" s="42">
        <v>542</v>
      </c>
      <c r="C947" s="43">
        <v>46169</v>
      </c>
      <c r="D947" s="42">
        <v>82605280009</v>
      </c>
      <c r="E947" s="43">
        <v>46170</v>
      </c>
      <c r="F947" s="45" t="s">
        <v>939</v>
      </c>
      <c r="G947" s="52" t="s">
        <v>485</v>
      </c>
      <c r="H947" s="46" t="s">
        <v>37</v>
      </c>
      <c r="I947" s="12" t="s">
        <v>965</v>
      </c>
      <c r="J947" s="43">
        <v>46129</v>
      </c>
      <c r="K947" s="122">
        <v>7</v>
      </c>
      <c r="L947" s="49">
        <v>7</v>
      </c>
      <c r="M947" s="48">
        <v>33813.56</v>
      </c>
      <c r="N947" s="48">
        <v>4830.5</v>
      </c>
      <c r="O947" s="50">
        <v>9</v>
      </c>
      <c r="P947" s="50">
        <v>9</v>
      </c>
      <c r="Q947" s="51">
        <f t="shared" si="42"/>
        <v>39900.000799999994</v>
      </c>
      <c r="R947" s="48"/>
      <c r="S947" s="24">
        <v>261209001390</v>
      </c>
      <c r="T947" s="43">
        <v>46169</v>
      </c>
      <c r="U947" s="43"/>
      <c r="V947" s="46" t="s">
        <v>33</v>
      </c>
      <c r="W947" s="45"/>
    </row>
    <row r="948" spans="1:23" ht="34.950000000000003" customHeight="1" x14ac:dyDescent="0.25">
      <c r="A948" s="12">
        <f>SUBTOTAL(3,$B$2:B948)</f>
        <v>947</v>
      </c>
      <c r="B948" s="42">
        <v>543</v>
      </c>
      <c r="C948" s="43">
        <v>46169</v>
      </c>
      <c r="D948" s="42">
        <v>82605280010</v>
      </c>
      <c r="E948" s="43">
        <v>46170</v>
      </c>
      <c r="F948" s="45" t="s">
        <v>939</v>
      </c>
      <c r="G948" s="52" t="s">
        <v>485</v>
      </c>
      <c r="H948" s="46" t="s">
        <v>37</v>
      </c>
      <c r="I948" s="12" t="s">
        <v>965</v>
      </c>
      <c r="J948" s="43">
        <v>46129</v>
      </c>
      <c r="K948" s="122">
        <v>7</v>
      </c>
      <c r="L948" s="49">
        <v>7</v>
      </c>
      <c r="M948" s="48">
        <v>33813.56</v>
      </c>
      <c r="N948" s="48">
        <v>4830.5</v>
      </c>
      <c r="O948" s="50">
        <v>9</v>
      </c>
      <c r="P948" s="50">
        <v>9</v>
      </c>
      <c r="Q948" s="51">
        <f t="shared" si="42"/>
        <v>39900.000799999994</v>
      </c>
      <c r="R948" s="48"/>
      <c r="S948" s="24">
        <v>261209001391</v>
      </c>
      <c r="T948" s="43">
        <v>46169</v>
      </c>
      <c r="U948" s="43"/>
      <c r="V948" s="46" t="s">
        <v>33</v>
      </c>
      <c r="W948" s="45"/>
    </row>
    <row r="949" spans="1:23" ht="34.950000000000003" customHeight="1" x14ac:dyDescent="0.25">
      <c r="A949" s="12">
        <f>SUBTOTAL(3,$B$2:B949)</f>
        <v>948</v>
      </c>
      <c r="B949" s="42">
        <v>544</v>
      </c>
      <c r="C949" s="43">
        <v>46169</v>
      </c>
      <c r="D949" s="42">
        <v>82605280011</v>
      </c>
      <c r="E949" s="43">
        <v>46170</v>
      </c>
      <c r="F949" s="45" t="s">
        <v>939</v>
      </c>
      <c r="G949" s="52" t="s">
        <v>485</v>
      </c>
      <c r="H949" s="46" t="s">
        <v>37</v>
      </c>
      <c r="I949" s="12" t="s">
        <v>965</v>
      </c>
      <c r="J949" s="43">
        <v>46129</v>
      </c>
      <c r="K949" s="122">
        <v>7</v>
      </c>
      <c r="L949" s="49">
        <v>7</v>
      </c>
      <c r="M949" s="48">
        <v>33813.56</v>
      </c>
      <c r="N949" s="48">
        <v>4830.5</v>
      </c>
      <c r="O949" s="50">
        <v>9</v>
      </c>
      <c r="P949" s="50">
        <v>9</v>
      </c>
      <c r="Q949" s="51">
        <f t="shared" si="42"/>
        <v>39900.000799999994</v>
      </c>
      <c r="R949" s="48"/>
      <c r="S949" s="24">
        <v>261209001392</v>
      </c>
      <c r="T949" s="43">
        <v>46169</v>
      </c>
      <c r="U949" s="43"/>
      <c r="V949" s="46" t="s">
        <v>33</v>
      </c>
      <c r="W949" s="45"/>
    </row>
    <row r="950" spans="1:23" ht="34.950000000000003" customHeight="1" x14ac:dyDescent="0.25">
      <c r="A950" s="12">
        <f>SUBTOTAL(3,$B$2:B950)</f>
        <v>949</v>
      </c>
      <c r="B950" s="42">
        <v>545</v>
      </c>
      <c r="C950" s="43">
        <v>46169</v>
      </c>
      <c r="D950" s="42">
        <v>82605280012</v>
      </c>
      <c r="E950" s="43">
        <v>46170</v>
      </c>
      <c r="F950" s="45" t="s">
        <v>939</v>
      </c>
      <c r="G950" s="52" t="s">
        <v>485</v>
      </c>
      <c r="H950" s="46" t="s">
        <v>37</v>
      </c>
      <c r="I950" s="12" t="s">
        <v>965</v>
      </c>
      <c r="J950" s="43">
        <v>46129</v>
      </c>
      <c r="K950" s="122">
        <v>7</v>
      </c>
      <c r="L950" s="49">
        <v>7</v>
      </c>
      <c r="M950" s="48">
        <v>33813.56</v>
      </c>
      <c r="N950" s="48">
        <v>4830.5</v>
      </c>
      <c r="O950" s="50">
        <v>9</v>
      </c>
      <c r="P950" s="50">
        <v>9</v>
      </c>
      <c r="Q950" s="51">
        <f t="shared" si="42"/>
        <v>39900.000799999994</v>
      </c>
      <c r="R950" s="48"/>
      <c r="S950" s="24">
        <v>261209001393</v>
      </c>
      <c r="T950" s="43">
        <v>46169</v>
      </c>
      <c r="U950" s="43"/>
      <c r="V950" s="46" t="s">
        <v>33</v>
      </c>
      <c r="W950" s="45"/>
    </row>
    <row r="951" spans="1:23" ht="34.950000000000003" customHeight="1" x14ac:dyDescent="0.25">
      <c r="A951" s="12">
        <f>SUBTOTAL(3,$B$2:B951)</f>
        <v>950</v>
      </c>
      <c r="B951" s="42">
        <v>546</v>
      </c>
      <c r="C951" s="43">
        <v>46169</v>
      </c>
      <c r="D951" s="42">
        <v>82605280013</v>
      </c>
      <c r="E951" s="43">
        <v>46170</v>
      </c>
      <c r="F951" s="45" t="s">
        <v>939</v>
      </c>
      <c r="G951" s="52" t="s">
        <v>485</v>
      </c>
      <c r="H951" s="46" t="s">
        <v>37</v>
      </c>
      <c r="I951" s="12" t="s">
        <v>965</v>
      </c>
      <c r="J951" s="43">
        <v>46129</v>
      </c>
      <c r="K951" s="122">
        <v>7</v>
      </c>
      <c r="L951" s="49">
        <v>7</v>
      </c>
      <c r="M951" s="48">
        <v>33813.56</v>
      </c>
      <c r="N951" s="48">
        <v>4830.5</v>
      </c>
      <c r="O951" s="50">
        <v>9</v>
      </c>
      <c r="P951" s="50">
        <v>9</v>
      </c>
      <c r="Q951" s="51">
        <f t="shared" si="42"/>
        <v>39900.000799999994</v>
      </c>
      <c r="R951" s="48"/>
      <c r="S951" s="24">
        <v>261209001394</v>
      </c>
      <c r="T951" s="43">
        <v>46169</v>
      </c>
      <c r="U951" s="43"/>
      <c r="V951" s="46" t="s">
        <v>33</v>
      </c>
      <c r="W951" s="45"/>
    </row>
    <row r="952" spans="1:23" ht="34.950000000000003" customHeight="1" x14ac:dyDescent="0.25">
      <c r="A952" s="12">
        <f>SUBTOTAL(3,$B$2:B952)</f>
        <v>951</v>
      </c>
      <c r="B952" s="42">
        <v>547</v>
      </c>
      <c r="C952" s="43">
        <v>46169</v>
      </c>
      <c r="D952" s="42">
        <v>82605280014</v>
      </c>
      <c r="E952" s="43">
        <v>46170</v>
      </c>
      <c r="F952" s="45" t="s">
        <v>939</v>
      </c>
      <c r="G952" s="52" t="s">
        <v>485</v>
      </c>
      <c r="H952" s="46" t="s">
        <v>37</v>
      </c>
      <c r="I952" s="12" t="s">
        <v>965</v>
      </c>
      <c r="J952" s="43">
        <v>46129</v>
      </c>
      <c r="K952" s="122">
        <v>7</v>
      </c>
      <c r="L952" s="49">
        <v>7</v>
      </c>
      <c r="M952" s="48">
        <v>33813.56</v>
      </c>
      <c r="N952" s="48">
        <v>4830.5</v>
      </c>
      <c r="O952" s="50">
        <v>9</v>
      </c>
      <c r="P952" s="50">
        <v>9</v>
      </c>
      <c r="Q952" s="51">
        <f t="shared" si="42"/>
        <v>39900.000799999994</v>
      </c>
      <c r="R952" s="48"/>
      <c r="S952" s="24">
        <v>261209001395</v>
      </c>
      <c r="T952" s="43">
        <v>46169</v>
      </c>
      <c r="U952" s="43"/>
      <c r="V952" s="46" t="s">
        <v>33</v>
      </c>
      <c r="W952" s="45"/>
    </row>
    <row r="953" spans="1:23" ht="34.950000000000003" customHeight="1" x14ac:dyDescent="0.25">
      <c r="A953" s="12">
        <f>SUBTOTAL(3,$B$2:B953)</f>
        <v>952</v>
      </c>
      <c r="B953" s="42">
        <v>548</v>
      </c>
      <c r="C953" s="43">
        <v>46169</v>
      </c>
      <c r="D953" s="42">
        <v>82605280015</v>
      </c>
      <c r="E953" s="43">
        <v>46170</v>
      </c>
      <c r="F953" s="45" t="s">
        <v>939</v>
      </c>
      <c r="G953" s="52" t="s">
        <v>485</v>
      </c>
      <c r="H953" s="46" t="s">
        <v>37</v>
      </c>
      <c r="I953" s="12" t="s">
        <v>965</v>
      </c>
      <c r="J953" s="43">
        <v>46129</v>
      </c>
      <c r="K953" s="122">
        <v>7</v>
      </c>
      <c r="L953" s="49">
        <v>7</v>
      </c>
      <c r="M953" s="48">
        <v>33813.56</v>
      </c>
      <c r="N953" s="48">
        <v>4830.5</v>
      </c>
      <c r="O953" s="50">
        <v>9</v>
      </c>
      <c r="P953" s="50">
        <v>9</v>
      </c>
      <c r="Q953" s="51">
        <f t="shared" si="42"/>
        <v>39900.000799999994</v>
      </c>
      <c r="R953" s="48"/>
      <c r="S953" s="24">
        <v>261209001396</v>
      </c>
      <c r="T953" s="43">
        <v>46169</v>
      </c>
      <c r="U953" s="43"/>
      <c r="V953" s="46" t="s">
        <v>33</v>
      </c>
      <c r="W953" s="45"/>
    </row>
    <row r="954" spans="1:23" ht="34.950000000000003" customHeight="1" x14ac:dyDescent="0.25">
      <c r="A954" s="12">
        <f>SUBTOTAL(3,$B$2:B954)</f>
        <v>953</v>
      </c>
      <c r="B954" s="42">
        <v>549</v>
      </c>
      <c r="C954" s="43">
        <v>46169</v>
      </c>
      <c r="D954" s="42">
        <v>82605280016</v>
      </c>
      <c r="E954" s="43">
        <v>46170</v>
      </c>
      <c r="F954" s="45" t="s">
        <v>939</v>
      </c>
      <c r="G954" s="52" t="s">
        <v>485</v>
      </c>
      <c r="H954" s="46" t="s">
        <v>37</v>
      </c>
      <c r="I954" s="12" t="s">
        <v>965</v>
      </c>
      <c r="J954" s="43">
        <v>46129</v>
      </c>
      <c r="K954" s="122">
        <v>7</v>
      </c>
      <c r="L954" s="49">
        <v>7</v>
      </c>
      <c r="M954" s="48">
        <v>33813.56</v>
      </c>
      <c r="N954" s="48">
        <v>4830.5</v>
      </c>
      <c r="O954" s="50">
        <v>9</v>
      </c>
      <c r="P954" s="50">
        <v>9</v>
      </c>
      <c r="Q954" s="51">
        <f t="shared" ref="Q954:Q1017" si="45">IF(M954="","",M954*(1+(O954+P954)/100))</f>
        <v>39900.000799999994</v>
      </c>
      <c r="R954" s="48"/>
      <c r="S954" s="24">
        <v>261209001397</v>
      </c>
      <c r="T954" s="43">
        <v>46169</v>
      </c>
      <c r="U954" s="43"/>
      <c r="V954" s="46" t="s">
        <v>33</v>
      </c>
      <c r="W954" s="45"/>
    </row>
    <row r="955" spans="1:23" ht="34.950000000000003" customHeight="1" x14ac:dyDescent="0.25">
      <c r="A955" s="12">
        <f>SUBTOTAL(3,$B$2:B955)</f>
        <v>954</v>
      </c>
      <c r="B955" s="42">
        <v>550</v>
      </c>
      <c r="C955" s="43">
        <v>46169</v>
      </c>
      <c r="D955" s="42">
        <v>82605280017</v>
      </c>
      <c r="E955" s="43">
        <v>46170</v>
      </c>
      <c r="F955" s="45" t="s">
        <v>939</v>
      </c>
      <c r="G955" s="52" t="s">
        <v>485</v>
      </c>
      <c r="H955" s="46" t="s">
        <v>37</v>
      </c>
      <c r="I955" s="12" t="s">
        <v>965</v>
      </c>
      <c r="J955" s="43">
        <v>46129</v>
      </c>
      <c r="K955" s="122">
        <v>7</v>
      </c>
      <c r="L955" s="49">
        <v>7</v>
      </c>
      <c r="M955" s="48">
        <v>33813.56</v>
      </c>
      <c r="N955" s="48">
        <v>4830.5</v>
      </c>
      <c r="O955" s="50">
        <v>9</v>
      </c>
      <c r="P955" s="50">
        <v>9</v>
      </c>
      <c r="Q955" s="51">
        <f t="shared" si="45"/>
        <v>39900.000799999994</v>
      </c>
      <c r="R955" s="48"/>
      <c r="S955" s="24">
        <v>261209001399</v>
      </c>
      <c r="T955" s="43">
        <v>46169</v>
      </c>
      <c r="U955" s="43"/>
      <c r="V955" s="46" t="s">
        <v>33</v>
      </c>
      <c r="W955" s="45"/>
    </row>
    <row r="956" spans="1:23" ht="34.950000000000003" customHeight="1" x14ac:dyDescent="0.25">
      <c r="A956" s="12">
        <f>SUBTOTAL(3,$B$2:B956)</f>
        <v>955</v>
      </c>
      <c r="B956" s="42">
        <v>551</v>
      </c>
      <c r="C956" s="43">
        <v>46169</v>
      </c>
      <c r="D956" s="42">
        <v>82605280018</v>
      </c>
      <c r="E956" s="43">
        <v>46170</v>
      </c>
      <c r="F956" s="45" t="s">
        <v>939</v>
      </c>
      <c r="G956" s="52" t="s">
        <v>485</v>
      </c>
      <c r="H956" s="46" t="s">
        <v>37</v>
      </c>
      <c r="I956" s="12" t="s">
        <v>965</v>
      </c>
      <c r="J956" s="43">
        <v>46129</v>
      </c>
      <c r="K956" s="122">
        <v>7</v>
      </c>
      <c r="L956" s="49">
        <v>7</v>
      </c>
      <c r="M956" s="48">
        <v>33813.56</v>
      </c>
      <c r="N956" s="48">
        <v>4830.5</v>
      </c>
      <c r="O956" s="50">
        <v>9</v>
      </c>
      <c r="P956" s="50">
        <v>9</v>
      </c>
      <c r="Q956" s="51">
        <f t="shared" si="45"/>
        <v>39900.000799999994</v>
      </c>
      <c r="R956" s="48"/>
      <c r="S956" s="24">
        <v>261209001400</v>
      </c>
      <c r="T956" s="43">
        <v>46169</v>
      </c>
      <c r="U956" s="43"/>
      <c r="V956" s="46" t="s">
        <v>33</v>
      </c>
      <c r="W956" s="45"/>
    </row>
    <row r="957" spans="1:23" ht="34.950000000000003" customHeight="1" x14ac:dyDescent="0.25">
      <c r="A957" s="12">
        <f>SUBTOTAL(3,$B$2:B957)</f>
        <v>956</v>
      </c>
      <c r="B957" s="42">
        <v>552</v>
      </c>
      <c r="C957" s="43">
        <v>46169</v>
      </c>
      <c r="D957" s="42">
        <v>82605280019</v>
      </c>
      <c r="E957" s="43">
        <v>46170</v>
      </c>
      <c r="F957" s="45" t="s">
        <v>939</v>
      </c>
      <c r="G957" s="52" t="s">
        <v>485</v>
      </c>
      <c r="H957" s="46" t="s">
        <v>37</v>
      </c>
      <c r="I957" s="12" t="s">
        <v>965</v>
      </c>
      <c r="J957" s="43">
        <v>46129</v>
      </c>
      <c r="K957" s="122">
        <v>7</v>
      </c>
      <c r="L957" s="49">
        <v>7</v>
      </c>
      <c r="M957" s="48">
        <v>33813.56</v>
      </c>
      <c r="N957" s="48">
        <v>4830.5</v>
      </c>
      <c r="O957" s="50">
        <v>9</v>
      </c>
      <c r="P957" s="50">
        <v>9</v>
      </c>
      <c r="Q957" s="51">
        <f t="shared" si="45"/>
        <v>39900.000799999994</v>
      </c>
      <c r="R957" s="48"/>
      <c r="S957" s="24">
        <v>261209001401</v>
      </c>
      <c r="T957" s="43">
        <v>46169</v>
      </c>
      <c r="U957" s="43"/>
      <c r="V957" s="46" t="s">
        <v>33</v>
      </c>
      <c r="W957" s="45"/>
    </row>
    <row r="958" spans="1:23" ht="34.950000000000003" customHeight="1" x14ac:dyDescent="0.25">
      <c r="A958" s="12">
        <f>SUBTOTAL(3,$B$2:B958)</f>
        <v>957</v>
      </c>
      <c r="B958" s="42">
        <v>553</v>
      </c>
      <c r="C958" s="43">
        <v>46169</v>
      </c>
      <c r="D958" s="42">
        <v>82605280020</v>
      </c>
      <c r="E958" s="43">
        <v>46170</v>
      </c>
      <c r="F958" s="45" t="s">
        <v>939</v>
      </c>
      <c r="G958" s="52" t="s">
        <v>485</v>
      </c>
      <c r="H958" s="46" t="s">
        <v>37</v>
      </c>
      <c r="I958" s="12" t="s">
        <v>965</v>
      </c>
      <c r="J958" s="43">
        <v>46129</v>
      </c>
      <c r="K958" s="122">
        <v>7</v>
      </c>
      <c r="L958" s="49">
        <v>7</v>
      </c>
      <c r="M958" s="48">
        <v>33813.56</v>
      </c>
      <c r="N958" s="48">
        <v>4830.5</v>
      </c>
      <c r="O958" s="50">
        <v>9</v>
      </c>
      <c r="P958" s="50">
        <v>9</v>
      </c>
      <c r="Q958" s="51">
        <f t="shared" si="45"/>
        <v>39900.000799999994</v>
      </c>
      <c r="R958" s="48"/>
      <c r="S958" s="24">
        <v>261209001402</v>
      </c>
      <c r="T958" s="43">
        <v>46169</v>
      </c>
      <c r="U958" s="43"/>
      <c r="V958" s="46" t="s">
        <v>33</v>
      </c>
      <c r="W958" s="45"/>
    </row>
    <row r="959" spans="1:23" ht="34.950000000000003" customHeight="1" x14ac:dyDescent="0.25">
      <c r="A959" s="12">
        <f>SUBTOTAL(3,$B$2:B959)</f>
        <v>958</v>
      </c>
      <c r="B959" s="42">
        <v>554</v>
      </c>
      <c r="C959" s="43">
        <v>46169</v>
      </c>
      <c r="D959" s="42">
        <v>82605280021</v>
      </c>
      <c r="E959" s="43">
        <v>46170</v>
      </c>
      <c r="F959" s="45" t="s">
        <v>939</v>
      </c>
      <c r="G959" s="52" t="s">
        <v>485</v>
      </c>
      <c r="H959" s="46" t="s">
        <v>37</v>
      </c>
      <c r="I959" s="12" t="s">
        <v>965</v>
      </c>
      <c r="J959" s="43">
        <v>46129</v>
      </c>
      <c r="K959" s="122">
        <v>7</v>
      </c>
      <c r="L959" s="49">
        <v>7</v>
      </c>
      <c r="M959" s="48">
        <v>33813.56</v>
      </c>
      <c r="N959" s="48">
        <v>4830.5</v>
      </c>
      <c r="O959" s="50">
        <v>9</v>
      </c>
      <c r="P959" s="50">
        <v>9</v>
      </c>
      <c r="Q959" s="51">
        <f t="shared" si="45"/>
        <v>39900.000799999994</v>
      </c>
      <c r="R959" s="48"/>
      <c r="S959" s="24">
        <v>261209001403</v>
      </c>
      <c r="T959" s="43">
        <v>46169</v>
      </c>
      <c r="U959" s="43"/>
      <c r="V959" s="46" t="s">
        <v>33</v>
      </c>
      <c r="W959" s="45"/>
    </row>
    <row r="960" spans="1:23" ht="34.950000000000003" customHeight="1" x14ac:dyDescent="0.25">
      <c r="A960" s="12">
        <f>SUBTOTAL(3,$B$2:B960)</f>
        <v>959</v>
      </c>
      <c r="B960" s="42">
        <v>555</v>
      </c>
      <c r="C960" s="43">
        <v>46169</v>
      </c>
      <c r="D960" s="42">
        <v>82605280022</v>
      </c>
      <c r="E960" s="43">
        <v>46170</v>
      </c>
      <c r="F960" s="45" t="s">
        <v>939</v>
      </c>
      <c r="G960" s="52" t="s">
        <v>485</v>
      </c>
      <c r="H960" s="46" t="s">
        <v>37</v>
      </c>
      <c r="I960" s="12" t="s">
        <v>965</v>
      </c>
      <c r="J960" s="43">
        <v>46129</v>
      </c>
      <c r="K960" s="122">
        <v>7</v>
      </c>
      <c r="L960" s="49">
        <v>7</v>
      </c>
      <c r="M960" s="48">
        <v>33813.56</v>
      </c>
      <c r="N960" s="48">
        <v>4830.5</v>
      </c>
      <c r="O960" s="50">
        <v>9</v>
      </c>
      <c r="P960" s="50">
        <v>9</v>
      </c>
      <c r="Q960" s="51">
        <f t="shared" si="45"/>
        <v>39900.000799999994</v>
      </c>
      <c r="R960" s="48"/>
      <c r="S960" s="24">
        <v>261209001405</v>
      </c>
      <c r="T960" s="43">
        <v>46169</v>
      </c>
      <c r="U960" s="43"/>
      <c r="V960" s="46" t="s">
        <v>33</v>
      </c>
      <c r="W960" s="45"/>
    </row>
    <row r="961" spans="1:23" ht="34.950000000000003" customHeight="1" x14ac:dyDescent="0.25">
      <c r="A961" s="12">
        <f>SUBTOTAL(3,$B$2:B961)</f>
        <v>960</v>
      </c>
      <c r="B961" s="42">
        <v>556</v>
      </c>
      <c r="C961" s="43">
        <v>46169</v>
      </c>
      <c r="D961" s="42">
        <v>82605280023</v>
      </c>
      <c r="E961" s="43">
        <v>46170</v>
      </c>
      <c r="F961" s="45" t="s">
        <v>939</v>
      </c>
      <c r="G961" s="52" t="s">
        <v>485</v>
      </c>
      <c r="H961" s="46" t="s">
        <v>37</v>
      </c>
      <c r="I961" s="12" t="s">
        <v>965</v>
      </c>
      <c r="J961" s="43">
        <v>46129</v>
      </c>
      <c r="K961" s="122">
        <v>7</v>
      </c>
      <c r="L961" s="49">
        <v>7</v>
      </c>
      <c r="M961" s="48">
        <v>33813.56</v>
      </c>
      <c r="N961" s="48">
        <v>4830.5</v>
      </c>
      <c r="O961" s="50">
        <v>9</v>
      </c>
      <c r="P961" s="50">
        <v>9</v>
      </c>
      <c r="Q961" s="51">
        <f t="shared" si="45"/>
        <v>39900.000799999994</v>
      </c>
      <c r="R961" s="48"/>
      <c r="S961" s="24">
        <v>261209001407</v>
      </c>
      <c r="T961" s="43">
        <v>46169</v>
      </c>
      <c r="U961" s="43"/>
      <c r="V961" s="46" t="s">
        <v>33</v>
      </c>
      <c r="W961" s="45"/>
    </row>
    <row r="962" spans="1:23" ht="34.950000000000003" customHeight="1" x14ac:dyDescent="0.25">
      <c r="A962" s="12">
        <f>SUBTOTAL(3,$B$2:B962)</f>
        <v>961</v>
      </c>
      <c r="B962" s="42">
        <v>557</v>
      </c>
      <c r="C962" s="43">
        <v>46169</v>
      </c>
      <c r="D962" s="42">
        <v>82605280024</v>
      </c>
      <c r="E962" s="43">
        <v>46170</v>
      </c>
      <c r="F962" s="45" t="s">
        <v>939</v>
      </c>
      <c r="G962" s="52" t="s">
        <v>485</v>
      </c>
      <c r="H962" s="46" t="s">
        <v>37</v>
      </c>
      <c r="I962" s="12" t="s">
        <v>965</v>
      </c>
      <c r="J962" s="43">
        <v>46129</v>
      </c>
      <c r="K962" s="122">
        <v>7</v>
      </c>
      <c r="L962" s="49">
        <v>7</v>
      </c>
      <c r="M962" s="48">
        <v>33813.56</v>
      </c>
      <c r="N962" s="48">
        <v>4830.5</v>
      </c>
      <c r="O962" s="50">
        <v>9</v>
      </c>
      <c r="P962" s="50">
        <v>9</v>
      </c>
      <c r="Q962" s="51">
        <f t="shared" si="45"/>
        <v>39900.000799999994</v>
      </c>
      <c r="R962" s="48"/>
      <c r="S962" s="24">
        <v>261209001409</v>
      </c>
      <c r="T962" s="43">
        <v>46169</v>
      </c>
      <c r="U962" s="43"/>
      <c r="V962" s="46" t="s">
        <v>33</v>
      </c>
      <c r="W962" s="45"/>
    </row>
    <row r="963" spans="1:23" ht="34.950000000000003" customHeight="1" x14ac:dyDescent="0.25">
      <c r="A963" s="12">
        <f>SUBTOTAL(3,$B$2:B963)</f>
        <v>962</v>
      </c>
      <c r="B963" s="42">
        <v>558</v>
      </c>
      <c r="C963" s="43">
        <v>46169</v>
      </c>
      <c r="D963" s="42">
        <v>82605280025</v>
      </c>
      <c r="E963" s="43">
        <v>46170</v>
      </c>
      <c r="F963" s="45" t="s">
        <v>939</v>
      </c>
      <c r="G963" s="52" t="s">
        <v>485</v>
      </c>
      <c r="H963" s="46" t="s">
        <v>37</v>
      </c>
      <c r="I963" s="12" t="s">
        <v>965</v>
      </c>
      <c r="J963" s="43">
        <v>46129</v>
      </c>
      <c r="K963" s="122">
        <v>7</v>
      </c>
      <c r="L963" s="49">
        <v>7</v>
      </c>
      <c r="M963" s="48">
        <v>33813.56</v>
      </c>
      <c r="N963" s="48">
        <v>4830.5</v>
      </c>
      <c r="O963" s="50">
        <v>9</v>
      </c>
      <c r="P963" s="50">
        <v>9</v>
      </c>
      <c r="Q963" s="51">
        <f t="shared" si="45"/>
        <v>39900.000799999994</v>
      </c>
      <c r="R963" s="48"/>
      <c r="S963" s="24">
        <v>261209001408</v>
      </c>
      <c r="T963" s="43">
        <v>46169</v>
      </c>
      <c r="U963" s="43"/>
      <c r="V963" s="46" t="s">
        <v>33</v>
      </c>
      <c r="W963" s="45"/>
    </row>
    <row r="964" spans="1:23" ht="34.950000000000003" customHeight="1" x14ac:dyDescent="0.25">
      <c r="A964" s="12">
        <f>SUBTOTAL(3,$B$2:B964)</f>
        <v>963</v>
      </c>
      <c r="B964" s="42">
        <v>559</v>
      </c>
      <c r="C964" s="43">
        <v>46169</v>
      </c>
      <c r="D964" s="42">
        <v>82605280026</v>
      </c>
      <c r="E964" s="43">
        <v>46170</v>
      </c>
      <c r="F964" s="45" t="s">
        <v>939</v>
      </c>
      <c r="G964" s="52" t="s">
        <v>485</v>
      </c>
      <c r="H964" s="46" t="s">
        <v>37</v>
      </c>
      <c r="I964" s="12" t="s">
        <v>965</v>
      </c>
      <c r="J964" s="43">
        <v>46129</v>
      </c>
      <c r="K964" s="122">
        <v>7</v>
      </c>
      <c r="L964" s="49">
        <v>7</v>
      </c>
      <c r="M964" s="48">
        <v>33813.56</v>
      </c>
      <c r="N964" s="48">
        <v>4830.5</v>
      </c>
      <c r="O964" s="50">
        <v>9</v>
      </c>
      <c r="P964" s="50">
        <v>9</v>
      </c>
      <c r="Q964" s="51">
        <f t="shared" si="45"/>
        <v>39900.000799999994</v>
      </c>
      <c r="R964" s="48"/>
      <c r="S964" s="24">
        <v>261209001410</v>
      </c>
      <c r="T964" s="43">
        <v>46169</v>
      </c>
      <c r="U964" s="43"/>
      <c r="V964" s="46" t="s">
        <v>33</v>
      </c>
      <c r="W964" s="45"/>
    </row>
    <row r="965" spans="1:23" ht="34.950000000000003" customHeight="1" x14ac:dyDescent="0.25">
      <c r="A965" s="12">
        <f>SUBTOTAL(3,$B$2:B965)</f>
        <v>964</v>
      </c>
      <c r="B965" s="42">
        <v>560</v>
      </c>
      <c r="C965" s="43">
        <v>46169</v>
      </c>
      <c r="D965" s="42">
        <v>82605290001</v>
      </c>
      <c r="E965" s="43">
        <v>46170</v>
      </c>
      <c r="F965" s="45" t="s">
        <v>939</v>
      </c>
      <c r="G965" s="52" t="s">
        <v>485</v>
      </c>
      <c r="H965" s="46" t="s">
        <v>37</v>
      </c>
      <c r="I965" s="12" t="s">
        <v>965</v>
      </c>
      <c r="J965" s="43">
        <v>46129</v>
      </c>
      <c r="K965" s="122">
        <v>7</v>
      </c>
      <c r="L965" s="49">
        <v>7</v>
      </c>
      <c r="M965" s="48">
        <v>33813.56</v>
      </c>
      <c r="N965" s="48">
        <v>4830.5</v>
      </c>
      <c r="O965" s="50">
        <v>9</v>
      </c>
      <c r="P965" s="50">
        <v>9</v>
      </c>
      <c r="Q965" s="51">
        <f t="shared" si="45"/>
        <v>39900.000799999994</v>
      </c>
      <c r="R965" s="48"/>
      <c r="S965" s="24">
        <v>261209001412</v>
      </c>
      <c r="T965" s="43">
        <v>46169</v>
      </c>
      <c r="U965" s="43"/>
      <c r="V965" s="46" t="s">
        <v>33</v>
      </c>
      <c r="W965" s="45"/>
    </row>
    <row r="966" spans="1:23" ht="34.950000000000003" customHeight="1" x14ac:dyDescent="0.25">
      <c r="A966" s="12">
        <f>SUBTOTAL(3,$B$2:B966)</f>
        <v>965</v>
      </c>
      <c r="B966" s="42">
        <v>561</v>
      </c>
      <c r="C966" s="43">
        <v>46169</v>
      </c>
      <c r="D966" s="42">
        <v>82605290002</v>
      </c>
      <c r="E966" s="43">
        <v>46170</v>
      </c>
      <c r="F966" s="45" t="s">
        <v>939</v>
      </c>
      <c r="G966" s="52" t="s">
        <v>485</v>
      </c>
      <c r="H966" s="46" t="s">
        <v>37</v>
      </c>
      <c r="I966" s="12" t="s">
        <v>965</v>
      </c>
      <c r="J966" s="43">
        <v>46129</v>
      </c>
      <c r="K966" s="122">
        <v>7</v>
      </c>
      <c r="L966" s="49">
        <v>7</v>
      </c>
      <c r="M966" s="48">
        <v>33813.56</v>
      </c>
      <c r="N966" s="48">
        <v>4830.5</v>
      </c>
      <c r="O966" s="50">
        <v>9</v>
      </c>
      <c r="P966" s="50">
        <v>9</v>
      </c>
      <c r="Q966" s="51">
        <f t="shared" si="45"/>
        <v>39900.000799999994</v>
      </c>
      <c r="R966" s="48"/>
      <c r="S966" s="24">
        <v>261209001413</v>
      </c>
      <c r="T966" s="43">
        <v>46169</v>
      </c>
      <c r="U966" s="43"/>
      <c r="V966" s="46" t="s">
        <v>33</v>
      </c>
      <c r="W966" s="45"/>
    </row>
    <row r="967" spans="1:23" ht="34.950000000000003" customHeight="1" x14ac:dyDescent="0.25">
      <c r="A967" s="12">
        <f>SUBTOTAL(3,$B$2:B967)</f>
        <v>966</v>
      </c>
      <c r="B967" s="42">
        <v>562</v>
      </c>
      <c r="C967" s="43">
        <v>46169</v>
      </c>
      <c r="D967" s="42">
        <v>82605290003</v>
      </c>
      <c r="E967" s="43">
        <v>46170</v>
      </c>
      <c r="F967" s="45" t="s">
        <v>939</v>
      </c>
      <c r="G967" s="52" t="s">
        <v>485</v>
      </c>
      <c r="H967" s="46" t="s">
        <v>37</v>
      </c>
      <c r="I967" s="12" t="s">
        <v>965</v>
      </c>
      <c r="J967" s="43">
        <v>46129</v>
      </c>
      <c r="K967" s="122">
        <v>7</v>
      </c>
      <c r="L967" s="49">
        <v>7</v>
      </c>
      <c r="M967" s="48">
        <v>33813.56</v>
      </c>
      <c r="N967" s="48">
        <v>4830.5</v>
      </c>
      <c r="O967" s="50">
        <v>9</v>
      </c>
      <c r="P967" s="50">
        <v>9</v>
      </c>
      <c r="Q967" s="51">
        <f t="shared" si="45"/>
        <v>39900.000799999994</v>
      </c>
      <c r="R967" s="48"/>
      <c r="S967" s="24">
        <v>261209001414</v>
      </c>
      <c r="T967" s="43">
        <v>46169</v>
      </c>
      <c r="U967" s="43"/>
      <c r="V967" s="46" t="s">
        <v>33</v>
      </c>
      <c r="W967" s="45"/>
    </row>
    <row r="968" spans="1:23" ht="34.950000000000003" customHeight="1" x14ac:dyDescent="0.25">
      <c r="A968" s="12">
        <f>SUBTOTAL(3,$B$2:B968)</f>
        <v>967</v>
      </c>
      <c r="B968" s="42">
        <v>563</v>
      </c>
      <c r="C968" s="43">
        <v>46169</v>
      </c>
      <c r="D968" s="42">
        <v>82605290004</v>
      </c>
      <c r="E968" s="43">
        <v>46170</v>
      </c>
      <c r="F968" s="45" t="s">
        <v>939</v>
      </c>
      <c r="G968" s="52" t="s">
        <v>485</v>
      </c>
      <c r="H968" s="46" t="s">
        <v>37</v>
      </c>
      <c r="I968" s="12" t="s">
        <v>965</v>
      </c>
      <c r="J968" s="43">
        <v>46129</v>
      </c>
      <c r="K968" s="122">
        <v>7</v>
      </c>
      <c r="L968" s="49">
        <v>7</v>
      </c>
      <c r="M968" s="48">
        <v>33813.56</v>
      </c>
      <c r="N968" s="48">
        <v>4830.5</v>
      </c>
      <c r="O968" s="50">
        <v>9</v>
      </c>
      <c r="P968" s="50">
        <v>9</v>
      </c>
      <c r="Q968" s="51">
        <f t="shared" si="45"/>
        <v>39900.000799999994</v>
      </c>
      <c r="R968" s="48"/>
      <c r="S968" s="24">
        <v>261209001415</v>
      </c>
      <c r="T968" s="43">
        <v>46169</v>
      </c>
      <c r="U968" s="43"/>
      <c r="V968" s="46" t="s">
        <v>33</v>
      </c>
      <c r="W968" s="45"/>
    </row>
    <row r="969" spans="1:23" ht="34.950000000000003" customHeight="1" x14ac:dyDescent="0.25">
      <c r="A969" s="12">
        <f>SUBTOTAL(3,$B$2:B969)</f>
        <v>968</v>
      </c>
      <c r="B969" s="42">
        <v>564</v>
      </c>
      <c r="C969" s="43">
        <v>46169</v>
      </c>
      <c r="D969" s="42">
        <v>82605290005</v>
      </c>
      <c r="E969" s="43">
        <v>46170</v>
      </c>
      <c r="F969" s="45" t="s">
        <v>939</v>
      </c>
      <c r="G969" s="52" t="s">
        <v>485</v>
      </c>
      <c r="H969" s="46" t="s">
        <v>37</v>
      </c>
      <c r="I969" s="12" t="s">
        <v>965</v>
      </c>
      <c r="J969" s="43">
        <v>46129</v>
      </c>
      <c r="K969" s="122">
        <v>7</v>
      </c>
      <c r="L969" s="49">
        <v>7</v>
      </c>
      <c r="M969" s="48">
        <v>33813.56</v>
      </c>
      <c r="N969" s="48">
        <v>4830.5</v>
      </c>
      <c r="O969" s="50">
        <v>9</v>
      </c>
      <c r="P969" s="50">
        <v>9</v>
      </c>
      <c r="Q969" s="51">
        <f t="shared" si="45"/>
        <v>39900.000799999994</v>
      </c>
      <c r="R969" s="48"/>
      <c r="S969" s="24">
        <v>261209001417</v>
      </c>
      <c r="T969" s="43">
        <v>46169</v>
      </c>
      <c r="U969" s="43"/>
      <c r="V969" s="46" t="s">
        <v>33</v>
      </c>
      <c r="W969" s="45"/>
    </row>
    <row r="970" spans="1:23" ht="34.950000000000003" customHeight="1" x14ac:dyDescent="0.25">
      <c r="A970" s="12">
        <f>SUBTOTAL(3,$B$2:B970)</f>
        <v>969</v>
      </c>
      <c r="B970" s="42">
        <v>565</v>
      </c>
      <c r="C970" s="43">
        <v>46169</v>
      </c>
      <c r="D970" s="42">
        <v>82605290006</v>
      </c>
      <c r="E970" s="43">
        <v>46170</v>
      </c>
      <c r="F970" s="45" t="s">
        <v>939</v>
      </c>
      <c r="G970" s="52" t="s">
        <v>485</v>
      </c>
      <c r="H970" s="46" t="s">
        <v>37</v>
      </c>
      <c r="I970" s="12" t="s">
        <v>965</v>
      </c>
      <c r="J970" s="43">
        <v>46129</v>
      </c>
      <c r="K970" s="122">
        <v>7</v>
      </c>
      <c r="L970" s="49">
        <v>7</v>
      </c>
      <c r="M970" s="48">
        <v>33813.56</v>
      </c>
      <c r="N970" s="48">
        <v>4830.5</v>
      </c>
      <c r="O970" s="50">
        <v>9</v>
      </c>
      <c r="P970" s="50">
        <v>9</v>
      </c>
      <c r="Q970" s="51">
        <f t="shared" si="45"/>
        <v>39900.000799999994</v>
      </c>
      <c r="R970" s="48"/>
      <c r="S970" s="24">
        <v>261209001418</v>
      </c>
      <c r="T970" s="43">
        <v>46169</v>
      </c>
      <c r="U970" s="43"/>
      <c r="V970" s="46" t="s">
        <v>33</v>
      </c>
      <c r="W970" s="45"/>
    </row>
    <row r="971" spans="1:23" ht="34.950000000000003" customHeight="1" x14ac:dyDescent="0.25">
      <c r="A971" s="12">
        <f>SUBTOTAL(3,$B$2:B971)</f>
        <v>970</v>
      </c>
      <c r="B971" s="42">
        <v>566</v>
      </c>
      <c r="C971" s="43">
        <v>46169</v>
      </c>
      <c r="D971" s="42">
        <v>82605290007</v>
      </c>
      <c r="E971" s="43">
        <v>46170</v>
      </c>
      <c r="F971" s="45" t="s">
        <v>939</v>
      </c>
      <c r="G971" s="52" t="s">
        <v>485</v>
      </c>
      <c r="H971" s="46" t="s">
        <v>37</v>
      </c>
      <c r="I971" s="12" t="s">
        <v>965</v>
      </c>
      <c r="J971" s="43">
        <v>46129</v>
      </c>
      <c r="K971" s="122">
        <v>7</v>
      </c>
      <c r="L971" s="49">
        <v>7</v>
      </c>
      <c r="M971" s="48">
        <v>33813.56</v>
      </c>
      <c r="N971" s="48">
        <v>4830.5</v>
      </c>
      <c r="O971" s="50">
        <v>9</v>
      </c>
      <c r="P971" s="50">
        <v>9</v>
      </c>
      <c r="Q971" s="51">
        <f t="shared" si="45"/>
        <v>39900.000799999994</v>
      </c>
      <c r="R971" s="48"/>
      <c r="S971" s="24">
        <v>261209001420</v>
      </c>
      <c r="T971" s="43">
        <v>46169</v>
      </c>
      <c r="U971" s="43"/>
      <c r="V971" s="46" t="s">
        <v>33</v>
      </c>
      <c r="W971" s="45"/>
    </row>
    <row r="972" spans="1:23" ht="34.950000000000003" customHeight="1" x14ac:dyDescent="0.25">
      <c r="A972" s="12">
        <f>SUBTOTAL(3,$B$2:B972)</f>
        <v>971</v>
      </c>
      <c r="B972" s="42">
        <v>567</v>
      </c>
      <c r="C972" s="43">
        <v>46169</v>
      </c>
      <c r="D972" s="42">
        <v>82605290008</v>
      </c>
      <c r="E972" s="43">
        <v>46170</v>
      </c>
      <c r="F972" s="45" t="s">
        <v>939</v>
      </c>
      <c r="G972" s="52" t="s">
        <v>485</v>
      </c>
      <c r="H972" s="46" t="s">
        <v>37</v>
      </c>
      <c r="I972" s="12" t="s">
        <v>965</v>
      </c>
      <c r="J972" s="43">
        <v>46129</v>
      </c>
      <c r="K972" s="122">
        <v>7</v>
      </c>
      <c r="L972" s="49">
        <v>7</v>
      </c>
      <c r="M972" s="48">
        <v>33813.56</v>
      </c>
      <c r="N972" s="48">
        <v>4830.5</v>
      </c>
      <c r="O972" s="50">
        <v>9</v>
      </c>
      <c r="P972" s="50">
        <v>9</v>
      </c>
      <c r="Q972" s="51">
        <f t="shared" si="45"/>
        <v>39900.000799999994</v>
      </c>
      <c r="R972" s="48"/>
      <c r="S972" s="24">
        <v>261209001421</v>
      </c>
      <c r="T972" s="43">
        <v>46169</v>
      </c>
      <c r="U972" s="43"/>
      <c r="V972" s="46" t="s">
        <v>33</v>
      </c>
      <c r="W972" s="45"/>
    </row>
    <row r="973" spans="1:23" ht="34.950000000000003" customHeight="1" x14ac:dyDescent="0.25">
      <c r="A973" s="12">
        <f>SUBTOTAL(3,$B$2:B973)</f>
        <v>972</v>
      </c>
      <c r="B973" s="42">
        <v>568</v>
      </c>
      <c r="C973" s="43">
        <v>46169</v>
      </c>
      <c r="D973" s="42">
        <v>82605290009</v>
      </c>
      <c r="E973" s="43">
        <v>46170</v>
      </c>
      <c r="F973" s="45" t="s">
        <v>939</v>
      </c>
      <c r="G973" s="52" t="s">
        <v>485</v>
      </c>
      <c r="H973" s="46" t="s">
        <v>37</v>
      </c>
      <c r="I973" s="12" t="s">
        <v>965</v>
      </c>
      <c r="J973" s="43">
        <v>46129</v>
      </c>
      <c r="K973" s="122">
        <v>7</v>
      </c>
      <c r="L973" s="49">
        <v>7</v>
      </c>
      <c r="M973" s="48">
        <v>33813.56</v>
      </c>
      <c r="N973" s="48">
        <v>4830.5</v>
      </c>
      <c r="O973" s="50">
        <v>9</v>
      </c>
      <c r="P973" s="50">
        <v>9</v>
      </c>
      <c r="Q973" s="51">
        <f t="shared" si="45"/>
        <v>39900.000799999994</v>
      </c>
      <c r="R973" s="48"/>
      <c r="S973" s="24">
        <v>261209001422</v>
      </c>
      <c r="T973" s="43">
        <v>46169</v>
      </c>
      <c r="U973" s="43"/>
      <c r="V973" s="46" t="s">
        <v>33</v>
      </c>
      <c r="W973" s="45"/>
    </row>
    <row r="974" spans="1:23" ht="34.950000000000003" customHeight="1" x14ac:dyDescent="0.25">
      <c r="A974" s="12">
        <f>SUBTOTAL(3,$B$2:B974)</f>
        <v>973</v>
      </c>
      <c r="B974" s="42">
        <v>569</v>
      </c>
      <c r="C974" s="43">
        <v>46169</v>
      </c>
      <c r="D974" s="42">
        <v>82605290010</v>
      </c>
      <c r="E974" s="43">
        <v>46170</v>
      </c>
      <c r="F974" s="45" t="s">
        <v>939</v>
      </c>
      <c r="G974" s="52" t="s">
        <v>485</v>
      </c>
      <c r="H974" s="46" t="s">
        <v>37</v>
      </c>
      <c r="I974" s="12" t="s">
        <v>965</v>
      </c>
      <c r="J974" s="43">
        <v>46129</v>
      </c>
      <c r="K974" s="122">
        <v>7</v>
      </c>
      <c r="L974" s="49">
        <v>7</v>
      </c>
      <c r="M974" s="48">
        <v>33813.56</v>
      </c>
      <c r="N974" s="48">
        <v>4830.5</v>
      </c>
      <c r="O974" s="50">
        <v>9</v>
      </c>
      <c r="P974" s="50">
        <v>9</v>
      </c>
      <c r="Q974" s="51">
        <f t="shared" si="45"/>
        <v>39900.000799999994</v>
      </c>
      <c r="R974" s="48"/>
      <c r="S974" s="24">
        <v>261209001423</v>
      </c>
      <c r="T974" s="43">
        <v>46169</v>
      </c>
      <c r="U974" s="43"/>
      <c r="V974" s="46" t="s">
        <v>33</v>
      </c>
      <c r="W974" s="45"/>
    </row>
    <row r="975" spans="1:23" ht="34.950000000000003" customHeight="1" x14ac:dyDescent="0.25">
      <c r="A975" s="12">
        <f>SUBTOTAL(3,$B$2:B975)</f>
        <v>974</v>
      </c>
      <c r="B975" s="42">
        <v>570</v>
      </c>
      <c r="C975" s="43">
        <v>46169</v>
      </c>
      <c r="D975" s="42">
        <v>82605290011</v>
      </c>
      <c r="E975" s="43">
        <v>46170</v>
      </c>
      <c r="F975" s="45" t="s">
        <v>939</v>
      </c>
      <c r="G975" s="52" t="s">
        <v>485</v>
      </c>
      <c r="H975" s="46" t="s">
        <v>37</v>
      </c>
      <c r="I975" s="12" t="s">
        <v>965</v>
      </c>
      <c r="J975" s="43">
        <v>46129</v>
      </c>
      <c r="K975" s="122">
        <v>5</v>
      </c>
      <c r="L975" s="49">
        <v>5</v>
      </c>
      <c r="M975" s="48">
        <f>4830.5*5</f>
        <v>24152.5</v>
      </c>
      <c r="N975" s="48">
        <v>4830.5</v>
      </c>
      <c r="O975" s="50">
        <v>9</v>
      </c>
      <c r="P975" s="50">
        <v>9</v>
      </c>
      <c r="Q975" s="51">
        <f t="shared" si="45"/>
        <v>28499.949999999997</v>
      </c>
      <c r="R975" s="48"/>
      <c r="S975" s="24">
        <v>261209001424</v>
      </c>
      <c r="T975" s="43">
        <v>46169</v>
      </c>
      <c r="U975" s="43"/>
      <c r="V975" s="46" t="s">
        <v>33</v>
      </c>
      <c r="W975" s="45"/>
    </row>
    <row r="976" spans="1:23" ht="34.950000000000003" customHeight="1" x14ac:dyDescent="0.25">
      <c r="A976" s="12">
        <f>SUBTOTAL(3,$B$2:B976)</f>
        <v>975</v>
      </c>
      <c r="B976" s="42">
        <v>571</v>
      </c>
      <c r="C976" s="43">
        <v>46169</v>
      </c>
      <c r="D976" s="42">
        <v>82605290012</v>
      </c>
      <c r="E976" s="43">
        <v>46170</v>
      </c>
      <c r="F976" s="45" t="s">
        <v>939</v>
      </c>
      <c r="G976" s="52" t="s">
        <v>485</v>
      </c>
      <c r="H976" s="46" t="s">
        <v>37</v>
      </c>
      <c r="I976" s="12" t="s">
        <v>965</v>
      </c>
      <c r="J976" s="43">
        <v>46129</v>
      </c>
      <c r="K976" s="122">
        <v>7</v>
      </c>
      <c r="L976" s="49">
        <v>7</v>
      </c>
      <c r="M976" s="48">
        <v>33813.56</v>
      </c>
      <c r="N976" s="48">
        <v>4830.5</v>
      </c>
      <c r="O976" s="50">
        <v>9</v>
      </c>
      <c r="P976" s="50">
        <v>9</v>
      </c>
      <c r="Q976" s="51">
        <f t="shared" si="45"/>
        <v>39900.000799999994</v>
      </c>
      <c r="R976" s="48"/>
      <c r="S976" s="24">
        <v>261209001426</v>
      </c>
      <c r="T976" s="43">
        <v>46169</v>
      </c>
      <c r="U976" s="43"/>
      <c r="V976" s="46" t="s">
        <v>33</v>
      </c>
      <c r="W976" s="45"/>
    </row>
    <row r="977" spans="1:23" ht="34.950000000000003" customHeight="1" x14ac:dyDescent="0.25">
      <c r="A977" s="12">
        <f>SUBTOTAL(3,$B$2:B977)</f>
        <v>976</v>
      </c>
      <c r="B977" s="42">
        <v>572</v>
      </c>
      <c r="C977" s="43">
        <v>46169</v>
      </c>
      <c r="D977" s="42">
        <v>82605290013</v>
      </c>
      <c r="E977" s="43">
        <v>46170</v>
      </c>
      <c r="F977" s="45" t="s">
        <v>968</v>
      </c>
      <c r="G977" s="52" t="s">
        <v>680</v>
      </c>
      <c r="H977" s="46" t="s">
        <v>991</v>
      </c>
      <c r="I977" s="12" t="s">
        <v>965</v>
      </c>
      <c r="J977" s="43">
        <v>46129</v>
      </c>
      <c r="K977" s="48">
        <v>10</v>
      </c>
      <c r="L977" s="49">
        <v>10</v>
      </c>
      <c r="M977" s="48">
        <v>1157.4000000000001</v>
      </c>
      <c r="N977" s="48">
        <v>115.74</v>
      </c>
      <c r="O977" s="50"/>
      <c r="P977" s="50"/>
      <c r="Q977" s="51">
        <f t="shared" si="45"/>
        <v>1157.4000000000001</v>
      </c>
      <c r="R977" s="48"/>
      <c r="S977" s="24" t="s">
        <v>992</v>
      </c>
      <c r="T977" s="43">
        <v>46169</v>
      </c>
      <c r="U977" s="43"/>
      <c r="V977" s="46" t="s">
        <v>247</v>
      </c>
      <c r="W977" s="45"/>
    </row>
    <row r="978" spans="1:23" ht="34.950000000000003" customHeight="1" x14ac:dyDescent="0.25">
      <c r="A978" s="12">
        <f>SUBTOTAL(3,$B$2:B978)</f>
        <v>977</v>
      </c>
      <c r="B978" s="42">
        <v>573</v>
      </c>
      <c r="C978" s="43">
        <v>46171</v>
      </c>
      <c r="D978" s="42"/>
      <c r="E978" s="43">
        <v>46171</v>
      </c>
      <c r="F978" s="45" t="s">
        <v>799</v>
      </c>
      <c r="G978" s="52" t="s">
        <v>976</v>
      </c>
      <c r="H978" s="46" t="s">
        <v>16</v>
      </c>
      <c r="I978" s="12"/>
      <c r="J978" s="43"/>
      <c r="K978" s="48">
        <v>500</v>
      </c>
      <c r="L978" s="62">
        <v>500</v>
      </c>
      <c r="M978" s="48">
        <v>115000</v>
      </c>
      <c r="N978" s="48">
        <v>230</v>
      </c>
      <c r="O978" s="50"/>
      <c r="P978" s="50"/>
      <c r="Q978" s="51">
        <f t="shared" si="45"/>
        <v>115000</v>
      </c>
      <c r="R978" s="48"/>
      <c r="S978" s="24">
        <v>32605280351</v>
      </c>
      <c r="T978" s="43">
        <v>46170</v>
      </c>
      <c r="U978" s="43"/>
      <c r="V978" s="46" t="s">
        <v>25</v>
      </c>
      <c r="W978" s="45"/>
    </row>
    <row r="979" spans="1:23" ht="34.950000000000003" customHeight="1" x14ac:dyDescent="0.25">
      <c r="A979" s="12">
        <f>SUBTOTAL(3,$B$2:B979)</f>
        <v>978</v>
      </c>
      <c r="B979" s="42">
        <v>573</v>
      </c>
      <c r="C979" s="43">
        <v>46171</v>
      </c>
      <c r="D979" s="42"/>
      <c r="E979" s="43">
        <v>46171</v>
      </c>
      <c r="F979" s="45" t="s">
        <v>799</v>
      </c>
      <c r="G979" s="52" t="s">
        <v>993</v>
      </c>
      <c r="H979" s="46" t="s">
        <v>16</v>
      </c>
      <c r="I979" s="12"/>
      <c r="J979" s="43"/>
      <c r="K979" s="48">
        <v>350</v>
      </c>
      <c r="L979" s="62">
        <v>350</v>
      </c>
      <c r="M979" s="48">
        <v>109025</v>
      </c>
      <c r="N979" s="48">
        <v>311.5</v>
      </c>
      <c r="O979" s="50"/>
      <c r="P979" s="50"/>
      <c r="Q979" s="51">
        <f t="shared" si="45"/>
        <v>109025</v>
      </c>
      <c r="R979" s="48"/>
      <c r="S979" s="24">
        <v>32605280351</v>
      </c>
      <c r="T979" s="43">
        <v>46170</v>
      </c>
      <c r="U979" s="43"/>
      <c r="V979" s="46" t="s">
        <v>25</v>
      </c>
      <c r="W979" s="45"/>
    </row>
    <row r="980" spans="1:23" ht="34.950000000000003" customHeight="1" x14ac:dyDescent="0.25">
      <c r="A980" s="12">
        <f>SUBTOTAL(3,$B$2:B980)</f>
        <v>979</v>
      </c>
      <c r="B980" s="42">
        <v>574</v>
      </c>
      <c r="C980" s="43">
        <v>46193</v>
      </c>
      <c r="D980" s="42">
        <v>82606230001</v>
      </c>
      <c r="E980" s="43">
        <v>46196</v>
      </c>
      <c r="F980" s="45" t="s">
        <v>939</v>
      </c>
      <c r="G980" s="52" t="s">
        <v>485</v>
      </c>
      <c r="H980" s="46" t="s">
        <v>37</v>
      </c>
      <c r="I980" s="12" t="s">
        <v>965</v>
      </c>
      <c r="J980" s="43">
        <v>46129</v>
      </c>
      <c r="K980" s="122">
        <v>7</v>
      </c>
      <c r="L980" s="49">
        <v>7</v>
      </c>
      <c r="M980" s="48">
        <v>33813.56</v>
      </c>
      <c r="N980" s="48">
        <v>4830.5</v>
      </c>
      <c r="O980" s="50">
        <v>9</v>
      </c>
      <c r="P980" s="50">
        <v>9</v>
      </c>
      <c r="Q980" s="51">
        <f t="shared" si="45"/>
        <v>39900.000799999994</v>
      </c>
      <c r="R980" s="48"/>
      <c r="S980" s="24" t="s">
        <v>994</v>
      </c>
      <c r="T980" s="43">
        <v>46193</v>
      </c>
      <c r="U980" s="43"/>
      <c r="V980" s="46" t="s">
        <v>33</v>
      </c>
      <c r="W980" s="45"/>
    </row>
    <row r="981" spans="1:23" ht="34.950000000000003" customHeight="1" x14ac:dyDescent="0.25">
      <c r="A981" s="12">
        <f>SUBTOTAL(3,$B$2:B981)</f>
        <v>980</v>
      </c>
      <c r="B981" s="42">
        <v>575</v>
      </c>
      <c r="C981" s="43">
        <v>46193</v>
      </c>
      <c r="D981" s="42">
        <v>82606230002</v>
      </c>
      <c r="E981" s="43">
        <v>46196</v>
      </c>
      <c r="F981" s="45" t="s">
        <v>939</v>
      </c>
      <c r="G981" s="52" t="s">
        <v>485</v>
      </c>
      <c r="H981" s="46" t="s">
        <v>37</v>
      </c>
      <c r="I981" s="12" t="s">
        <v>965</v>
      </c>
      <c r="J981" s="43">
        <v>46129</v>
      </c>
      <c r="K981" s="122">
        <v>7</v>
      </c>
      <c r="L981" s="49">
        <v>7</v>
      </c>
      <c r="M981" s="48">
        <v>33813.56</v>
      </c>
      <c r="N981" s="48">
        <v>4830.5</v>
      </c>
      <c r="O981" s="50">
        <v>9</v>
      </c>
      <c r="P981" s="50">
        <v>9</v>
      </c>
      <c r="Q981" s="51">
        <f t="shared" si="45"/>
        <v>39900.000799999994</v>
      </c>
      <c r="R981" s="48"/>
      <c r="S981" s="24" t="s">
        <v>995</v>
      </c>
      <c r="T981" s="43">
        <v>46193</v>
      </c>
      <c r="U981" s="43"/>
      <c r="V981" s="46" t="s">
        <v>33</v>
      </c>
      <c r="W981" s="45"/>
    </row>
    <row r="982" spans="1:23" ht="34.950000000000003" customHeight="1" x14ac:dyDescent="0.25">
      <c r="A982" s="12">
        <f>SUBTOTAL(3,$B$2:B982)</f>
        <v>981</v>
      </c>
      <c r="B982" s="42">
        <v>576</v>
      </c>
      <c r="C982" s="43">
        <v>46193</v>
      </c>
      <c r="D982" s="42">
        <v>82606230003</v>
      </c>
      <c r="E982" s="43">
        <v>46196</v>
      </c>
      <c r="F982" s="45" t="s">
        <v>939</v>
      </c>
      <c r="G982" s="52" t="s">
        <v>485</v>
      </c>
      <c r="H982" s="46" t="s">
        <v>37</v>
      </c>
      <c r="I982" s="12" t="s">
        <v>965</v>
      </c>
      <c r="J982" s="43">
        <v>46129</v>
      </c>
      <c r="K982" s="122">
        <v>7</v>
      </c>
      <c r="L982" s="49">
        <v>7</v>
      </c>
      <c r="M982" s="48">
        <v>33813.56</v>
      </c>
      <c r="N982" s="48">
        <v>4830.5</v>
      </c>
      <c r="O982" s="50">
        <v>9</v>
      </c>
      <c r="P982" s="50">
        <v>9</v>
      </c>
      <c r="Q982" s="51">
        <f t="shared" si="45"/>
        <v>39900.000799999994</v>
      </c>
      <c r="R982" s="48"/>
      <c r="S982" s="24" t="s">
        <v>996</v>
      </c>
      <c r="T982" s="43">
        <v>46193</v>
      </c>
      <c r="U982" s="43"/>
      <c r="V982" s="46" t="s">
        <v>33</v>
      </c>
      <c r="W982" s="45"/>
    </row>
    <row r="983" spans="1:23" ht="34.950000000000003" customHeight="1" x14ac:dyDescent="0.25">
      <c r="A983" s="12">
        <f>SUBTOTAL(3,$B$2:B983)</f>
        <v>982</v>
      </c>
      <c r="B983" s="42">
        <v>577</v>
      </c>
      <c r="C983" s="43">
        <v>46193</v>
      </c>
      <c r="D983" s="42">
        <v>82606230004</v>
      </c>
      <c r="E983" s="43">
        <v>46196</v>
      </c>
      <c r="F983" s="45" t="s">
        <v>939</v>
      </c>
      <c r="G983" s="52" t="s">
        <v>485</v>
      </c>
      <c r="H983" s="46" t="s">
        <v>37</v>
      </c>
      <c r="I983" s="12" t="s">
        <v>965</v>
      </c>
      <c r="J983" s="43">
        <v>46129</v>
      </c>
      <c r="K983" s="122">
        <v>6</v>
      </c>
      <c r="L983" s="49">
        <v>6</v>
      </c>
      <c r="M983" s="48">
        <v>28983.06</v>
      </c>
      <c r="N983" s="48">
        <v>4830.5</v>
      </c>
      <c r="O983" s="50">
        <v>9</v>
      </c>
      <c r="P983" s="50">
        <v>9</v>
      </c>
      <c r="Q983" s="51">
        <f t="shared" si="45"/>
        <v>34200.010799999996</v>
      </c>
      <c r="R983" s="48"/>
      <c r="S983" s="24" t="s">
        <v>997</v>
      </c>
      <c r="T983" s="43">
        <v>46193</v>
      </c>
      <c r="U983" s="43"/>
      <c r="V983" s="46" t="s">
        <v>33</v>
      </c>
      <c r="W983" s="45"/>
    </row>
    <row r="984" spans="1:23" ht="34.950000000000003" customHeight="1" x14ac:dyDescent="0.25">
      <c r="A984" s="12">
        <f>SUBTOTAL(3,$B$2:B984)</f>
        <v>983</v>
      </c>
      <c r="B984" s="42">
        <v>578</v>
      </c>
      <c r="C984" s="43">
        <v>46193</v>
      </c>
      <c r="D984" s="42">
        <v>82606230005</v>
      </c>
      <c r="E984" s="43">
        <v>46196</v>
      </c>
      <c r="F984" s="45" t="s">
        <v>939</v>
      </c>
      <c r="G984" s="52" t="s">
        <v>485</v>
      </c>
      <c r="H984" s="46" t="s">
        <v>37</v>
      </c>
      <c r="I984" s="12" t="s">
        <v>965</v>
      </c>
      <c r="J984" s="43">
        <v>46129</v>
      </c>
      <c r="K984" s="122">
        <v>5</v>
      </c>
      <c r="L984" s="49">
        <v>5</v>
      </c>
      <c r="M984" s="48">
        <v>24152.5</v>
      </c>
      <c r="N984" s="48">
        <v>4830.5</v>
      </c>
      <c r="O984" s="50">
        <v>9</v>
      </c>
      <c r="P984" s="50">
        <v>9</v>
      </c>
      <c r="Q984" s="51">
        <f t="shared" si="45"/>
        <v>28499.949999999997</v>
      </c>
      <c r="R984" s="48"/>
      <c r="S984" s="24" t="s">
        <v>998</v>
      </c>
      <c r="T984" s="43">
        <v>46193</v>
      </c>
      <c r="U984" s="43"/>
      <c r="V984" s="46" t="s">
        <v>33</v>
      </c>
      <c r="W984" s="45"/>
    </row>
    <row r="985" spans="1:23" ht="34.950000000000003" customHeight="1" x14ac:dyDescent="0.25">
      <c r="A985" s="12">
        <f>SUBTOTAL(3,$B$2:B985)</f>
        <v>984</v>
      </c>
      <c r="B985" s="42">
        <v>579</v>
      </c>
      <c r="C985" s="43">
        <v>46193</v>
      </c>
      <c r="D985" s="42">
        <v>82606230006</v>
      </c>
      <c r="E985" s="43">
        <v>46196</v>
      </c>
      <c r="F985" s="45" t="s">
        <v>939</v>
      </c>
      <c r="G985" s="52" t="s">
        <v>485</v>
      </c>
      <c r="H985" s="46" t="s">
        <v>37</v>
      </c>
      <c r="I985" s="12" t="s">
        <v>965</v>
      </c>
      <c r="J985" s="43">
        <v>46129</v>
      </c>
      <c r="K985" s="122">
        <v>3</v>
      </c>
      <c r="L985" s="49">
        <v>3</v>
      </c>
      <c r="M985" s="48">
        <v>14491.5</v>
      </c>
      <c r="N985" s="48">
        <v>4830.5</v>
      </c>
      <c r="O985" s="50">
        <v>9</v>
      </c>
      <c r="P985" s="50">
        <v>9</v>
      </c>
      <c r="Q985" s="51">
        <f t="shared" si="45"/>
        <v>17099.969999999998</v>
      </c>
      <c r="R985" s="48"/>
      <c r="S985" s="24">
        <v>261209002077</v>
      </c>
      <c r="T985" s="43">
        <v>46193</v>
      </c>
      <c r="U985" s="43"/>
      <c r="V985" s="46" t="s">
        <v>33</v>
      </c>
      <c r="W985" s="45"/>
    </row>
    <row r="986" spans="1:23" ht="34.950000000000003" customHeight="1" x14ac:dyDescent="0.25">
      <c r="A986" s="12">
        <f>SUBTOTAL(3,$B$2:B986)</f>
        <v>985</v>
      </c>
      <c r="B986" s="42">
        <v>580</v>
      </c>
      <c r="C986" s="43">
        <v>46184</v>
      </c>
      <c r="D986" s="42">
        <v>82606230007</v>
      </c>
      <c r="E986" s="43">
        <v>46196</v>
      </c>
      <c r="F986" s="45" t="s">
        <v>841</v>
      </c>
      <c r="G986" s="52" t="s">
        <v>172</v>
      </c>
      <c r="H986" s="46" t="s">
        <v>16</v>
      </c>
      <c r="I986" s="12"/>
      <c r="J986" s="43"/>
      <c r="K986" s="48">
        <v>50</v>
      </c>
      <c r="L986" s="49">
        <v>50</v>
      </c>
      <c r="M986" s="48">
        <v>13600</v>
      </c>
      <c r="N986" s="48">
        <v>272</v>
      </c>
      <c r="O986" s="50">
        <v>9</v>
      </c>
      <c r="P986" s="50">
        <v>9</v>
      </c>
      <c r="Q986" s="51">
        <f t="shared" si="45"/>
        <v>16048</v>
      </c>
      <c r="R986" s="48">
        <v>750</v>
      </c>
      <c r="S986" s="24">
        <v>21</v>
      </c>
      <c r="T986" s="43">
        <v>46184</v>
      </c>
      <c r="U986" s="43"/>
      <c r="V986" s="46" t="s">
        <v>247</v>
      </c>
      <c r="W986" s="45"/>
    </row>
    <row r="987" spans="1:23" ht="34.950000000000003" customHeight="1" x14ac:dyDescent="0.25">
      <c r="A987" s="12">
        <f>SUBTOTAL(3,$B$2:B987)</f>
        <v>986</v>
      </c>
      <c r="B987" s="42">
        <v>581</v>
      </c>
      <c r="C987" s="43">
        <v>46198</v>
      </c>
      <c r="D987" s="42">
        <v>82606250001</v>
      </c>
      <c r="E987" s="43">
        <v>46198</v>
      </c>
      <c r="F987" s="45" t="s">
        <v>939</v>
      </c>
      <c r="G987" s="52" t="s">
        <v>485</v>
      </c>
      <c r="H987" s="46" t="s">
        <v>999</v>
      </c>
      <c r="I987" s="12" t="s">
        <v>965</v>
      </c>
      <c r="J987" s="43">
        <v>46129</v>
      </c>
      <c r="K987" s="122">
        <v>7</v>
      </c>
      <c r="L987" s="49">
        <v>7</v>
      </c>
      <c r="M987" s="48">
        <v>33813.56</v>
      </c>
      <c r="N987" s="48">
        <v>4830.5</v>
      </c>
      <c r="O987" s="50">
        <v>9</v>
      </c>
      <c r="P987" s="50">
        <v>9</v>
      </c>
      <c r="Q987" s="51">
        <f t="shared" si="45"/>
        <v>39900.000799999994</v>
      </c>
      <c r="R987" s="48"/>
      <c r="S987" s="24" t="s">
        <v>1000</v>
      </c>
      <c r="T987" s="43">
        <v>46198</v>
      </c>
      <c r="U987" s="43"/>
      <c r="V987" s="46" t="s">
        <v>33</v>
      </c>
      <c r="W987" s="45"/>
    </row>
    <row r="988" spans="1:23" ht="34.950000000000003" customHeight="1" x14ac:dyDescent="0.25">
      <c r="A988" s="12">
        <f>SUBTOTAL(3,$B$2:B988)</f>
        <v>987</v>
      </c>
      <c r="B988" s="42">
        <v>582</v>
      </c>
      <c r="C988" s="43">
        <v>46198</v>
      </c>
      <c r="D988" s="42">
        <v>82606250002</v>
      </c>
      <c r="E988" s="43">
        <v>46198</v>
      </c>
      <c r="F988" s="45" t="s">
        <v>939</v>
      </c>
      <c r="G988" s="52" t="s">
        <v>485</v>
      </c>
      <c r="H988" s="46" t="s">
        <v>999</v>
      </c>
      <c r="I988" s="12" t="s">
        <v>965</v>
      </c>
      <c r="J988" s="43">
        <v>46129</v>
      </c>
      <c r="K988" s="122">
        <v>7</v>
      </c>
      <c r="L988" s="49">
        <v>7</v>
      </c>
      <c r="M988" s="48">
        <v>33813.56</v>
      </c>
      <c r="N988" s="48">
        <v>4830.5</v>
      </c>
      <c r="O988" s="50">
        <v>9</v>
      </c>
      <c r="P988" s="50">
        <v>9</v>
      </c>
      <c r="Q988" s="51">
        <f t="shared" si="45"/>
        <v>39900.000799999994</v>
      </c>
      <c r="R988" s="48"/>
      <c r="S988" s="24" t="s">
        <v>1001</v>
      </c>
      <c r="T988" s="43">
        <v>46198</v>
      </c>
      <c r="U988" s="43"/>
      <c r="V988" s="46" t="s">
        <v>33</v>
      </c>
      <c r="W988" s="45"/>
    </row>
    <row r="989" spans="1:23" ht="34.950000000000003" customHeight="1" x14ac:dyDescent="0.25">
      <c r="A989" s="12">
        <f>SUBTOTAL(3,$B$2:B989)</f>
        <v>988</v>
      </c>
      <c r="B989" s="42">
        <v>583</v>
      </c>
      <c r="C989" s="43">
        <v>46198</v>
      </c>
      <c r="D989" s="42">
        <v>82606250003</v>
      </c>
      <c r="E989" s="43">
        <v>46198</v>
      </c>
      <c r="F989" s="45" t="s">
        <v>939</v>
      </c>
      <c r="G989" s="52" t="s">
        <v>485</v>
      </c>
      <c r="H989" s="46" t="s">
        <v>999</v>
      </c>
      <c r="I989" s="12" t="s">
        <v>965</v>
      </c>
      <c r="J989" s="43">
        <v>46129</v>
      </c>
      <c r="K989" s="122">
        <v>5</v>
      </c>
      <c r="L989" s="49">
        <v>5</v>
      </c>
      <c r="M989" s="48">
        <v>24152.54</v>
      </c>
      <c r="N989" s="48">
        <v>4830.5</v>
      </c>
      <c r="O989" s="50">
        <v>9</v>
      </c>
      <c r="P989" s="50">
        <v>9</v>
      </c>
      <c r="Q989" s="51">
        <f t="shared" si="45"/>
        <v>28499.997199999998</v>
      </c>
      <c r="R989" s="48"/>
      <c r="S989" s="24" t="s">
        <v>1002</v>
      </c>
      <c r="T989" s="43">
        <v>46198</v>
      </c>
      <c r="U989" s="43"/>
      <c r="V989" s="46" t="s">
        <v>33</v>
      </c>
      <c r="W989" s="45"/>
    </row>
    <row r="990" spans="1:23" ht="34.950000000000003" customHeight="1" x14ac:dyDescent="0.25">
      <c r="A990" s="12">
        <f>SUBTOTAL(3,$B$2:B990)</f>
        <v>989</v>
      </c>
      <c r="B990" s="42">
        <v>584</v>
      </c>
      <c r="C990" s="43">
        <v>46198</v>
      </c>
      <c r="D990" s="42">
        <v>82606250004</v>
      </c>
      <c r="E990" s="43">
        <v>46198</v>
      </c>
      <c r="F990" s="45" t="s">
        <v>939</v>
      </c>
      <c r="G990" s="52" t="s">
        <v>485</v>
      </c>
      <c r="H990" s="46" t="s">
        <v>999</v>
      </c>
      <c r="I990" s="12" t="s">
        <v>965</v>
      </c>
      <c r="J990" s="43">
        <v>46129</v>
      </c>
      <c r="K990" s="122">
        <v>3.5</v>
      </c>
      <c r="L990" s="49">
        <v>3.5</v>
      </c>
      <c r="M990" s="48">
        <v>16906.78</v>
      </c>
      <c r="N990" s="48">
        <v>4830.5</v>
      </c>
      <c r="O990" s="50">
        <v>9</v>
      </c>
      <c r="P990" s="50">
        <v>9</v>
      </c>
      <c r="Q990" s="51">
        <f t="shared" si="45"/>
        <v>19950.000399999997</v>
      </c>
      <c r="R990" s="48"/>
      <c r="S990" s="24" t="s">
        <v>1003</v>
      </c>
      <c r="T990" s="43">
        <v>46198</v>
      </c>
      <c r="U990" s="43"/>
      <c r="V990" s="46" t="s">
        <v>33</v>
      </c>
      <c r="W990" s="45"/>
    </row>
    <row r="991" spans="1:23" ht="34.950000000000003" customHeight="1" x14ac:dyDescent="0.25">
      <c r="A991" s="12">
        <f>SUBTOTAL(3,$B$2:B991)</f>
        <v>990</v>
      </c>
      <c r="B991" s="42">
        <v>585</v>
      </c>
      <c r="C991" s="43"/>
      <c r="D991" s="42"/>
      <c r="E991" s="43"/>
      <c r="F991" s="45" t="s">
        <v>799</v>
      </c>
      <c r="G991" s="52" t="s">
        <v>1004</v>
      </c>
      <c r="H991" s="46" t="s">
        <v>16</v>
      </c>
      <c r="I991" s="12"/>
      <c r="J991" s="43"/>
      <c r="K991" s="48">
        <v>1</v>
      </c>
      <c r="L991" s="62">
        <v>1</v>
      </c>
      <c r="M991" s="48">
        <v>100</v>
      </c>
      <c r="N991" s="48"/>
      <c r="O991" s="50"/>
      <c r="P991" s="50"/>
      <c r="Q991" s="51">
        <f t="shared" si="45"/>
        <v>100</v>
      </c>
      <c r="R991" s="48"/>
      <c r="S991" s="24">
        <v>32607010472</v>
      </c>
      <c r="T991" s="43">
        <v>46204</v>
      </c>
      <c r="U991" s="43" t="s">
        <v>91</v>
      </c>
      <c r="V991" s="46" t="s">
        <v>25</v>
      </c>
      <c r="W991" s="45"/>
    </row>
    <row r="992" spans="1:23" ht="34.950000000000003" customHeight="1" x14ac:dyDescent="0.25">
      <c r="A992" s="12">
        <f>SUBTOTAL(3,$B$2:B992)</f>
        <v>991</v>
      </c>
      <c r="B992" s="42">
        <v>586</v>
      </c>
      <c r="C992" s="43">
        <v>46206</v>
      </c>
      <c r="D992" s="42">
        <v>82607040001</v>
      </c>
      <c r="E992" s="43">
        <v>46207</v>
      </c>
      <c r="F992" s="45" t="s">
        <v>939</v>
      </c>
      <c r="G992" s="52" t="s">
        <v>485</v>
      </c>
      <c r="H992" s="46" t="s">
        <v>37</v>
      </c>
      <c r="I992" s="12" t="s">
        <v>965</v>
      </c>
      <c r="J992" s="43">
        <v>46129</v>
      </c>
      <c r="K992" s="122">
        <v>7</v>
      </c>
      <c r="L992" s="49">
        <v>7</v>
      </c>
      <c r="M992" s="48">
        <v>33813.56</v>
      </c>
      <c r="N992" s="48">
        <v>4830.5</v>
      </c>
      <c r="O992" s="50">
        <v>9</v>
      </c>
      <c r="P992" s="50">
        <v>9</v>
      </c>
      <c r="Q992" s="51">
        <f t="shared" si="45"/>
        <v>39900.000799999994</v>
      </c>
      <c r="R992" s="48"/>
      <c r="S992" s="24">
        <v>261209002540</v>
      </c>
      <c r="T992" s="43">
        <v>46206</v>
      </c>
      <c r="U992" s="43"/>
      <c r="V992" s="46" t="s">
        <v>33</v>
      </c>
      <c r="W992" s="45"/>
    </row>
    <row r="993" spans="1:23" ht="34.950000000000003" customHeight="1" x14ac:dyDescent="0.25">
      <c r="A993" s="12">
        <f>SUBTOTAL(3,$B$2:B993)</f>
        <v>992</v>
      </c>
      <c r="B993" s="42">
        <v>587</v>
      </c>
      <c r="C993" s="43">
        <v>46206</v>
      </c>
      <c r="D993" s="42">
        <v>82607040002</v>
      </c>
      <c r="E993" s="43">
        <v>46207</v>
      </c>
      <c r="F993" s="45" t="s">
        <v>939</v>
      </c>
      <c r="G993" s="52" t="s">
        <v>485</v>
      </c>
      <c r="H993" s="46" t="s">
        <v>37</v>
      </c>
      <c r="I993" s="12" t="s">
        <v>965</v>
      </c>
      <c r="J993" s="43">
        <v>46129</v>
      </c>
      <c r="K993" s="122">
        <v>7</v>
      </c>
      <c r="L993" s="49">
        <v>7</v>
      </c>
      <c r="M993" s="48">
        <v>33813.56</v>
      </c>
      <c r="N993" s="48">
        <v>4830.5</v>
      </c>
      <c r="O993" s="50">
        <v>9</v>
      </c>
      <c r="P993" s="50">
        <v>9</v>
      </c>
      <c r="Q993" s="51">
        <f t="shared" si="45"/>
        <v>39900.000799999994</v>
      </c>
      <c r="R993" s="48"/>
      <c r="S993" s="24">
        <v>261209002544</v>
      </c>
      <c r="T993" s="43">
        <v>46206</v>
      </c>
      <c r="U993" s="43"/>
      <c r="V993" s="46" t="s">
        <v>33</v>
      </c>
      <c r="W993" s="45"/>
    </row>
    <row r="994" spans="1:23" ht="34.950000000000003" customHeight="1" x14ac:dyDescent="0.25">
      <c r="A994" s="12">
        <f>SUBTOTAL(3,$B$2:B994)</f>
        <v>993</v>
      </c>
      <c r="B994" s="42">
        <v>588</v>
      </c>
      <c r="C994" s="43">
        <v>46210</v>
      </c>
      <c r="D994" s="42">
        <v>82607090001</v>
      </c>
      <c r="E994" s="43">
        <v>46212</v>
      </c>
      <c r="F994" s="45" t="s">
        <v>735</v>
      </c>
      <c r="G994" s="52" t="s">
        <v>184</v>
      </c>
      <c r="H994" s="46" t="s">
        <v>94</v>
      </c>
      <c r="I994" s="12" t="s">
        <v>1005</v>
      </c>
      <c r="J994" s="43">
        <v>46209</v>
      </c>
      <c r="K994" s="48">
        <v>1500</v>
      </c>
      <c r="L994" s="49">
        <v>1500</v>
      </c>
      <c r="M994" s="48">
        <v>102000</v>
      </c>
      <c r="N994" s="48">
        <v>68</v>
      </c>
      <c r="O994" s="50">
        <v>9</v>
      </c>
      <c r="P994" s="50">
        <v>9</v>
      </c>
      <c r="Q994" s="51">
        <f t="shared" si="45"/>
        <v>120360</v>
      </c>
      <c r="R994" s="48"/>
      <c r="S994" s="24">
        <v>811</v>
      </c>
      <c r="T994" s="43" t="s">
        <v>1006</v>
      </c>
      <c r="U994" s="43"/>
      <c r="V994" s="46" t="s">
        <v>33</v>
      </c>
      <c r="W994" s="45"/>
    </row>
    <row r="995" spans="1:23" ht="34.950000000000003" customHeight="1" x14ac:dyDescent="0.25">
      <c r="A995" s="12">
        <f>SUBTOTAL(3,$B$2:B995)</f>
        <v>994</v>
      </c>
      <c r="B995" s="42">
        <v>588</v>
      </c>
      <c r="C995" s="43">
        <v>46210</v>
      </c>
      <c r="D995" s="42">
        <v>82607090001</v>
      </c>
      <c r="E995" s="43">
        <v>46212</v>
      </c>
      <c r="F995" s="45" t="s">
        <v>735</v>
      </c>
      <c r="G995" s="52" t="s">
        <v>1007</v>
      </c>
      <c r="H995" s="46" t="s">
        <v>16</v>
      </c>
      <c r="I995" s="12" t="s">
        <v>1005</v>
      </c>
      <c r="J995" s="43">
        <v>46209</v>
      </c>
      <c r="K995" s="48">
        <v>1</v>
      </c>
      <c r="L995" s="49">
        <v>1</v>
      </c>
      <c r="M995" s="48">
        <v>10900</v>
      </c>
      <c r="N995" s="48">
        <v>10900</v>
      </c>
      <c r="O995" s="50">
        <v>9</v>
      </c>
      <c r="P995" s="50">
        <v>9</v>
      </c>
      <c r="Q995" s="51">
        <f t="shared" si="45"/>
        <v>12862</v>
      </c>
      <c r="R995" s="48"/>
      <c r="S995" s="24">
        <v>811</v>
      </c>
      <c r="T995" s="43" t="s">
        <v>1006</v>
      </c>
      <c r="U995" s="43"/>
      <c r="V995" s="46" t="s">
        <v>33</v>
      </c>
      <c r="W995" s="45" t="s">
        <v>179</v>
      </c>
    </row>
    <row r="996" spans="1:23" ht="34.950000000000003" customHeight="1" x14ac:dyDescent="0.25">
      <c r="A996" s="12">
        <f>SUBTOTAL(3,$B$2:B996)</f>
        <v>995</v>
      </c>
      <c r="B996" s="42">
        <v>588</v>
      </c>
      <c r="C996" s="43">
        <v>46210</v>
      </c>
      <c r="D996" s="42">
        <v>82607090001</v>
      </c>
      <c r="E996" s="43">
        <v>46212</v>
      </c>
      <c r="F996" s="45" t="s">
        <v>735</v>
      </c>
      <c r="G996" s="52" t="s">
        <v>593</v>
      </c>
      <c r="H996" s="46" t="s">
        <v>16</v>
      </c>
      <c r="I996" s="12" t="s">
        <v>1005</v>
      </c>
      <c r="J996" s="43">
        <v>46209</v>
      </c>
      <c r="K996" s="48">
        <v>20</v>
      </c>
      <c r="L996" s="49">
        <v>20</v>
      </c>
      <c r="M996" s="48">
        <v>5000</v>
      </c>
      <c r="N996" s="48">
        <v>200</v>
      </c>
      <c r="O996" s="50">
        <v>9</v>
      </c>
      <c r="P996" s="50">
        <v>9</v>
      </c>
      <c r="Q996" s="51">
        <f t="shared" si="45"/>
        <v>5900</v>
      </c>
      <c r="R996" s="48"/>
      <c r="S996" s="24">
        <v>811</v>
      </c>
      <c r="T996" s="43" t="s">
        <v>1006</v>
      </c>
      <c r="U996" s="43"/>
      <c r="V996" s="46" t="s">
        <v>33</v>
      </c>
      <c r="W996" s="45"/>
    </row>
    <row r="997" spans="1:23" ht="34.950000000000003" customHeight="1" x14ac:dyDescent="0.25">
      <c r="A997" s="12">
        <f>SUBTOTAL(3,$B$2:B997)</f>
        <v>996</v>
      </c>
      <c r="B997" s="42">
        <v>588</v>
      </c>
      <c r="C997" s="43">
        <v>46210</v>
      </c>
      <c r="D997" s="42">
        <v>82607090001</v>
      </c>
      <c r="E997" s="43">
        <v>46212</v>
      </c>
      <c r="F997" s="45" t="s">
        <v>735</v>
      </c>
      <c r="G997" s="52" t="s">
        <v>502</v>
      </c>
      <c r="H997" s="46" t="s">
        <v>16</v>
      </c>
      <c r="I997" s="12" t="s">
        <v>1005</v>
      </c>
      <c r="J997" s="43">
        <v>46209</v>
      </c>
      <c r="K997" s="48">
        <v>50</v>
      </c>
      <c r="L997" s="49">
        <v>50</v>
      </c>
      <c r="M997" s="48">
        <v>6500</v>
      </c>
      <c r="N997" s="48">
        <v>130</v>
      </c>
      <c r="O997" s="50">
        <v>9</v>
      </c>
      <c r="P997" s="50">
        <v>9</v>
      </c>
      <c r="Q997" s="51">
        <f t="shared" si="45"/>
        <v>7670</v>
      </c>
      <c r="R997" s="48"/>
      <c r="S997" s="24">
        <v>811</v>
      </c>
      <c r="T997" s="43" t="s">
        <v>1006</v>
      </c>
      <c r="U997" s="43"/>
      <c r="V997" s="46" t="s">
        <v>33</v>
      </c>
      <c r="W997" s="45"/>
    </row>
    <row r="998" spans="1:23" ht="34.950000000000003" customHeight="1" x14ac:dyDescent="0.25">
      <c r="A998" s="12">
        <f>SUBTOTAL(3,$B$2:B998)</f>
        <v>997</v>
      </c>
      <c r="B998" s="42">
        <v>588</v>
      </c>
      <c r="C998" s="43">
        <v>46210</v>
      </c>
      <c r="D998" s="42">
        <v>82607090001</v>
      </c>
      <c r="E998" s="43">
        <v>46212</v>
      </c>
      <c r="F998" s="45" t="s">
        <v>735</v>
      </c>
      <c r="G998" s="52" t="s">
        <v>182</v>
      </c>
      <c r="H998" s="46" t="s">
        <v>16</v>
      </c>
      <c r="I998" s="12" t="s">
        <v>1005</v>
      </c>
      <c r="J998" s="43">
        <v>46209</v>
      </c>
      <c r="K998" s="48">
        <v>100</v>
      </c>
      <c r="L998" s="49">
        <v>100</v>
      </c>
      <c r="M998" s="48">
        <v>1500</v>
      </c>
      <c r="N998" s="48">
        <v>15</v>
      </c>
      <c r="O998" s="50">
        <v>9</v>
      </c>
      <c r="P998" s="50">
        <v>9</v>
      </c>
      <c r="Q998" s="51">
        <f t="shared" si="45"/>
        <v>1770</v>
      </c>
      <c r="R998" s="48"/>
      <c r="S998" s="24">
        <v>811</v>
      </c>
      <c r="T998" s="43" t="s">
        <v>1006</v>
      </c>
      <c r="U998" s="43"/>
      <c r="V998" s="46" t="s">
        <v>33</v>
      </c>
      <c r="W998" s="45"/>
    </row>
    <row r="999" spans="1:23" ht="34.950000000000003" customHeight="1" x14ac:dyDescent="0.25">
      <c r="A999" s="12">
        <f>SUBTOTAL(3,$B$2:B999)</f>
        <v>998</v>
      </c>
      <c r="B999" s="42">
        <v>588</v>
      </c>
      <c r="C999" s="43">
        <v>46210</v>
      </c>
      <c r="D999" s="42">
        <v>82607090001</v>
      </c>
      <c r="E999" s="43">
        <v>46212</v>
      </c>
      <c r="F999" s="45" t="s">
        <v>735</v>
      </c>
      <c r="G999" s="52" t="s">
        <v>743</v>
      </c>
      <c r="H999" s="46" t="s">
        <v>16</v>
      </c>
      <c r="I999" s="12" t="s">
        <v>1005</v>
      </c>
      <c r="J999" s="43">
        <v>46209</v>
      </c>
      <c r="K999" s="48">
        <v>100</v>
      </c>
      <c r="L999" s="49">
        <v>100</v>
      </c>
      <c r="M999" s="48">
        <v>800</v>
      </c>
      <c r="N999" s="48">
        <v>8</v>
      </c>
      <c r="O999" s="50">
        <v>2.5</v>
      </c>
      <c r="P999" s="50">
        <v>2.5</v>
      </c>
      <c r="Q999" s="51">
        <f t="shared" si="45"/>
        <v>840</v>
      </c>
      <c r="R999" s="48"/>
      <c r="S999" s="24">
        <v>811</v>
      </c>
      <c r="T999" s="43" t="s">
        <v>1006</v>
      </c>
      <c r="U999" s="43"/>
      <c r="V999" s="46" t="s">
        <v>33</v>
      </c>
      <c r="W999" s="45"/>
    </row>
    <row r="1000" spans="1:23" ht="34.950000000000003" customHeight="1" x14ac:dyDescent="0.25">
      <c r="A1000" s="12">
        <f>SUBTOTAL(3,$B$2:B1000)</f>
        <v>999</v>
      </c>
      <c r="B1000" s="42">
        <v>588</v>
      </c>
      <c r="C1000" s="43">
        <v>46210</v>
      </c>
      <c r="D1000" s="42">
        <v>82607090001</v>
      </c>
      <c r="E1000" s="43">
        <v>46212</v>
      </c>
      <c r="F1000" s="45" t="s">
        <v>735</v>
      </c>
      <c r="G1000" s="52" t="s">
        <v>748</v>
      </c>
      <c r="H1000" s="46" t="s">
        <v>991</v>
      </c>
      <c r="I1000" s="12" t="s">
        <v>1005</v>
      </c>
      <c r="J1000" s="43">
        <v>46209</v>
      </c>
      <c r="K1000" s="48">
        <v>20</v>
      </c>
      <c r="L1000" s="49">
        <v>20</v>
      </c>
      <c r="M1000" s="48">
        <v>2600</v>
      </c>
      <c r="N1000" s="48">
        <v>130</v>
      </c>
      <c r="O1000" s="50">
        <v>9</v>
      </c>
      <c r="P1000" s="50">
        <v>9</v>
      </c>
      <c r="Q1000" s="51">
        <f t="shared" si="45"/>
        <v>3068</v>
      </c>
      <c r="R1000" s="48"/>
      <c r="S1000" s="24">
        <v>811</v>
      </c>
      <c r="T1000" s="43" t="s">
        <v>1006</v>
      </c>
      <c r="U1000" s="43"/>
      <c r="V1000" s="46" t="s">
        <v>33</v>
      </c>
      <c r="W1000" s="45"/>
    </row>
    <row r="1001" spans="1:23" ht="34.950000000000003" customHeight="1" x14ac:dyDescent="0.25">
      <c r="A1001" s="12">
        <f>SUBTOTAL(3,$B$2:B1001)</f>
        <v>1000</v>
      </c>
      <c r="B1001" s="42">
        <v>588</v>
      </c>
      <c r="C1001" s="43">
        <v>46210</v>
      </c>
      <c r="D1001" s="42">
        <v>82607090001</v>
      </c>
      <c r="E1001" s="43">
        <v>46212</v>
      </c>
      <c r="F1001" s="45" t="s">
        <v>735</v>
      </c>
      <c r="G1001" s="52" t="s">
        <v>191</v>
      </c>
      <c r="H1001" s="46" t="s">
        <v>16</v>
      </c>
      <c r="I1001" s="12" t="s">
        <v>1005</v>
      </c>
      <c r="J1001" s="43">
        <v>46209</v>
      </c>
      <c r="K1001" s="48">
        <v>5</v>
      </c>
      <c r="L1001" s="49">
        <v>5</v>
      </c>
      <c r="M1001" s="48">
        <v>275</v>
      </c>
      <c r="N1001" s="48">
        <v>55</v>
      </c>
      <c r="O1001" s="50">
        <v>9</v>
      </c>
      <c r="P1001" s="50">
        <v>9</v>
      </c>
      <c r="Q1001" s="51">
        <f t="shared" si="45"/>
        <v>324.5</v>
      </c>
      <c r="R1001" s="48"/>
      <c r="S1001" s="24">
        <v>811</v>
      </c>
      <c r="T1001" s="43" t="s">
        <v>1006</v>
      </c>
      <c r="U1001" s="43"/>
      <c r="V1001" s="46" t="s">
        <v>33</v>
      </c>
      <c r="W1001" s="45"/>
    </row>
    <row r="1002" spans="1:23" ht="34.950000000000003" customHeight="1" x14ac:dyDescent="0.25">
      <c r="A1002" s="12">
        <f>SUBTOTAL(3,$B$2:B1002)</f>
        <v>1001</v>
      </c>
      <c r="B1002" s="42">
        <v>588</v>
      </c>
      <c r="C1002" s="43">
        <v>46210</v>
      </c>
      <c r="D1002" s="42">
        <v>82607090001</v>
      </c>
      <c r="E1002" s="43">
        <v>46212</v>
      </c>
      <c r="F1002" s="45" t="s">
        <v>735</v>
      </c>
      <c r="G1002" s="52" t="s">
        <v>749</v>
      </c>
      <c r="H1002" s="46" t="s">
        <v>16</v>
      </c>
      <c r="I1002" s="12" t="s">
        <v>1005</v>
      </c>
      <c r="J1002" s="43">
        <v>46209</v>
      </c>
      <c r="K1002" s="48">
        <v>5</v>
      </c>
      <c r="L1002" s="49">
        <v>5</v>
      </c>
      <c r="M1002" s="48">
        <v>240</v>
      </c>
      <c r="N1002" s="48">
        <v>48</v>
      </c>
      <c r="O1002" s="50">
        <v>9</v>
      </c>
      <c r="P1002" s="50">
        <v>9</v>
      </c>
      <c r="Q1002" s="51">
        <f t="shared" si="45"/>
        <v>283.2</v>
      </c>
      <c r="R1002" s="48"/>
      <c r="S1002" s="24">
        <v>811</v>
      </c>
      <c r="T1002" s="43" t="s">
        <v>1006</v>
      </c>
      <c r="U1002" s="43"/>
      <c r="V1002" s="46" t="s">
        <v>33</v>
      </c>
      <c r="W1002" s="45"/>
    </row>
    <row r="1003" spans="1:23" ht="34.950000000000003" customHeight="1" x14ac:dyDescent="0.25">
      <c r="A1003" s="12">
        <f>SUBTOTAL(3,$B$2:B1003)</f>
        <v>1002</v>
      </c>
      <c r="B1003" s="42">
        <v>588</v>
      </c>
      <c r="C1003" s="43">
        <v>46210</v>
      </c>
      <c r="D1003" s="42">
        <v>82607090001</v>
      </c>
      <c r="E1003" s="43">
        <v>46212</v>
      </c>
      <c r="F1003" s="45" t="s">
        <v>735</v>
      </c>
      <c r="G1003" s="52" t="s">
        <v>1008</v>
      </c>
      <c r="H1003" s="46" t="s">
        <v>16</v>
      </c>
      <c r="I1003" s="12" t="s">
        <v>1005</v>
      </c>
      <c r="J1003" s="43">
        <v>46209</v>
      </c>
      <c r="K1003" s="48">
        <v>5</v>
      </c>
      <c r="L1003" s="49">
        <v>5</v>
      </c>
      <c r="M1003" s="48">
        <v>650</v>
      </c>
      <c r="N1003" s="48">
        <v>130</v>
      </c>
      <c r="O1003" s="50">
        <v>9</v>
      </c>
      <c r="P1003" s="50">
        <v>9</v>
      </c>
      <c r="Q1003" s="51">
        <f t="shared" si="45"/>
        <v>767</v>
      </c>
      <c r="R1003" s="48"/>
      <c r="S1003" s="24">
        <v>811</v>
      </c>
      <c r="T1003" s="43" t="s">
        <v>1006</v>
      </c>
      <c r="U1003" s="43"/>
      <c r="V1003" s="46" t="s">
        <v>33</v>
      </c>
      <c r="W1003" s="45"/>
    </row>
    <row r="1004" spans="1:23" ht="34.950000000000003" customHeight="1" x14ac:dyDescent="0.25">
      <c r="A1004" s="12">
        <f>SUBTOTAL(3,$B$2:B1004)</f>
        <v>1003</v>
      </c>
      <c r="B1004" s="42">
        <v>588</v>
      </c>
      <c r="C1004" s="43">
        <v>46210</v>
      </c>
      <c r="D1004" s="42">
        <v>82607090001</v>
      </c>
      <c r="E1004" s="43">
        <v>46212</v>
      </c>
      <c r="F1004" s="45" t="s">
        <v>735</v>
      </c>
      <c r="G1004" s="52" t="s">
        <v>1009</v>
      </c>
      <c r="H1004" s="46" t="s">
        <v>16</v>
      </c>
      <c r="I1004" s="12" t="s">
        <v>1005</v>
      </c>
      <c r="J1004" s="43">
        <v>46209</v>
      </c>
      <c r="K1004" s="48">
        <v>5</v>
      </c>
      <c r="L1004" s="49">
        <v>5</v>
      </c>
      <c r="M1004" s="48">
        <v>700</v>
      </c>
      <c r="N1004" s="48">
        <v>140</v>
      </c>
      <c r="O1004" s="50">
        <v>9</v>
      </c>
      <c r="P1004" s="50">
        <v>9</v>
      </c>
      <c r="Q1004" s="51">
        <f t="shared" si="45"/>
        <v>826</v>
      </c>
      <c r="R1004" s="48"/>
      <c r="S1004" s="24">
        <v>811</v>
      </c>
      <c r="T1004" s="43" t="s">
        <v>1006</v>
      </c>
      <c r="U1004" s="43"/>
      <c r="V1004" s="46" t="s">
        <v>33</v>
      </c>
      <c r="W1004" s="45"/>
    </row>
    <row r="1005" spans="1:23" ht="34.950000000000003" customHeight="1" x14ac:dyDescent="0.25">
      <c r="A1005" s="12">
        <f>SUBTOTAL(3,$B$2:B1005)</f>
        <v>1004</v>
      </c>
      <c r="B1005" s="42">
        <v>588</v>
      </c>
      <c r="C1005" s="43">
        <v>46210</v>
      </c>
      <c r="D1005" s="42">
        <v>82607090001</v>
      </c>
      <c r="E1005" s="43">
        <v>46212</v>
      </c>
      <c r="F1005" s="45" t="s">
        <v>735</v>
      </c>
      <c r="G1005" s="52" t="s">
        <v>198</v>
      </c>
      <c r="H1005" s="46" t="s">
        <v>16</v>
      </c>
      <c r="I1005" s="12" t="s">
        <v>1005</v>
      </c>
      <c r="J1005" s="43">
        <v>46209</v>
      </c>
      <c r="K1005" s="48">
        <v>4000</v>
      </c>
      <c r="L1005" s="49">
        <v>4000</v>
      </c>
      <c r="M1005" s="48">
        <v>4800</v>
      </c>
      <c r="N1005" s="48">
        <v>1.2</v>
      </c>
      <c r="O1005" s="50">
        <v>9</v>
      </c>
      <c r="P1005" s="50">
        <v>9</v>
      </c>
      <c r="Q1005" s="51">
        <f t="shared" si="45"/>
        <v>5664</v>
      </c>
      <c r="R1005" s="48"/>
      <c r="S1005" s="24">
        <v>811</v>
      </c>
      <c r="T1005" s="43" t="s">
        <v>1006</v>
      </c>
      <c r="U1005" s="43"/>
      <c r="V1005" s="46" t="s">
        <v>33</v>
      </c>
      <c r="W1005" s="45"/>
    </row>
    <row r="1006" spans="1:23" ht="34.950000000000003" customHeight="1" x14ac:dyDescent="0.25">
      <c r="A1006" s="12">
        <f>SUBTOTAL(3,$B$2:B1006)</f>
        <v>1005</v>
      </c>
      <c r="B1006" s="42">
        <v>588</v>
      </c>
      <c r="C1006" s="43">
        <v>46210</v>
      </c>
      <c r="D1006" s="42">
        <v>82607090001</v>
      </c>
      <c r="E1006" s="43">
        <v>46212</v>
      </c>
      <c r="F1006" s="45" t="s">
        <v>735</v>
      </c>
      <c r="G1006" s="52" t="s">
        <v>519</v>
      </c>
      <c r="H1006" s="46" t="s">
        <v>16</v>
      </c>
      <c r="I1006" s="12" t="s">
        <v>1005</v>
      </c>
      <c r="J1006" s="43">
        <v>46209</v>
      </c>
      <c r="K1006" s="48">
        <v>30</v>
      </c>
      <c r="L1006" s="49">
        <v>30</v>
      </c>
      <c r="M1006" s="48">
        <v>1050</v>
      </c>
      <c r="N1006" s="48">
        <v>35</v>
      </c>
      <c r="O1006" s="50">
        <v>9</v>
      </c>
      <c r="P1006" s="50">
        <v>9</v>
      </c>
      <c r="Q1006" s="51">
        <f t="shared" si="45"/>
        <v>1239</v>
      </c>
      <c r="R1006" s="48"/>
      <c r="S1006" s="24">
        <v>811</v>
      </c>
      <c r="T1006" s="43" t="s">
        <v>1006</v>
      </c>
      <c r="U1006" s="43"/>
      <c r="V1006" s="46" t="s">
        <v>33</v>
      </c>
      <c r="W1006" s="45"/>
    </row>
    <row r="1007" spans="1:23" ht="34.950000000000003" customHeight="1" x14ac:dyDescent="0.25">
      <c r="A1007" s="12">
        <f>SUBTOTAL(3,$B$2:B1007)</f>
        <v>1006</v>
      </c>
      <c r="B1007" s="42">
        <v>588</v>
      </c>
      <c r="C1007" s="43">
        <v>46210</v>
      </c>
      <c r="D1007" s="42">
        <v>82607090001</v>
      </c>
      <c r="E1007" s="43">
        <v>46212</v>
      </c>
      <c r="F1007" s="45" t="s">
        <v>735</v>
      </c>
      <c r="G1007" s="52" t="s">
        <v>1010</v>
      </c>
      <c r="H1007" s="46" t="s">
        <v>16</v>
      </c>
      <c r="I1007" s="12" t="s">
        <v>1005</v>
      </c>
      <c r="J1007" s="43">
        <v>46209</v>
      </c>
      <c r="K1007" s="48">
        <v>5</v>
      </c>
      <c r="L1007" s="49">
        <v>5</v>
      </c>
      <c r="M1007" s="48">
        <v>950</v>
      </c>
      <c r="N1007" s="48">
        <v>190</v>
      </c>
      <c r="O1007" s="50">
        <v>9</v>
      </c>
      <c r="P1007" s="50">
        <v>9</v>
      </c>
      <c r="Q1007" s="51">
        <f t="shared" si="45"/>
        <v>1121</v>
      </c>
      <c r="R1007" s="48"/>
      <c r="S1007" s="24">
        <v>811</v>
      </c>
      <c r="T1007" s="43" t="s">
        <v>1006</v>
      </c>
      <c r="U1007" s="43"/>
      <c r="V1007" s="46" t="s">
        <v>33</v>
      </c>
      <c r="W1007" s="45"/>
    </row>
    <row r="1008" spans="1:23" ht="34.950000000000003" customHeight="1" x14ac:dyDescent="0.25">
      <c r="A1008" s="12">
        <f>SUBTOTAL(3,$B$2:B1008)</f>
        <v>1007</v>
      </c>
      <c r="B1008" s="42">
        <v>588</v>
      </c>
      <c r="C1008" s="43">
        <v>46210</v>
      </c>
      <c r="D1008" s="42">
        <v>82607090001</v>
      </c>
      <c r="E1008" s="43">
        <v>46212</v>
      </c>
      <c r="F1008" s="45" t="s">
        <v>735</v>
      </c>
      <c r="G1008" s="52" t="s">
        <v>1011</v>
      </c>
      <c r="H1008" s="46" t="s">
        <v>16</v>
      </c>
      <c r="I1008" s="12" t="s">
        <v>1005</v>
      </c>
      <c r="J1008" s="43">
        <v>46209</v>
      </c>
      <c r="K1008" s="48">
        <v>2</v>
      </c>
      <c r="L1008" s="49">
        <v>2</v>
      </c>
      <c r="M1008" s="48">
        <v>1040</v>
      </c>
      <c r="N1008" s="48">
        <v>520</v>
      </c>
      <c r="O1008" s="50">
        <v>9</v>
      </c>
      <c r="P1008" s="50">
        <v>9</v>
      </c>
      <c r="Q1008" s="51">
        <f t="shared" si="45"/>
        <v>1227.2</v>
      </c>
      <c r="R1008" s="48"/>
      <c r="S1008" s="24">
        <v>811</v>
      </c>
      <c r="T1008" s="43" t="s">
        <v>1006</v>
      </c>
      <c r="U1008" s="43"/>
      <c r="V1008" s="46" t="s">
        <v>33</v>
      </c>
      <c r="W1008" s="45"/>
    </row>
    <row r="1009" spans="1:24" ht="34.950000000000003" customHeight="1" x14ac:dyDescent="0.25">
      <c r="A1009" s="12">
        <f>SUBTOTAL(3,$B$2:B1009)</f>
        <v>1008</v>
      </c>
      <c r="B1009" s="42">
        <v>588</v>
      </c>
      <c r="C1009" s="43">
        <v>46210</v>
      </c>
      <c r="D1009" s="42">
        <v>82607090001</v>
      </c>
      <c r="E1009" s="43">
        <v>46212</v>
      </c>
      <c r="F1009" s="45" t="s">
        <v>735</v>
      </c>
      <c r="G1009" s="52" t="s">
        <v>201</v>
      </c>
      <c r="H1009" s="46" t="s">
        <v>16</v>
      </c>
      <c r="I1009" s="12" t="s">
        <v>1005</v>
      </c>
      <c r="J1009" s="43">
        <v>46209</v>
      </c>
      <c r="K1009" s="48">
        <v>100</v>
      </c>
      <c r="L1009" s="49">
        <v>100</v>
      </c>
      <c r="M1009" s="48">
        <v>1400</v>
      </c>
      <c r="N1009" s="48">
        <v>14</v>
      </c>
      <c r="O1009" s="50">
        <v>2.5</v>
      </c>
      <c r="P1009" s="50">
        <v>2.5</v>
      </c>
      <c r="Q1009" s="51">
        <f t="shared" si="45"/>
        <v>1470</v>
      </c>
      <c r="R1009" s="48"/>
      <c r="S1009" s="24">
        <v>811</v>
      </c>
      <c r="T1009" s="43" t="s">
        <v>1006</v>
      </c>
      <c r="U1009" s="43"/>
      <c r="V1009" s="46" t="s">
        <v>33</v>
      </c>
      <c r="W1009" s="45"/>
    </row>
    <row r="1010" spans="1:24" ht="34.950000000000003" customHeight="1" x14ac:dyDescent="0.25">
      <c r="A1010" s="12">
        <f>SUBTOTAL(3,$B$2:B1010)</f>
        <v>1009</v>
      </c>
      <c r="B1010" s="42">
        <v>588</v>
      </c>
      <c r="C1010" s="43">
        <v>46210</v>
      </c>
      <c r="D1010" s="42">
        <v>82607090001</v>
      </c>
      <c r="E1010" s="43">
        <v>46212</v>
      </c>
      <c r="F1010" s="45" t="s">
        <v>735</v>
      </c>
      <c r="G1010" s="52" t="s">
        <v>137</v>
      </c>
      <c r="H1010" s="46" t="s">
        <v>16</v>
      </c>
      <c r="I1010" s="12" t="s">
        <v>1005</v>
      </c>
      <c r="J1010" s="43">
        <v>46209</v>
      </c>
      <c r="K1010" s="48">
        <v>10</v>
      </c>
      <c r="L1010" s="49">
        <v>10</v>
      </c>
      <c r="M1010" s="48">
        <v>850</v>
      </c>
      <c r="N1010" s="48">
        <v>85</v>
      </c>
      <c r="O1010" s="50">
        <v>9</v>
      </c>
      <c r="P1010" s="50">
        <v>9</v>
      </c>
      <c r="Q1010" s="51">
        <f t="shared" si="45"/>
        <v>1003</v>
      </c>
      <c r="R1010" s="48"/>
      <c r="S1010" s="24">
        <v>811</v>
      </c>
      <c r="T1010" s="43" t="s">
        <v>1006</v>
      </c>
      <c r="U1010" s="43"/>
      <c r="V1010" s="46" t="s">
        <v>33</v>
      </c>
      <c r="W1010" s="45"/>
    </row>
    <row r="1011" spans="1:24" ht="34.950000000000003" customHeight="1" x14ac:dyDescent="0.25">
      <c r="A1011" s="12">
        <f>SUBTOTAL(3,$B$2:B1011)</f>
        <v>1010</v>
      </c>
      <c r="B1011" s="42">
        <v>588</v>
      </c>
      <c r="C1011" s="43">
        <v>46210</v>
      </c>
      <c r="D1011" s="42">
        <v>82607090001</v>
      </c>
      <c r="E1011" s="43">
        <v>46212</v>
      </c>
      <c r="F1011" s="45" t="s">
        <v>735</v>
      </c>
      <c r="G1011" s="52" t="s">
        <v>143</v>
      </c>
      <c r="H1011" s="46" t="s">
        <v>23</v>
      </c>
      <c r="I1011" s="12" t="s">
        <v>1005</v>
      </c>
      <c r="J1011" s="43">
        <v>46209</v>
      </c>
      <c r="K1011" s="48">
        <v>250</v>
      </c>
      <c r="L1011" s="49">
        <v>250</v>
      </c>
      <c r="M1011" s="48">
        <v>9000</v>
      </c>
      <c r="N1011" s="48">
        <v>90</v>
      </c>
      <c r="O1011" s="50">
        <v>2.5</v>
      </c>
      <c r="P1011" s="50">
        <v>2.5</v>
      </c>
      <c r="Q1011" s="51">
        <f t="shared" si="45"/>
        <v>9450</v>
      </c>
      <c r="R1011" s="48"/>
      <c r="S1011" s="24">
        <v>811</v>
      </c>
      <c r="T1011" s="43" t="s">
        <v>1006</v>
      </c>
      <c r="U1011" s="43"/>
      <c r="V1011" s="46" t="s">
        <v>33</v>
      </c>
      <c r="W1011" s="45"/>
    </row>
    <row r="1012" spans="1:24" ht="34.950000000000003" customHeight="1" x14ac:dyDescent="0.25">
      <c r="A1012" s="12">
        <f>SUBTOTAL(3,$B$2:B1012)</f>
        <v>1011</v>
      </c>
      <c r="B1012" s="42">
        <v>588</v>
      </c>
      <c r="C1012" s="43">
        <v>46210</v>
      </c>
      <c r="D1012" s="42">
        <v>82607090001</v>
      </c>
      <c r="E1012" s="43">
        <v>46212</v>
      </c>
      <c r="F1012" s="45" t="s">
        <v>735</v>
      </c>
      <c r="G1012" s="52" t="s">
        <v>106</v>
      </c>
      <c r="H1012" s="46" t="s">
        <v>16</v>
      </c>
      <c r="I1012" s="12" t="s">
        <v>1005</v>
      </c>
      <c r="J1012" s="43">
        <v>46209</v>
      </c>
      <c r="K1012" s="48">
        <v>5</v>
      </c>
      <c r="L1012" s="49">
        <v>5</v>
      </c>
      <c r="M1012" s="48">
        <v>8100</v>
      </c>
      <c r="N1012" s="48">
        <v>1620</v>
      </c>
      <c r="O1012" s="50">
        <v>9</v>
      </c>
      <c r="P1012" s="50">
        <v>9</v>
      </c>
      <c r="Q1012" s="51">
        <f t="shared" si="45"/>
        <v>9558</v>
      </c>
      <c r="R1012" s="48"/>
      <c r="S1012" s="24">
        <v>811</v>
      </c>
      <c r="T1012" s="43" t="s">
        <v>1006</v>
      </c>
      <c r="U1012" s="43"/>
      <c r="V1012" s="46" t="s">
        <v>33</v>
      </c>
      <c r="W1012" s="45"/>
    </row>
    <row r="1013" spans="1:24" ht="34.950000000000003" customHeight="1" x14ac:dyDescent="0.25">
      <c r="A1013" s="12">
        <f>SUBTOTAL(3,$B$2:B1013)</f>
        <v>1012</v>
      </c>
      <c r="B1013" s="42">
        <v>588</v>
      </c>
      <c r="C1013" s="43">
        <v>46210</v>
      </c>
      <c r="D1013" s="42">
        <v>82607090001</v>
      </c>
      <c r="E1013" s="43">
        <v>46212</v>
      </c>
      <c r="F1013" s="45" t="s">
        <v>735</v>
      </c>
      <c r="G1013" s="52" t="s">
        <v>1012</v>
      </c>
      <c r="H1013" s="46" t="s">
        <v>16</v>
      </c>
      <c r="I1013" s="12" t="s">
        <v>1005</v>
      </c>
      <c r="J1013" s="43">
        <v>46209</v>
      </c>
      <c r="K1013" s="48">
        <v>1</v>
      </c>
      <c r="L1013" s="49">
        <v>1</v>
      </c>
      <c r="M1013" s="48">
        <v>1450</v>
      </c>
      <c r="N1013" s="48">
        <v>1450</v>
      </c>
      <c r="O1013" s="50">
        <v>9</v>
      </c>
      <c r="P1013" s="50">
        <v>9</v>
      </c>
      <c r="Q1013" s="51">
        <f t="shared" si="45"/>
        <v>1711</v>
      </c>
      <c r="R1013" s="48">
        <v>2596</v>
      </c>
      <c r="S1013" s="24">
        <v>811</v>
      </c>
      <c r="T1013" s="43" t="s">
        <v>1006</v>
      </c>
      <c r="U1013" s="43"/>
      <c r="V1013" s="46" t="s">
        <v>33</v>
      </c>
      <c r="W1013" s="45"/>
    </row>
    <row r="1014" spans="1:24" ht="34.950000000000003" customHeight="1" x14ac:dyDescent="0.25">
      <c r="A1014" s="12">
        <f>SUBTOTAL(3,$B$2:B1014)</f>
        <v>1013</v>
      </c>
      <c r="B1014" s="42">
        <v>589</v>
      </c>
      <c r="C1014" s="43">
        <v>46212</v>
      </c>
      <c r="D1014" s="42">
        <v>82607100001</v>
      </c>
      <c r="E1014" s="43">
        <v>46213</v>
      </c>
      <c r="F1014" s="45" t="s">
        <v>939</v>
      </c>
      <c r="G1014" s="52" t="s">
        <v>485</v>
      </c>
      <c r="H1014" s="46" t="s">
        <v>37</v>
      </c>
      <c r="I1014" s="12" t="s">
        <v>965</v>
      </c>
      <c r="J1014" s="43">
        <v>46129</v>
      </c>
      <c r="K1014" s="122">
        <v>7</v>
      </c>
      <c r="L1014" s="49">
        <v>7</v>
      </c>
      <c r="M1014" s="48">
        <v>33813.56</v>
      </c>
      <c r="N1014" s="48">
        <v>4830.51</v>
      </c>
      <c r="O1014" s="50">
        <v>9</v>
      </c>
      <c r="P1014" s="50">
        <v>9</v>
      </c>
      <c r="Q1014" s="51">
        <f t="shared" si="45"/>
        <v>39900.000799999994</v>
      </c>
      <c r="R1014" s="48"/>
      <c r="S1014" s="24">
        <v>261209002686</v>
      </c>
      <c r="T1014" s="43">
        <v>46212</v>
      </c>
      <c r="U1014" s="43"/>
      <c r="V1014" s="46" t="s">
        <v>33</v>
      </c>
      <c r="W1014" s="45"/>
    </row>
    <row r="1015" spans="1:24" ht="34.950000000000003" customHeight="1" x14ac:dyDescent="0.25">
      <c r="A1015" s="12">
        <f>SUBTOTAL(3,$B$2:B1015)</f>
        <v>1014</v>
      </c>
      <c r="B1015" s="42">
        <v>590</v>
      </c>
      <c r="C1015" s="43">
        <v>46212</v>
      </c>
      <c r="D1015" s="42">
        <v>82607100002</v>
      </c>
      <c r="E1015" s="43">
        <v>46213</v>
      </c>
      <c r="F1015" s="45" t="s">
        <v>939</v>
      </c>
      <c r="G1015" s="52" t="s">
        <v>485</v>
      </c>
      <c r="H1015" s="46" t="s">
        <v>37</v>
      </c>
      <c r="I1015" s="12" t="s">
        <v>965</v>
      </c>
      <c r="J1015" s="43">
        <v>46129</v>
      </c>
      <c r="K1015" s="122">
        <v>7</v>
      </c>
      <c r="L1015" s="49">
        <v>7</v>
      </c>
      <c r="M1015" s="48">
        <v>33813.56</v>
      </c>
      <c r="N1015" s="48">
        <v>4830.51</v>
      </c>
      <c r="O1015" s="50">
        <v>9</v>
      </c>
      <c r="P1015" s="50">
        <v>9</v>
      </c>
      <c r="Q1015" s="51">
        <f t="shared" si="45"/>
        <v>39900.000799999994</v>
      </c>
      <c r="R1015" s="48"/>
      <c r="S1015" s="24">
        <v>261209002688</v>
      </c>
      <c r="T1015" s="43">
        <v>46212</v>
      </c>
      <c r="U1015" s="43"/>
      <c r="V1015" s="46" t="s">
        <v>33</v>
      </c>
      <c r="W1015" s="45"/>
    </row>
    <row r="1016" spans="1:24" ht="34.950000000000003" customHeight="1" x14ac:dyDescent="0.25">
      <c r="A1016" s="12">
        <f>SUBTOTAL(3,$B$2:B1016)</f>
        <v>1015</v>
      </c>
      <c r="B1016" s="42">
        <v>591</v>
      </c>
      <c r="C1016" s="43">
        <v>46212</v>
      </c>
      <c r="D1016" s="42">
        <v>82607100003</v>
      </c>
      <c r="E1016" s="43">
        <v>46213</v>
      </c>
      <c r="F1016" s="45" t="s">
        <v>939</v>
      </c>
      <c r="G1016" s="52" t="s">
        <v>485</v>
      </c>
      <c r="H1016" s="46" t="s">
        <v>37</v>
      </c>
      <c r="I1016" s="12" t="s">
        <v>965</v>
      </c>
      <c r="J1016" s="43">
        <v>46129</v>
      </c>
      <c r="K1016" s="122">
        <v>7</v>
      </c>
      <c r="L1016" s="49">
        <v>7</v>
      </c>
      <c r="M1016" s="48">
        <v>33813.56</v>
      </c>
      <c r="N1016" s="48">
        <v>4830.51</v>
      </c>
      <c r="O1016" s="50">
        <v>9</v>
      </c>
      <c r="P1016" s="50">
        <v>9</v>
      </c>
      <c r="Q1016" s="51">
        <f t="shared" si="45"/>
        <v>39900.000799999994</v>
      </c>
      <c r="R1016" s="48"/>
      <c r="S1016" s="24">
        <v>261209002697</v>
      </c>
      <c r="T1016" s="43">
        <v>46212</v>
      </c>
      <c r="U1016" s="43"/>
      <c r="V1016" s="46" t="s">
        <v>33</v>
      </c>
      <c r="W1016" s="45"/>
    </row>
    <row r="1017" spans="1:24" ht="34.950000000000003" customHeight="1" x14ac:dyDescent="0.25">
      <c r="A1017" s="12">
        <f>SUBTOTAL(3,$B$2:B1017)</f>
        <v>1016</v>
      </c>
      <c r="B1017" s="42">
        <v>592</v>
      </c>
      <c r="C1017" s="43">
        <v>46212</v>
      </c>
      <c r="D1017" s="42">
        <v>82607100004</v>
      </c>
      <c r="E1017" s="43">
        <v>46213</v>
      </c>
      <c r="F1017" s="45" t="s">
        <v>939</v>
      </c>
      <c r="G1017" s="52" t="s">
        <v>485</v>
      </c>
      <c r="H1017" s="46" t="s">
        <v>37</v>
      </c>
      <c r="I1017" s="12" t="s">
        <v>965</v>
      </c>
      <c r="J1017" s="43">
        <v>46129</v>
      </c>
      <c r="K1017" s="122">
        <v>5</v>
      </c>
      <c r="L1017" s="49">
        <v>5</v>
      </c>
      <c r="M1017" s="48">
        <v>24152.54</v>
      </c>
      <c r="N1017" s="48">
        <v>4830.51</v>
      </c>
      <c r="O1017" s="50">
        <v>9</v>
      </c>
      <c r="P1017" s="50">
        <v>9</v>
      </c>
      <c r="Q1017" s="51">
        <f t="shared" si="45"/>
        <v>28499.997199999998</v>
      </c>
      <c r="R1017" s="48"/>
      <c r="S1017" s="24">
        <v>26120902698</v>
      </c>
      <c r="T1017" s="43">
        <v>46212</v>
      </c>
      <c r="U1017" s="43"/>
      <c r="V1017" s="46" t="s">
        <v>33</v>
      </c>
      <c r="W1017" s="45"/>
    </row>
    <row r="1018" spans="1:24" ht="34.950000000000003" customHeight="1" x14ac:dyDescent="0.25">
      <c r="A1018" s="12">
        <f>SUBTOTAL(3,$B$2:B1018)</f>
        <v>1017</v>
      </c>
      <c r="B1018" s="42">
        <v>593</v>
      </c>
      <c r="C1018" s="43">
        <v>46212</v>
      </c>
      <c r="D1018" s="42">
        <v>82607100005</v>
      </c>
      <c r="E1018" s="43">
        <v>46213</v>
      </c>
      <c r="F1018" s="45" t="s">
        <v>939</v>
      </c>
      <c r="G1018" s="52" t="s">
        <v>485</v>
      </c>
      <c r="H1018" s="46" t="s">
        <v>37</v>
      </c>
      <c r="I1018" s="12" t="s">
        <v>965</v>
      </c>
      <c r="J1018" s="43">
        <v>46129</v>
      </c>
      <c r="K1018" s="122">
        <v>6.5</v>
      </c>
      <c r="L1018" s="49">
        <v>6.5</v>
      </c>
      <c r="M1018" s="48">
        <v>31398.32</v>
      </c>
      <c r="N1018" s="48">
        <v>4830.51</v>
      </c>
      <c r="O1018" s="50">
        <v>9</v>
      </c>
      <c r="P1018" s="50">
        <v>9</v>
      </c>
      <c r="Q1018" s="51">
        <f t="shared" ref="Q1018:Q1081" si="46">IF(M1018="","",M1018*(1+(O1018+P1018)/100))</f>
        <v>37050.017599999999</v>
      </c>
      <c r="R1018" s="48"/>
      <c r="S1018" s="24">
        <v>261209002700</v>
      </c>
      <c r="T1018" s="43">
        <v>46212</v>
      </c>
      <c r="U1018" s="43"/>
      <c r="V1018" s="46" t="s">
        <v>33</v>
      </c>
      <c r="W1018" s="45"/>
    </row>
    <row r="1019" spans="1:24" ht="34.950000000000003" customHeight="1" x14ac:dyDescent="0.25">
      <c r="A1019" s="12">
        <f>SUBTOTAL(3,$B$2:B1019)</f>
        <v>1018</v>
      </c>
      <c r="B1019" s="42">
        <v>594</v>
      </c>
      <c r="C1019" s="43">
        <v>46213</v>
      </c>
      <c r="D1019" s="42">
        <v>82607140001</v>
      </c>
      <c r="E1019" s="43">
        <v>46217</v>
      </c>
      <c r="F1019" s="45" t="s">
        <v>1013</v>
      </c>
      <c r="G1019" s="58" t="s">
        <v>65</v>
      </c>
      <c r="H1019" s="46" t="s">
        <v>16</v>
      </c>
      <c r="I1019" s="12" t="s">
        <v>1014</v>
      </c>
      <c r="J1019" s="43">
        <v>46210</v>
      </c>
      <c r="K1019" s="48">
        <v>200</v>
      </c>
      <c r="L1019" s="49">
        <v>200</v>
      </c>
      <c r="M1019" s="48">
        <v>12756</v>
      </c>
      <c r="N1019" s="48">
        <v>63.78</v>
      </c>
      <c r="O1019" s="50">
        <v>9</v>
      </c>
      <c r="P1019" s="50">
        <v>9</v>
      </c>
      <c r="Q1019" s="51">
        <f t="shared" si="46"/>
        <v>15052.08</v>
      </c>
      <c r="R1019" s="48"/>
      <c r="S1019" s="24">
        <v>153</v>
      </c>
      <c r="T1019" s="43">
        <v>46213</v>
      </c>
      <c r="U1019" s="43"/>
      <c r="V1019" s="46" t="s">
        <v>33</v>
      </c>
      <c r="W1019" s="45"/>
    </row>
    <row r="1020" spans="1:24" ht="34.950000000000003" customHeight="1" x14ac:dyDescent="0.25">
      <c r="A1020" s="12">
        <f>SUBTOTAL(3,$B$2:B1020)</f>
        <v>1019</v>
      </c>
      <c r="B1020" s="42">
        <v>594</v>
      </c>
      <c r="C1020" s="43">
        <v>46213</v>
      </c>
      <c r="D1020" s="42">
        <v>82607140001</v>
      </c>
      <c r="E1020" s="43">
        <v>46217</v>
      </c>
      <c r="F1020" s="45" t="s">
        <v>1013</v>
      </c>
      <c r="G1020" s="52" t="s">
        <v>639</v>
      </c>
      <c r="H1020" s="46" t="s">
        <v>16</v>
      </c>
      <c r="I1020" s="12" t="s">
        <v>1014</v>
      </c>
      <c r="J1020" s="43">
        <v>46210</v>
      </c>
      <c r="K1020" s="48">
        <v>1000</v>
      </c>
      <c r="L1020" s="49">
        <v>1000</v>
      </c>
      <c r="M1020" s="48">
        <v>800</v>
      </c>
      <c r="N1020" s="48">
        <v>0.8</v>
      </c>
      <c r="O1020" s="50">
        <v>9</v>
      </c>
      <c r="P1020" s="50">
        <v>9</v>
      </c>
      <c r="Q1020" s="51">
        <f t="shared" si="46"/>
        <v>944</v>
      </c>
      <c r="R1020" s="48"/>
      <c r="S1020" s="24">
        <v>153</v>
      </c>
      <c r="T1020" s="43">
        <v>46213</v>
      </c>
      <c r="U1020" s="43"/>
      <c r="V1020" s="46" t="s">
        <v>33</v>
      </c>
      <c r="W1020" s="45"/>
    </row>
    <row r="1021" spans="1:24" ht="34.950000000000003" customHeight="1" x14ac:dyDescent="0.25">
      <c r="A1021" s="28">
        <f>SUBTOTAL(3,$B$2:B1021)</f>
        <v>1020</v>
      </c>
      <c r="B1021" s="29">
        <v>595</v>
      </c>
      <c r="C1021" s="30">
        <v>46224</v>
      </c>
      <c r="D1021" s="29"/>
      <c r="E1021" s="30"/>
      <c r="F1021" s="31" t="s">
        <v>438</v>
      </c>
      <c r="G1021" s="39" t="s">
        <v>1015</v>
      </c>
      <c r="H1021" s="32" t="s">
        <v>16</v>
      </c>
      <c r="I1021" s="28"/>
      <c r="J1021" s="30"/>
      <c r="K1021" s="35">
        <v>2</v>
      </c>
      <c r="L1021" s="36">
        <v>2</v>
      </c>
      <c r="M1021" s="35">
        <v>36000</v>
      </c>
      <c r="N1021" s="35">
        <v>18000</v>
      </c>
      <c r="O1021" s="37"/>
      <c r="P1021" s="37"/>
      <c r="Q1021" s="38">
        <f t="shared" si="46"/>
        <v>36000</v>
      </c>
      <c r="R1021" s="35"/>
      <c r="S1021" s="33">
        <v>32607150551</v>
      </c>
      <c r="T1021" s="30">
        <v>46218</v>
      </c>
      <c r="U1021" s="30" t="s">
        <v>1016</v>
      </c>
      <c r="V1021" s="32" t="s">
        <v>25</v>
      </c>
      <c r="W1021" s="31" t="s">
        <v>1017</v>
      </c>
      <c r="X1021" s="124"/>
    </row>
    <row r="1022" spans="1:24" ht="34.950000000000003" customHeight="1" x14ac:dyDescent="0.25">
      <c r="A1022" s="12">
        <f>SUBTOTAL(3,$B$2:B1022)</f>
        <v>1021</v>
      </c>
      <c r="B1022" s="42">
        <v>596</v>
      </c>
      <c r="C1022" s="43">
        <v>46213</v>
      </c>
      <c r="D1022" s="42">
        <v>82607160001</v>
      </c>
      <c r="E1022" s="43">
        <v>46219</v>
      </c>
      <c r="F1022" s="45" t="s">
        <v>619</v>
      </c>
      <c r="G1022" s="52" t="s">
        <v>1018</v>
      </c>
      <c r="H1022" s="46" t="s">
        <v>16</v>
      </c>
      <c r="I1022" s="12" t="s">
        <v>1019</v>
      </c>
      <c r="J1022" s="43">
        <v>46218</v>
      </c>
      <c r="K1022" s="48">
        <v>1</v>
      </c>
      <c r="L1022" s="49">
        <v>1</v>
      </c>
      <c r="M1022" s="48">
        <v>50</v>
      </c>
      <c r="N1022" s="48">
        <v>50</v>
      </c>
      <c r="O1022" s="50"/>
      <c r="P1022" s="50"/>
      <c r="Q1022" s="51">
        <f t="shared" si="46"/>
        <v>50</v>
      </c>
      <c r="R1022" s="48"/>
      <c r="S1022" s="24"/>
      <c r="T1022" s="43"/>
      <c r="U1022" s="43"/>
      <c r="V1022" s="46" t="s">
        <v>247</v>
      </c>
      <c r="W1022" s="45"/>
    </row>
    <row r="1023" spans="1:24" ht="34.950000000000003" customHeight="1" x14ac:dyDescent="0.25">
      <c r="A1023" s="12">
        <f>SUBTOTAL(3,$B$2:B1023)</f>
        <v>1022</v>
      </c>
      <c r="B1023" s="42">
        <v>596</v>
      </c>
      <c r="C1023" s="43">
        <v>46213</v>
      </c>
      <c r="D1023" s="42">
        <v>82607160001</v>
      </c>
      <c r="E1023" s="43">
        <v>46219</v>
      </c>
      <c r="F1023" s="45" t="s">
        <v>619</v>
      </c>
      <c r="G1023" s="52" t="s">
        <v>1020</v>
      </c>
      <c r="H1023" s="46" t="s">
        <v>16</v>
      </c>
      <c r="I1023" s="12" t="s">
        <v>1019</v>
      </c>
      <c r="J1023" s="43">
        <v>46218</v>
      </c>
      <c r="K1023" s="48">
        <v>2</v>
      </c>
      <c r="L1023" s="49">
        <v>2</v>
      </c>
      <c r="M1023" s="48">
        <v>750</v>
      </c>
      <c r="N1023" s="48">
        <v>350</v>
      </c>
      <c r="O1023" s="50"/>
      <c r="P1023" s="50"/>
      <c r="Q1023" s="51">
        <f t="shared" si="46"/>
        <v>750</v>
      </c>
      <c r="R1023" s="48"/>
      <c r="S1023" s="24"/>
      <c r="T1023" s="43"/>
      <c r="U1023" s="43"/>
      <c r="V1023" s="46" t="s">
        <v>247</v>
      </c>
      <c r="W1023" s="45"/>
    </row>
    <row r="1024" spans="1:24" ht="34.950000000000003" customHeight="1" x14ac:dyDescent="0.25">
      <c r="A1024" s="12">
        <f>SUBTOTAL(3,$B$2:B1024)</f>
        <v>1023</v>
      </c>
      <c r="B1024" s="42">
        <v>596</v>
      </c>
      <c r="C1024" s="43">
        <v>46213</v>
      </c>
      <c r="D1024" s="42">
        <v>82607160001</v>
      </c>
      <c r="E1024" s="43">
        <v>46219</v>
      </c>
      <c r="F1024" s="45" t="s">
        <v>619</v>
      </c>
      <c r="G1024" s="52" t="s">
        <v>1021</v>
      </c>
      <c r="H1024" s="46" t="s">
        <v>16</v>
      </c>
      <c r="I1024" s="12" t="s">
        <v>1019</v>
      </c>
      <c r="J1024" s="43">
        <v>46218</v>
      </c>
      <c r="K1024" s="48">
        <v>2</v>
      </c>
      <c r="L1024" s="49">
        <v>2</v>
      </c>
      <c r="M1024" s="48">
        <v>300</v>
      </c>
      <c r="N1024" s="48">
        <v>150</v>
      </c>
      <c r="O1024" s="50"/>
      <c r="P1024" s="50"/>
      <c r="Q1024" s="51">
        <f t="shared" si="46"/>
        <v>300</v>
      </c>
      <c r="R1024" s="48"/>
      <c r="S1024" s="24"/>
      <c r="T1024" s="43"/>
      <c r="U1024" s="43"/>
      <c r="V1024" s="46" t="s">
        <v>247</v>
      </c>
      <c r="W1024" s="45"/>
    </row>
    <row r="1025" spans="1:23" ht="34.950000000000003" customHeight="1" x14ac:dyDescent="0.25">
      <c r="A1025" s="12">
        <f>SUBTOTAL(3,$B$2:B1025)</f>
        <v>1024</v>
      </c>
      <c r="B1025" s="42">
        <v>596</v>
      </c>
      <c r="C1025" s="43">
        <v>46213</v>
      </c>
      <c r="D1025" s="42">
        <v>82607160001</v>
      </c>
      <c r="E1025" s="43">
        <v>46219</v>
      </c>
      <c r="F1025" s="45" t="s">
        <v>619</v>
      </c>
      <c r="G1025" s="52" t="s">
        <v>781</v>
      </c>
      <c r="H1025" s="46" t="s">
        <v>16</v>
      </c>
      <c r="I1025" s="12" t="s">
        <v>1019</v>
      </c>
      <c r="J1025" s="43">
        <v>46218</v>
      </c>
      <c r="K1025" s="48">
        <v>2</v>
      </c>
      <c r="L1025" s="49">
        <v>2</v>
      </c>
      <c r="M1025" s="48">
        <v>200</v>
      </c>
      <c r="N1025" s="48">
        <v>100</v>
      </c>
      <c r="O1025" s="50"/>
      <c r="P1025" s="50"/>
      <c r="Q1025" s="51">
        <f t="shared" si="46"/>
        <v>200</v>
      </c>
      <c r="R1025" s="48"/>
      <c r="S1025" s="24"/>
      <c r="T1025" s="43"/>
      <c r="U1025" s="43"/>
      <c r="V1025" s="46" t="s">
        <v>247</v>
      </c>
      <c r="W1025" s="45"/>
    </row>
    <row r="1026" spans="1:23" ht="34.950000000000003" customHeight="1" x14ac:dyDescent="0.25">
      <c r="A1026" s="12">
        <f>SUBTOTAL(3,$B$2:B1026)</f>
        <v>1025</v>
      </c>
      <c r="B1026" s="42">
        <v>596</v>
      </c>
      <c r="C1026" s="43">
        <v>46213</v>
      </c>
      <c r="D1026" s="42">
        <v>82607160001</v>
      </c>
      <c r="E1026" s="43">
        <v>46219</v>
      </c>
      <c r="F1026" s="45" t="s">
        <v>619</v>
      </c>
      <c r="G1026" s="52" t="s">
        <v>242</v>
      </c>
      <c r="H1026" s="46" t="s">
        <v>752</v>
      </c>
      <c r="I1026" s="12" t="s">
        <v>1019</v>
      </c>
      <c r="J1026" s="43">
        <v>46218</v>
      </c>
      <c r="K1026" s="48">
        <v>1</v>
      </c>
      <c r="L1026" s="49">
        <v>1</v>
      </c>
      <c r="M1026" s="48">
        <v>250</v>
      </c>
      <c r="N1026" s="48">
        <v>250</v>
      </c>
      <c r="O1026" s="50"/>
      <c r="P1026" s="50"/>
      <c r="Q1026" s="51">
        <f t="shared" si="46"/>
        <v>250</v>
      </c>
      <c r="R1026" s="48"/>
      <c r="S1026" s="24"/>
      <c r="T1026" s="43"/>
      <c r="U1026" s="43"/>
      <c r="V1026" s="46" t="s">
        <v>247</v>
      </c>
      <c r="W1026" s="45"/>
    </row>
    <row r="1027" spans="1:23" ht="34.950000000000003" customHeight="1" x14ac:dyDescent="0.25">
      <c r="A1027" s="12">
        <f>SUBTOTAL(3,$B$2:B1027)</f>
        <v>1026</v>
      </c>
      <c r="B1027" s="42">
        <v>597</v>
      </c>
      <c r="C1027" s="43">
        <v>46224</v>
      </c>
      <c r="D1027" s="42"/>
      <c r="E1027" s="43"/>
      <c r="F1027" s="45" t="s">
        <v>438</v>
      </c>
      <c r="G1027" s="52" t="s">
        <v>1015</v>
      </c>
      <c r="H1027" s="46" t="s">
        <v>16</v>
      </c>
      <c r="I1027" s="12"/>
      <c r="J1027" s="43"/>
      <c r="K1027" s="48">
        <v>1</v>
      </c>
      <c r="L1027" s="62">
        <v>1</v>
      </c>
      <c r="M1027" s="48">
        <v>18000</v>
      </c>
      <c r="N1027" s="48">
        <v>18000</v>
      </c>
      <c r="O1027" s="50"/>
      <c r="P1027" s="50"/>
      <c r="Q1027" s="51">
        <f t="shared" si="46"/>
        <v>18000</v>
      </c>
      <c r="R1027" s="48"/>
      <c r="S1027" s="24">
        <v>32607210884</v>
      </c>
      <c r="T1027" s="43">
        <v>46224</v>
      </c>
      <c r="U1027" s="43" t="s">
        <v>1022</v>
      </c>
      <c r="V1027" s="46" t="s">
        <v>25</v>
      </c>
      <c r="W1027" s="45"/>
    </row>
    <row r="1028" spans="1:23" ht="34.950000000000003" customHeight="1" x14ac:dyDescent="0.25">
      <c r="A1028" s="12">
        <f>SUBTOTAL(3,$B$2:B1028)</f>
        <v>1027</v>
      </c>
      <c r="B1028" s="42">
        <v>598</v>
      </c>
      <c r="C1028" s="43">
        <v>46228</v>
      </c>
      <c r="D1028" s="42">
        <v>82607280002</v>
      </c>
      <c r="E1028" s="43">
        <v>46231</v>
      </c>
      <c r="F1028" s="45" t="s">
        <v>939</v>
      </c>
      <c r="G1028" s="52" t="s">
        <v>485</v>
      </c>
      <c r="H1028" s="46" t="s">
        <v>999</v>
      </c>
      <c r="I1028" s="12" t="s">
        <v>965</v>
      </c>
      <c r="J1028" s="43">
        <v>46129</v>
      </c>
      <c r="K1028" s="122">
        <v>7</v>
      </c>
      <c r="L1028" s="49">
        <v>7</v>
      </c>
      <c r="M1028" s="48">
        <v>33813.56</v>
      </c>
      <c r="N1028" s="48">
        <v>4830.51</v>
      </c>
      <c r="O1028" s="50">
        <v>9</v>
      </c>
      <c r="P1028" s="50">
        <v>9</v>
      </c>
      <c r="Q1028" s="51">
        <f t="shared" si="46"/>
        <v>39900.000799999994</v>
      </c>
      <c r="R1028" s="48"/>
      <c r="S1028" s="24"/>
      <c r="T1028" s="43"/>
      <c r="U1028" s="43"/>
      <c r="V1028" s="46" t="s">
        <v>33</v>
      </c>
      <c r="W1028" s="45"/>
    </row>
    <row r="1029" spans="1:23" ht="34.950000000000003" customHeight="1" x14ac:dyDescent="0.25">
      <c r="A1029" s="12">
        <f>SUBTOTAL(3,$B$2:B1029)</f>
        <v>1028</v>
      </c>
      <c r="B1029" s="42">
        <v>599</v>
      </c>
      <c r="C1029" s="43">
        <v>46228</v>
      </c>
      <c r="D1029" s="42">
        <v>82607280003</v>
      </c>
      <c r="E1029" s="43">
        <v>46231</v>
      </c>
      <c r="F1029" s="45" t="s">
        <v>939</v>
      </c>
      <c r="G1029" s="52" t="s">
        <v>485</v>
      </c>
      <c r="H1029" s="46" t="s">
        <v>999</v>
      </c>
      <c r="I1029" s="12" t="s">
        <v>965</v>
      </c>
      <c r="J1029" s="43">
        <v>46129</v>
      </c>
      <c r="K1029" s="122">
        <v>7</v>
      </c>
      <c r="L1029" s="49">
        <v>7</v>
      </c>
      <c r="M1029" s="48">
        <v>33813.56</v>
      </c>
      <c r="N1029" s="48">
        <v>4830.51</v>
      </c>
      <c r="O1029" s="50">
        <v>9</v>
      </c>
      <c r="P1029" s="50">
        <v>9</v>
      </c>
      <c r="Q1029" s="51">
        <f t="shared" si="46"/>
        <v>39900.000799999994</v>
      </c>
      <c r="R1029" s="48"/>
      <c r="S1029" s="24"/>
      <c r="T1029" s="43"/>
      <c r="U1029" s="43"/>
      <c r="V1029" s="46" t="s">
        <v>33</v>
      </c>
      <c r="W1029" s="45"/>
    </row>
    <row r="1030" spans="1:23" ht="34.950000000000003" customHeight="1" x14ac:dyDescent="0.25">
      <c r="A1030" s="12">
        <f>SUBTOTAL(3,$B$2:B1030)</f>
        <v>1029</v>
      </c>
      <c r="B1030" s="42">
        <v>600</v>
      </c>
      <c r="C1030" s="43">
        <v>46228</v>
      </c>
      <c r="D1030" s="42">
        <v>82607280004</v>
      </c>
      <c r="E1030" s="43">
        <v>46231</v>
      </c>
      <c r="F1030" s="45" t="s">
        <v>939</v>
      </c>
      <c r="G1030" s="52" t="s">
        <v>485</v>
      </c>
      <c r="H1030" s="46" t="s">
        <v>999</v>
      </c>
      <c r="I1030" s="12" t="s">
        <v>965</v>
      </c>
      <c r="J1030" s="43">
        <v>46129</v>
      </c>
      <c r="K1030" s="122">
        <v>7</v>
      </c>
      <c r="L1030" s="49">
        <v>7</v>
      </c>
      <c r="M1030" s="48">
        <v>33813.56</v>
      </c>
      <c r="N1030" s="48">
        <v>4830.51</v>
      </c>
      <c r="O1030" s="50">
        <v>9</v>
      </c>
      <c r="P1030" s="50">
        <v>9</v>
      </c>
      <c r="Q1030" s="51">
        <f t="shared" si="46"/>
        <v>39900.000799999994</v>
      </c>
      <c r="R1030" s="48"/>
      <c r="S1030" s="24"/>
      <c r="T1030" s="43"/>
      <c r="U1030" s="43"/>
      <c r="V1030" s="46" t="s">
        <v>33</v>
      </c>
      <c r="W1030" s="45"/>
    </row>
    <row r="1031" spans="1:23" ht="34.950000000000003" customHeight="1" x14ac:dyDescent="0.25">
      <c r="A1031" s="12">
        <f>SUBTOTAL(3,$B$2:B1031)</f>
        <v>1030</v>
      </c>
      <c r="B1031" s="42">
        <v>601</v>
      </c>
      <c r="C1031" s="43">
        <v>46228</v>
      </c>
      <c r="D1031" s="42">
        <v>82607280005</v>
      </c>
      <c r="E1031" s="43">
        <v>46231</v>
      </c>
      <c r="F1031" s="45" t="s">
        <v>939</v>
      </c>
      <c r="G1031" s="52" t="s">
        <v>485</v>
      </c>
      <c r="H1031" s="46" t="s">
        <v>999</v>
      </c>
      <c r="I1031" s="12" t="s">
        <v>965</v>
      </c>
      <c r="J1031" s="43">
        <v>46129</v>
      </c>
      <c r="K1031" s="122">
        <v>7</v>
      </c>
      <c r="L1031" s="49">
        <v>7</v>
      </c>
      <c r="M1031" s="48">
        <v>33813.56</v>
      </c>
      <c r="N1031" s="48">
        <v>4830.51</v>
      </c>
      <c r="O1031" s="50">
        <v>9</v>
      </c>
      <c r="P1031" s="50">
        <v>9</v>
      </c>
      <c r="Q1031" s="51">
        <f t="shared" si="46"/>
        <v>39900.000799999994</v>
      </c>
      <c r="R1031" s="48"/>
      <c r="S1031" s="24"/>
      <c r="T1031" s="43"/>
      <c r="U1031" s="43"/>
      <c r="V1031" s="46" t="s">
        <v>33</v>
      </c>
      <c r="W1031" s="45"/>
    </row>
    <row r="1032" spans="1:23" ht="34.950000000000003" customHeight="1" x14ac:dyDescent="0.25">
      <c r="A1032" s="12">
        <f>SUBTOTAL(3,$B$2:B1032)</f>
        <v>1031</v>
      </c>
      <c r="B1032" s="42">
        <v>602</v>
      </c>
      <c r="C1032" s="43">
        <v>46228</v>
      </c>
      <c r="D1032" s="42">
        <v>82607280006</v>
      </c>
      <c r="E1032" s="43">
        <v>46231</v>
      </c>
      <c r="F1032" s="45" t="s">
        <v>939</v>
      </c>
      <c r="G1032" s="52" t="s">
        <v>485</v>
      </c>
      <c r="H1032" s="46" t="s">
        <v>999</v>
      </c>
      <c r="I1032" s="12" t="s">
        <v>965</v>
      </c>
      <c r="J1032" s="43">
        <v>46129</v>
      </c>
      <c r="K1032" s="122">
        <v>7</v>
      </c>
      <c r="L1032" s="49">
        <v>7</v>
      </c>
      <c r="M1032" s="48">
        <v>33813.56</v>
      </c>
      <c r="N1032" s="48">
        <v>4830.51</v>
      </c>
      <c r="O1032" s="50">
        <v>9</v>
      </c>
      <c r="P1032" s="50">
        <v>9</v>
      </c>
      <c r="Q1032" s="51">
        <f t="shared" si="46"/>
        <v>39900.000799999994</v>
      </c>
      <c r="R1032" s="48"/>
      <c r="S1032" s="24"/>
      <c r="T1032" s="43"/>
      <c r="U1032" s="43"/>
      <c r="V1032" s="46" t="s">
        <v>33</v>
      </c>
      <c r="W1032" s="45"/>
    </row>
    <row r="1033" spans="1:23" ht="34.950000000000003" customHeight="1" x14ac:dyDescent="0.25">
      <c r="A1033" s="12">
        <f>SUBTOTAL(3,$B$2:B1033)</f>
        <v>1032</v>
      </c>
      <c r="B1033" s="42">
        <v>603</v>
      </c>
      <c r="C1033" s="43">
        <v>46228</v>
      </c>
      <c r="D1033" s="42">
        <v>82607280007</v>
      </c>
      <c r="E1033" s="43">
        <v>46231</v>
      </c>
      <c r="F1033" s="45" t="s">
        <v>939</v>
      </c>
      <c r="G1033" s="52" t="s">
        <v>485</v>
      </c>
      <c r="H1033" s="46" t="s">
        <v>999</v>
      </c>
      <c r="I1033" s="12" t="s">
        <v>965</v>
      </c>
      <c r="J1033" s="43">
        <v>46129</v>
      </c>
      <c r="K1033" s="122">
        <v>7</v>
      </c>
      <c r="L1033" s="49">
        <v>7</v>
      </c>
      <c r="M1033" s="48">
        <v>33813.56</v>
      </c>
      <c r="N1033" s="48">
        <v>4830.51</v>
      </c>
      <c r="O1033" s="50">
        <v>9</v>
      </c>
      <c r="P1033" s="50">
        <v>9</v>
      </c>
      <c r="Q1033" s="51">
        <f t="shared" si="46"/>
        <v>39900.000799999994</v>
      </c>
      <c r="R1033" s="48"/>
      <c r="S1033" s="24"/>
      <c r="T1033" s="43"/>
      <c r="U1033" s="43"/>
      <c r="V1033" s="46" t="s">
        <v>33</v>
      </c>
      <c r="W1033" s="45"/>
    </row>
    <row r="1034" spans="1:23" ht="34.950000000000003" customHeight="1" x14ac:dyDescent="0.25">
      <c r="A1034" s="12">
        <f>SUBTOTAL(3,$B$2:B1034)</f>
        <v>1033</v>
      </c>
      <c r="B1034" s="42">
        <v>604</v>
      </c>
      <c r="C1034" s="43">
        <v>46228</v>
      </c>
      <c r="D1034" s="42">
        <v>82607280008</v>
      </c>
      <c r="E1034" s="43">
        <v>46231</v>
      </c>
      <c r="F1034" s="45" t="s">
        <v>939</v>
      </c>
      <c r="G1034" s="52" t="s">
        <v>485</v>
      </c>
      <c r="H1034" s="46" t="s">
        <v>999</v>
      </c>
      <c r="I1034" s="12" t="s">
        <v>965</v>
      </c>
      <c r="J1034" s="43">
        <v>46129</v>
      </c>
      <c r="K1034" s="122">
        <v>7</v>
      </c>
      <c r="L1034" s="49">
        <v>7</v>
      </c>
      <c r="M1034" s="48">
        <v>33813.56</v>
      </c>
      <c r="N1034" s="48">
        <v>4830.51</v>
      </c>
      <c r="O1034" s="50">
        <v>9</v>
      </c>
      <c r="P1034" s="50">
        <v>9</v>
      </c>
      <c r="Q1034" s="51">
        <f t="shared" si="46"/>
        <v>39900.000799999994</v>
      </c>
      <c r="R1034" s="48"/>
      <c r="S1034" s="24"/>
      <c r="T1034" s="43"/>
      <c r="U1034" s="43"/>
      <c r="V1034" s="46" t="s">
        <v>33</v>
      </c>
      <c r="W1034" s="45"/>
    </row>
    <row r="1035" spans="1:23" ht="34.950000000000003" customHeight="1" x14ac:dyDescent="0.25">
      <c r="A1035" s="12">
        <f>SUBTOTAL(3,$B$2:B1035)</f>
        <v>1034</v>
      </c>
      <c r="B1035" s="42">
        <v>605</v>
      </c>
      <c r="C1035" s="43">
        <v>46228</v>
      </c>
      <c r="D1035" s="42">
        <v>82607280009</v>
      </c>
      <c r="E1035" s="43">
        <v>46231</v>
      </c>
      <c r="F1035" s="45" t="s">
        <v>939</v>
      </c>
      <c r="G1035" s="52" t="s">
        <v>485</v>
      </c>
      <c r="H1035" s="46" t="s">
        <v>999</v>
      </c>
      <c r="I1035" s="12" t="s">
        <v>965</v>
      </c>
      <c r="J1035" s="43">
        <v>46129</v>
      </c>
      <c r="K1035" s="122">
        <v>7</v>
      </c>
      <c r="L1035" s="49">
        <v>7</v>
      </c>
      <c r="M1035" s="48">
        <v>33813.56</v>
      </c>
      <c r="N1035" s="48">
        <v>4830.51</v>
      </c>
      <c r="O1035" s="50">
        <v>9</v>
      </c>
      <c r="P1035" s="50">
        <v>9</v>
      </c>
      <c r="Q1035" s="51">
        <f t="shared" si="46"/>
        <v>39900.000799999994</v>
      </c>
      <c r="R1035" s="48"/>
      <c r="S1035" s="24"/>
      <c r="T1035" s="43"/>
      <c r="U1035" s="43"/>
      <c r="V1035" s="46" t="s">
        <v>33</v>
      </c>
      <c r="W1035" s="45"/>
    </row>
    <row r="1036" spans="1:23" ht="34.950000000000003" customHeight="1" x14ac:dyDescent="0.25">
      <c r="A1036" s="12">
        <f>SUBTOTAL(3,$B$2:B1036)</f>
        <v>1035</v>
      </c>
      <c r="B1036" s="42">
        <v>606</v>
      </c>
      <c r="C1036" s="43">
        <v>46228</v>
      </c>
      <c r="D1036" s="42">
        <v>82607280010</v>
      </c>
      <c r="E1036" s="43">
        <v>46231</v>
      </c>
      <c r="F1036" s="45" t="s">
        <v>939</v>
      </c>
      <c r="G1036" s="52" t="s">
        <v>485</v>
      </c>
      <c r="H1036" s="46" t="s">
        <v>999</v>
      </c>
      <c r="I1036" s="12" t="s">
        <v>965</v>
      </c>
      <c r="J1036" s="43">
        <v>46129</v>
      </c>
      <c r="K1036" s="122">
        <v>3</v>
      </c>
      <c r="L1036" s="49">
        <v>3</v>
      </c>
      <c r="M1036" s="48">
        <v>14491.52</v>
      </c>
      <c r="N1036" s="48">
        <v>4830.51</v>
      </c>
      <c r="O1036" s="50">
        <v>9</v>
      </c>
      <c r="P1036" s="50">
        <v>9</v>
      </c>
      <c r="Q1036" s="51">
        <f t="shared" si="46"/>
        <v>17099.993599999998</v>
      </c>
      <c r="R1036" s="48"/>
      <c r="S1036" s="24"/>
      <c r="T1036" s="43"/>
      <c r="U1036" s="43"/>
      <c r="V1036" s="46" t="s">
        <v>33</v>
      </c>
      <c r="W1036" s="45"/>
    </row>
    <row r="1037" spans="1:23" ht="34.950000000000003" customHeight="1" x14ac:dyDescent="0.25">
      <c r="A1037" s="12">
        <f>SUBTOTAL(3,$B$2:B1037)</f>
        <v>1036</v>
      </c>
      <c r="B1037" s="42">
        <v>607</v>
      </c>
      <c r="C1037" s="43">
        <v>46228</v>
      </c>
      <c r="D1037" s="42">
        <v>82607280001</v>
      </c>
      <c r="E1037" s="43">
        <v>46231</v>
      </c>
      <c r="F1037" s="45" t="s">
        <v>518</v>
      </c>
      <c r="G1037" s="52" t="s">
        <v>1023</v>
      </c>
      <c r="H1037" s="46" t="s">
        <v>16</v>
      </c>
      <c r="I1037" s="12" t="s">
        <v>1024</v>
      </c>
      <c r="J1037" s="43"/>
      <c r="K1037" s="48">
        <v>1</v>
      </c>
      <c r="L1037" s="49">
        <v>1</v>
      </c>
      <c r="M1037" s="48">
        <v>2200</v>
      </c>
      <c r="N1037" s="48">
        <v>2200</v>
      </c>
      <c r="O1037" s="50"/>
      <c r="P1037" s="50"/>
      <c r="Q1037" s="51">
        <f t="shared" si="46"/>
        <v>2200</v>
      </c>
      <c r="R1037" s="48"/>
      <c r="S1037" s="24"/>
      <c r="T1037" s="43"/>
      <c r="U1037" s="43"/>
      <c r="V1037" s="46" t="s">
        <v>247</v>
      </c>
      <c r="W1037" s="45"/>
    </row>
    <row r="1038" spans="1:23" ht="34.950000000000003" customHeight="1" x14ac:dyDescent="0.35">
      <c r="A1038" s="12">
        <f>SUBTOTAL(3,$B$2:B1038)</f>
        <v>1037</v>
      </c>
      <c r="B1038" s="42">
        <v>608</v>
      </c>
      <c r="C1038" s="43">
        <v>46234</v>
      </c>
      <c r="D1038" s="42">
        <v>82608030001</v>
      </c>
      <c r="E1038" s="43">
        <v>46237</v>
      </c>
      <c r="F1038" s="45" t="s">
        <v>27</v>
      </c>
      <c r="G1038" s="52" t="s">
        <v>87</v>
      </c>
      <c r="H1038" s="46" t="s">
        <v>240</v>
      </c>
      <c r="I1038" s="12" t="s">
        <v>1025</v>
      </c>
      <c r="J1038" s="43">
        <v>46230</v>
      </c>
      <c r="K1038" s="48">
        <v>4.05</v>
      </c>
      <c r="L1038" s="49">
        <v>4.05</v>
      </c>
      <c r="M1038" s="48">
        <v>213030</v>
      </c>
      <c r="N1038" s="48">
        <v>52600</v>
      </c>
      <c r="O1038" s="50">
        <v>9</v>
      </c>
      <c r="P1038" s="50">
        <v>9</v>
      </c>
      <c r="Q1038" s="51">
        <f t="shared" si="46"/>
        <v>251375.4</v>
      </c>
      <c r="R1038" s="48"/>
      <c r="S1038" s="24" t="s">
        <v>1026</v>
      </c>
      <c r="T1038" s="43">
        <v>46233</v>
      </c>
      <c r="U1038" s="125" t="s">
        <v>1027</v>
      </c>
      <c r="V1038" s="46" t="s">
        <v>33</v>
      </c>
      <c r="W1038" s="45"/>
    </row>
    <row r="1039" spans="1:23" ht="34.950000000000003" customHeight="1" x14ac:dyDescent="0.35">
      <c r="A1039" s="12">
        <f>SUBTOTAL(3,$B$2:B1039)</f>
        <v>1038</v>
      </c>
      <c r="B1039" s="42">
        <v>608</v>
      </c>
      <c r="C1039" s="43">
        <v>46234</v>
      </c>
      <c r="D1039" s="42">
        <v>82608030002</v>
      </c>
      <c r="E1039" s="43">
        <v>46237</v>
      </c>
      <c r="F1039" s="45" t="s">
        <v>27</v>
      </c>
      <c r="G1039" s="52" t="s">
        <v>28</v>
      </c>
      <c r="H1039" s="46" t="s">
        <v>240</v>
      </c>
      <c r="I1039" s="12" t="s">
        <v>1025</v>
      </c>
      <c r="J1039" s="43">
        <v>46230</v>
      </c>
      <c r="K1039" s="48">
        <v>3.04</v>
      </c>
      <c r="L1039" s="49">
        <v>3.04</v>
      </c>
      <c r="M1039" s="48">
        <v>159904</v>
      </c>
      <c r="N1039" s="48">
        <v>52600</v>
      </c>
      <c r="O1039" s="50">
        <v>9</v>
      </c>
      <c r="P1039" s="50">
        <v>9</v>
      </c>
      <c r="Q1039" s="51">
        <f t="shared" si="46"/>
        <v>188686.72</v>
      </c>
      <c r="R1039" s="48"/>
      <c r="S1039" s="24" t="s">
        <v>1026</v>
      </c>
      <c r="T1039" s="43">
        <v>46233</v>
      </c>
      <c r="U1039" s="125" t="s">
        <v>1027</v>
      </c>
      <c r="V1039" s="46" t="s">
        <v>33</v>
      </c>
      <c r="W1039" s="45"/>
    </row>
    <row r="1040" spans="1:23" ht="34.950000000000003" customHeight="1" x14ac:dyDescent="0.35">
      <c r="A1040" s="12">
        <f>SUBTOTAL(3,$B$2:B1040)</f>
        <v>1039</v>
      </c>
      <c r="B1040" s="42">
        <v>608</v>
      </c>
      <c r="C1040" s="43">
        <v>46234</v>
      </c>
      <c r="D1040" s="42">
        <v>82608030002</v>
      </c>
      <c r="E1040" s="43">
        <v>46237</v>
      </c>
      <c r="F1040" s="45" t="s">
        <v>27</v>
      </c>
      <c r="G1040" s="52" t="s">
        <v>44</v>
      </c>
      <c r="H1040" s="46" t="s">
        <v>240</v>
      </c>
      <c r="I1040" s="12" t="s">
        <v>1025</v>
      </c>
      <c r="J1040" s="43">
        <v>46230</v>
      </c>
      <c r="K1040" s="48">
        <v>10.1</v>
      </c>
      <c r="L1040" s="49">
        <v>10.1</v>
      </c>
      <c r="M1040" s="48">
        <v>531260</v>
      </c>
      <c r="N1040" s="48">
        <v>52600</v>
      </c>
      <c r="O1040" s="50">
        <v>9</v>
      </c>
      <c r="P1040" s="50">
        <v>9</v>
      </c>
      <c r="Q1040" s="51">
        <f t="shared" si="46"/>
        <v>626886.79999999993</v>
      </c>
      <c r="R1040" s="48"/>
      <c r="S1040" s="24" t="s">
        <v>1026</v>
      </c>
      <c r="T1040" s="43">
        <v>46233</v>
      </c>
      <c r="U1040" s="125" t="s">
        <v>1027</v>
      </c>
      <c r="V1040" s="46" t="s">
        <v>33</v>
      </c>
      <c r="W1040" s="45"/>
    </row>
    <row r="1041" spans="1:23" ht="34.950000000000003" customHeight="1" x14ac:dyDescent="0.35">
      <c r="A1041" s="12">
        <f>SUBTOTAL(3,$B$2:B1041)</f>
        <v>1040</v>
      </c>
      <c r="B1041" s="42">
        <v>608</v>
      </c>
      <c r="C1041" s="43">
        <v>46234</v>
      </c>
      <c r="D1041" s="42">
        <v>82608030002</v>
      </c>
      <c r="E1041" s="43">
        <v>46237</v>
      </c>
      <c r="F1041" s="45" t="s">
        <v>27</v>
      </c>
      <c r="G1041" s="52" t="s">
        <v>88</v>
      </c>
      <c r="H1041" s="46" t="s">
        <v>240</v>
      </c>
      <c r="I1041" s="12" t="s">
        <v>1025</v>
      </c>
      <c r="J1041" s="43">
        <v>46230</v>
      </c>
      <c r="K1041" s="48">
        <v>18.04</v>
      </c>
      <c r="L1041" s="49">
        <v>18.04</v>
      </c>
      <c r="M1041" s="48">
        <v>948904</v>
      </c>
      <c r="N1041" s="48">
        <v>52600</v>
      </c>
      <c r="O1041" s="50">
        <v>9</v>
      </c>
      <c r="P1041" s="50">
        <v>9</v>
      </c>
      <c r="Q1041" s="51">
        <f t="shared" si="46"/>
        <v>1119706.72</v>
      </c>
      <c r="R1041" s="48"/>
      <c r="S1041" s="24" t="s">
        <v>1026</v>
      </c>
      <c r="T1041" s="43">
        <v>46233</v>
      </c>
      <c r="U1041" s="125" t="s">
        <v>1027</v>
      </c>
      <c r="V1041" s="46" t="s">
        <v>33</v>
      </c>
      <c r="W1041" s="45"/>
    </row>
    <row r="1042" spans="1:23" ht="34.950000000000003" customHeight="1" x14ac:dyDescent="0.35">
      <c r="A1042" s="12">
        <f>SUBTOTAL(3,$B$2:B1042)</f>
        <v>1041</v>
      </c>
      <c r="B1042" s="42">
        <v>608</v>
      </c>
      <c r="C1042" s="43">
        <v>46234</v>
      </c>
      <c r="D1042" s="42">
        <v>82608030002</v>
      </c>
      <c r="E1042" s="43">
        <v>46237</v>
      </c>
      <c r="F1042" s="45" t="s">
        <v>27</v>
      </c>
      <c r="G1042" s="52" t="s">
        <v>41</v>
      </c>
      <c r="H1042" s="46" t="s">
        <v>240</v>
      </c>
      <c r="I1042" s="12" t="s">
        <v>1025</v>
      </c>
      <c r="J1042" s="43">
        <v>46230</v>
      </c>
      <c r="K1042" s="48">
        <v>6.03</v>
      </c>
      <c r="L1042" s="49">
        <v>6.03</v>
      </c>
      <c r="M1042" s="48">
        <v>317178</v>
      </c>
      <c r="N1042" s="48">
        <v>52600</v>
      </c>
      <c r="O1042" s="50">
        <v>9</v>
      </c>
      <c r="P1042" s="50">
        <v>9</v>
      </c>
      <c r="Q1042" s="51">
        <f t="shared" si="46"/>
        <v>374270.04</v>
      </c>
      <c r="R1042" s="48"/>
      <c r="S1042" s="24" t="s">
        <v>1026</v>
      </c>
      <c r="T1042" s="43">
        <v>46233</v>
      </c>
      <c r="U1042" s="125" t="s">
        <v>1027</v>
      </c>
      <c r="V1042" s="46" t="s">
        <v>33</v>
      </c>
      <c r="W1042" s="45"/>
    </row>
    <row r="1043" spans="1:23" ht="34.950000000000003" customHeight="1" x14ac:dyDescent="0.35">
      <c r="A1043" s="12">
        <f>SUBTOTAL(3,$B$2:B1043)</f>
        <v>1042</v>
      </c>
      <c r="B1043" s="42">
        <v>609</v>
      </c>
      <c r="C1043" s="43">
        <v>46234</v>
      </c>
      <c r="D1043" s="42">
        <v>82608030002</v>
      </c>
      <c r="E1043" s="43">
        <v>46237</v>
      </c>
      <c r="F1043" s="45" t="s">
        <v>27</v>
      </c>
      <c r="G1043" s="52" t="s">
        <v>83</v>
      </c>
      <c r="H1043" s="46" t="s">
        <v>240</v>
      </c>
      <c r="I1043" s="12" t="s">
        <v>1025</v>
      </c>
      <c r="J1043" s="43">
        <v>46230</v>
      </c>
      <c r="K1043" s="48">
        <v>11.09</v>
      </c>
      <c r="L1043" s="49">
        <v>11.09</v>
      </c>
      <c r="M1043" s="48">
        <v>616604</v>
      </c>
      <c r="N1043" s="48">
        <v>55600</v>
      </c>
      <c r="O1043" s="50">
        <v>9</v>
      </c>
      <c r="P1043" s="50">
        <v>9</v>
      </c>
      <c r="Q1043" s="51">
        <f t="shared" si="46"/>
        <v>727592.72</v>
      </c>
      <c r="R1043" s="48"/>
      <c r="S1043" s="24" t="s">
        <v>1028</v>
      </c>
      <c r="T1043" s="43">
        <v>46233</v>
      </c>
      <c r="U1043" s="125" t="s">
        <v>1027</v>
      </c>
      <c r="V1043" s="46" t="s">
        <v>33</v>
      </c>
      <c r="W1043" s="45"/>
    </row>
    <row r="1044" spans="1:23" ht="34.950000000000003" customHeight="1" x14ac:dyDescent="0.25">
      <c r="A1044" s="12">
        <f>SUBTOTAL(3,$B$2:B1044)</f>
        <v>1043</v>
      </c>
      <c r="B1044" s="42">
        <v>610</v>
      </c>
      <c r="C1044" s="43">
        <v>46231</v>
      </c>
      <c r="D1044" s="42"/>
      <c r="E1044" s="43"/>
      <c r="F1044" s="45" t="s">
        <v>1029</v>
      </c>
      <c r="G1044" s="52" t="s">
        <v>1030</v>
      </c>
      <c r="H1044" s="46" t="s">
        <v>16</v>
      </c>
      <c r="I1044" s="12"/>
      <c r="J1044" s="43"/>
      <c r="K1044" s="48">
        <v>1</v>
      </c>
      <c r="L1044" s="62">
        <v>1</v>
      </c>
      <c r="M1044" s="48">
        <v>944000</v>
      </c>
      <c r="N1044" s="48">
        <v>944000</v>
      </c>
      <c r="O1044" s="50"/>
      <c r="P1044" s="50"/>
      <c r="Q1044" s="51">
        <f t="shared" si="46"/>
        <v>944000</v>
      </c>
      <c r="R1044" s="48"/>
      <c r="S1044" s="24"/>
      <c r="T1044" s="43"/>
      <c r="U1044" s="43"/>
      <c r="V1044" s="46" t="s">
        <v>25</v>
      </c>
      <c r="W1044" s="45"/>
    </row>
    <row r="1045" spans="1:23" ht="34.950000000000003" customHeight="1" x14ac:dyDescent="0.25">
      <c r="A1045" s="12">
        <f>SUBTOTAL(3,$B$2:B1045)</f>
        <v>1044</v>
      </c>
      <c r="B1045" s="42">
        <v>610</v>
      </c>
      <c r="C1045" s="43">
        <v>46231</v>
      </c>
      <c r="D1045" s="42"/>
      <c r="E1045" s="43"/>
      <c r="F1045" s="45" t="s">
        <v>1029</v>
      </c>
      <c r="G1045" s="52" t="s">
        <v>1031</v>
      </c>
      <c r="H1045" s="46" t="s">
        <v>16</v>
      </c>
      <c r="I1045" s="12"/>
      <c r="J1045" s="43"/>
      <c r="K1045" s="48">
        <v>1</v>
      </c>
      <c r="L1045" s="62">
        <v>1</v>
      </c>
      <c r="M1045" s="48">
        <v>101560</v>
      </c>
      <c r="N1045" s="48">
        <v>101560</v>
      </c>
      <c r="O1045" s="50"/>
      <c r="P1045" s="50"/>
      <c r="Q1045" s="51">
        <f t="shared" si="46"/>
        <v>101560</v>
      </c>
      <c r="R1045" s="48"/>
      <c r="S1045" s="24"/>
      <c r="T1045" s="43"/>
      <c r="U1045" s="43"/>
      <c r="V1045" s="46" t="s">
        <v>25</v>
      </c>
      <c r="W1045" s="45"/>
    </row>
    <row r="1046" spans="1:23" ht="34.950000000000003" customHeight="1" x14ac:dyDescent="0.25">
      <c r="A1046" s="12">
        <f>SUBTOTAL(3,$B$2:B1046)</f>
        <v>1045</v>
      </c>
      <c r="B1046" s="42">
        <v>611</v>
      </c>
      <c r="C1046" s="43">
        <v>46238</v>
      </c>
      <c r="D1046" s="42"/>
      <c r="E1046" s="43"/>
      <c r="F1046" s="45" t="s">
        <v>785</v>
      </c>
      <c r="G1046" s="52" t="s">
        <v>993</v>
      </c>
      <c r="H1046" s="46" t="s">
        <v>16</v>
      </c>
      <c r="I1046" s="12" t="s">
        <v>1032</v>
      </c>
      <c r="J1046" s="43"/>
      <c r="K1046" s="48">
        <v>450</v>
      </c>
      <c r="L1046" s="62">
        <v>450</v>
      </c>
      <c r="M1046" s="48">
        <v>0</v>
      </c>
      <c r="N1046" s="48">
        <v>0</v>
      </c>
      <c r="O1046" s="50"/>
      <c r="P1046" s="50"/>
      <c r="Q1046" s="51">
        <f t="shared" si="46"/>
        <v>0</v>
      </c>
      <c r="R1046" s="48"/>
      <c r="S1046" s="24"/>
      <c r="T1046" s="43"/>
      <c r="U1046" s="43"/>
      <c r="V1046" s="46" t="s">
        <v>788</v>
      </c>
      <c r="W1046" s="45"/>
    </row>
    <row r="1047" spans="1:23" ht="34.950000000000003" customHeight="1" x14ac:dyDescent="0.25">
      <c r="A1047" s="12">
        <f>SUBTOTAL(3,$B$2:B1047)</f>
        <v>1046</v>
      </c>
      <c r="B1047" s="42">
        <v>611</v>
      </c>
      <c r="C1047" s="43">
        <v>46238</v>
      </c>
      <c r="D1047" s="42"/>
      <c r="E1047" s="43"/>
      <c r="F1047" s="45" t="s">
        <v>785</v>
      </c>
      <c r="G1047" s="52" t="s">
        <v>786</v>
      </c>
      <c r="H1047" s="46" t="s">
        <v>16</v>
      </c>
      <c r="I1047" s="12" t="s">
        <v>1032</v>
      </c>
      <c r="J1047" s="43"/>
      <c r="K1047" s="48">
        <v>400</v>
      </c>
      <c r="L1047" s="62">
        <v>400</v>
      </c>
      <c r="M1047" s="48">
        <v>0</v>
      </c>
      <c r="N1047" s="48">
        <v>0</v>
      </c>
      <c r="O1047" s="50"/>
      <c r="P1047" s="50"/>
      <c r="Q1047" s="51">
        <f t="shared" si="46"/>
        <v>0</v>
      </c>
      <c r="R1047" s="48"/>
      <c r="S1047" s="24"/>
      <c r="T1047" s="43"/>
      <c r="U1047" s="43"/>
      <c r="V1047" s="46" t="s">
        <v>25</v>
      </c>
      <c r="W1047" s="45"/>
    </row>
    <row r="1048" spans="1:23" ht="34.950000000000003" customHeight="1" x14ac:dyDescent="0.25">
      <c r="A1048" s="12">
        <f>SUBTOTAL(3,$B$2:B1048)</f>
        <v>1047</v>
      </c>
      <c r="B1048" s="42">
        <v>612</v>
      </c>
      <c r="C1048" s="43">
        <v>46238</v>
      </c>
      <c r="D1048" s="42">
        <v>82608050001</v>
      </c>
      <c r="E1048" s="43">
        <v>46239</v>
      </c>
      <c r="F1048" s="45" t="s">
        <v>445</v>
      </c>
      <c r="G1048" s="52" t="s">
        <v>450</v>
      </c>
      <c r="H1048" s="46" t="s">
        <v>16</v>
      </c>
      <c r="I1048" s="12" t="s">
        <v>1033</v>
      </c>
      <c r="J1048" s="43">
        <v>46237</v>
      </c>
      <c r="K1048" s="48">
        <v>100</v>
      </c>
      <c r="L1048" s="49">
        <v>100</v>
      </c>
      <c r="M1048" s="48">
        <v>185600</v>
      </c>
      <c r="N1048" s="48">
        <v>1856</v>
      </c>
      <c r="O1048" s="50">
        <v>9</v>
      </c>
      <c r="P1048" s="50">
        <v>9</v>
      </c>
      <c r="Q1048" s="51">
        <f t="shared" si="46"/>
        <v>219008</v>
      </c>
      <c r="R1048" s="48"/>
      <c r="S1048" s="24" t="s">
        <v>1034</v>
      </c>
      <c r="T1048" s="43">
        <v>46238</v>
      </c>
      <c r="U1048" s="43" t="s">
        <v>1035</v>
      </c>
      <c r="V1048" s="46" t="s">
        <v>33</v>
      </c>
      <c r="W1048" s="45"/>
    </row>
    <row r="1049" spans="1:23" ht="34.950000000000003" customHeight="1" x14ac:dyDescent="0.25">
      <c r="A1049" s="12">
        <f>SUBTOTAL(3,$B$2:B1049)</f>
        <v>1048</v>
      </c>
      <c r="B1049" s="42">
        <v>613</v>
      </c>
      <c r="C1049" s="43">
        <v>46238</v>
      </c>
      <c r="D1049" s="42">
        <v>82608290001</v>
      </c>
      <c r="E1049" s="43">
        <v>46263</v>
      </c>
      <c r="F1049" s="45" t="s">
        <v>445</v>
      </c>
      <c r="G1049" s="52" t="s">
        <v>446</v>
      </c>
      <c r="H1049" s="46" t="s">
        <v>16</v>
      </c>
      <c r="I1049" s="12" t="s">
        <v>1033</v>
      </c>
      <c r="J1049" s="43">
        <v>46237</v>
      </c>
      <c r="K1049" s="48">
        <v>600</v>
      </c>
      <c r="L1049" s="49">
        <v>600</v>
      </c>
      <c r="M1049" s="48">
        <v>108000</v>
      </c>
      <c r="N1049" s="48">
        <v>180</v>
      </c>
      <c r="O1049" s="50">
        <v>9</v>
      </c>
      <c r="P1049" s="50">
        <v>9</v>
      </c>
      <c r="Q1049" s="51">
        <f t="shared" si="46"/>
        <v>127440</v>
      </c>
      <c r="R1049" s="48"/>
      <c r="S1049" s="24" t="s">
        <v>1036</v>
      </c>
      <c r="T1049" s="43">
        <v>46238</v>
      </c>
      <c r="U1049" s="43" t="s">
        <v>825</v>
      </c>
      <c r="V1049" s="46" t="s">
        <v>33</v>
      </c>
      <c r="W1049" s="45"/>
    </row>
    <row r="1050" spans="1:23" ht="34.950000000000003" customHeight="1" x14ac:dyDescent="0.25">
      <c r="A1050" s="12">
        <f>SUBTOTAL(3,$B$2:B1050)</f>
        <v>1049</v>
      </c>
      <c r="B1050" s="42">
        <v>614</v>
      </c>
      <c r="C1050" s="43">
        <v>46239</v>
      </c>
      <c r="D1050" s="42">
        <v>82608060001</v>
      </c>
      <c r="E1050" s="43">
        <v>46240</v>
      </c>
      <c r="F1050" s="45" t="s">
        <v>939</v>
      </c>
      <c r="G1050" s="52" t="s">
        <v>485</v>
      </c>
      <c r="H1050" s="46" t="s">
        <v>37</v>
      </c>
      <c r="I1050" s="12" t="s">
        <v>965</v>
      </c>
      <c r="J1050" s="43">
        <v>46129</v>
      </c>
      <c r="K1050" s="48">
        <v>5.5</v>
      </c>
      <c r="L1050" s="49">
        <v>6</v>
      </c>
      <c r="M1050" s="48">
        <v>26567</v>
      </c>
      <c r="N1050" s="48">
        <v>4830.51</v>
      </c>
      <c r="O1050" s="50">
        <v>9</v>
      </c>
      <c r="P1050" s="50">
        <v>9</v>
      </c>
      <c r="Q1050" s="51">
        <f t="shared" si="46"/>
        <v>31349.059999999998</v>
      </c>
      <c r="R1050" s="48"/>
      <c r="S1050" s="24">
        <v>261209003638</v>
      </c>
      <c r="T1050" s="43">
        <v>46239</v>
      </c>
      <c r="U1050" s="43" t="s">
        <v>950</v>
      </c>
      <c r="V1050" s="46" t="s">
        <v>33</v>
      </c>
      <c r="W1050" s="45"/>
    </row>
    <row r="1051" spans="1:23" ht="34.950000000000003" customHeight="1" x14ac:dyDescent="0.25">
      <c r="A1051" s="12">
        <f>SUBTOTAL(3,$B$2:B1051)</f>
        <v>1050</v>
      </c>
      <c r="B1051" s="42">
        <v>615</v>
      </c>
      <c r="C1051" s="43">
        <v>46239</v>
      </c>
      <c r="D1051" s="42">
        <v>82608060002</v>
      </c>
      <c r="E1051" s="43">
        <v>46240</v>
      </c>
      <c r="F1051" s="45" t="s">
        <v>939</v>
      </c>
      <c r="G1051" s="52" t="s">
        <v>485</v>
      </c>
      <c r="H1051" s="46" t="s">
        <v>37</v>
      </c>
      <c r="I1051" s="12" t="s">
        <v>965</v>
      </c>
      <c r="J1051" s="43">
        <v>46129</v>
      </c>
      <c r="K1051" s="48">
        <v>6</v>
      </c>
      <c r="L1051" s="49">
        <v>5.5</v>
      </c>
      <c r="M1051" s="48">
        <v>28983</v>
      </c>
      <c r="N1051" s="48">
        <v>4830.51</v>
      </c>
      <c r="O1051" s="50">
        <v>9</v>
      </c>
      <c r="P1051" s="50">
        <v>9</v>
      </c>
      <c r="Q1051" s="51">
        <f t="shared" si="46"/>
        <v>34199.939999999995</v>
      </c>
      <c r="R1051" s="48"/>
      <c r="S1051" s="24">
        <v>261209003644</v>
      </c>
      <c r="T1051" s="43">
        <v>46239</v>
      </c>
      <c r="U1051" s="43" t="s">
        <v>950</v>
      </c>
      <c r="V1051" s="46" t="s">
        <v>33</v>
      </c>
      <c r="W1051" s="45"/>
    </row>
    <row r="1052" spans="1:23" ht="34.950000000000003" customHeight="1" x14ac:dyDescent="0.25">
      <c r="A1052" s="12">
        <f>SUBTOTAL(3,$B$2:B1052)</f>
        <v>1051</v>
      </c>
      <c r="B1052" s="42">
        <v>616</v>
      </c>
      <c r="C1052" s="43">
        <v>46239</v>
      </c>
      <c r="D1052" s="42">
        <v>82608070001</v>
      </c>
      <c r="E1052" s="43">
        <v>46241</v>
      </c>
      <c r="F1052" s="45" t="s">
        <v>445</v>
      </c>
      <c r="G1052" s="52" t="s">
        <v>450</v>
      </c>
      <c r="H1052" s="46" t="s">
        <v>16</v>
      </c>
      <c r="I1052" s="12" t="s">
        <v>1033</v>
      </c>
      <c r="J1052" s="43">
        <v>46237</v>
      </c>
      <c r="K1052" s="48">
        <v>100</v>
      </c>
      <c r="L1052" s="49">
        <v>100</v>
      </c>
      <c r="M1052" s="48">
        <v>185600</v>
      </c>
      <c r="N1052" s="48">
        <v>1856</v>
      </c>
      <c r="O1052" s="50">
        <v>9</v>
      </c>
      <c r="P1052" s="50">
        <v>9</v>
      </c>
      <c r="Q1052" s="51">
        <f t="shared" si="46"/>
        <v>219008</v>
      </c>
      <c r="R1052" s="48"/>
      <c r="S1052" s="24" t="s">
        <v>1037</v>
      </c>
      <c r="T1052" s="43">
        <v>46239</v>
      </c>
      <c r="U1052" s="43" t="s">
        <v>1038</v>
      </c>
      <c r="V1052" s="46" t="s">
        <v>33</v>
      </c>
      <c r="W1052" s="45"/>
    </row>
    <row r="1053" spans="1:23" ht="34.950000000000003" customHeight="1" x14ac:dyDescent="0.25">
      <c r="A1053" s="12">
        <f>SUBTOTAL(3,$B$2:B1053)</f>
        <v>1052</v>
      </c>
      <c r="B1053" s="42">
        <v>616</v>
      </c>
      <c r="C1053" s="43">
        <v>46239</v>
      </c>
      <c r="D1053" s="42">
        <v>82608070001</v>
      </c>
      <c r="E1053" s="43">
        <v>46241</v>
      </c>
      <c r="F1053" s="45" t="s">
        <v>445</v>
      </c>
      <c r="G1053" s="52" t="s">
        <v>1039</v>
      </c>
      <c r="H1053" s="46" t="s">
        <v>16</v>
      </c>
      <c r="I1053" s="12" t="s">
        <v>1033</v>
      </c>
      <c r="J1053" s="43">
        <v>46237</v>
      </c>
      <c r="K1053" s="48">
        <v>200</v>
      </c>
      <c r="L1053" s="49">
        <v>200</v>
      </c>
      <c r="M1053" s="48">
        <v>27600</v>
      </c>
      <c r="N1053" s="48">
        <v>138</v>
      </c>
      <c r="O1053" s="50">
        <v>9</v>
      </c>
      <c r="P1053" s="50">
        <v>9</v>
      </c>
      <c r="Q1053" s="51">
        <f t="shared" si="46"/>
        <v>32568</v>
      </c>
      <c r="R1053" s="48"/>
      <c r="S1053" s="24" t="s">
        <v>1037</v>
      </c>
      <c r="T1053" s="43">
        <v>46239</v>
      </c>
      <c r="U1053" s="43" t="s">
        <v>1038</v>
      </c>
      <c r="V1053" s="46" t="s">
        <v>33</v>
      </c>
      <c r="W1053" s="45"/>
    </row>
    <row r="1054" spans="1:23" ht="34.950000000000003" customHeight="1" x14ac:dyDescent="0.25">
      <c r="A1054" s="12">
        <f>SUBTOTAL(3,$B$2:B1054)</f>
        <v>1053</v>
      </c>
      <c r="B1054" s="42">
        <v>616</v>
      </c>
      <c r="C1054" s="43">
        <v>46239</v>
      </c>
      <c r="D1054" s="42">
        <v>82608070001</v>
      </c>
      <c r="E1054" s="43">
        <v>46241</v>
      </c>
      <c r="F1054" s="45" t="s">
        <v>445</v>
      </c>
      <c r="G1054" s="52" t="s">
        <v>1040</v>
      </c>
      <c r="H1054" s="46" t="s">
        <v>16</v>
      </c>
      <c r="I1054" s="12" t="s">
        <v>1033</v>
      </c>
      <c r="J1054" s="43">
        <v>46237</v>
      </c>
      <c r="K1054" s="48">
        <v>400</v>
      </c>
      <c r="L1054" s="49">
        <v>400</v>
      </c>
      <c r="M1054" s="48">
        <v>60000</v>
      </c>
      <c r="N1054" s="48">
        <v>150</v>
      </c>
      <c r="O1054" s="50">
        <v>9</v>
      </c>
      <c r="P1054" s="50">
        <v>9</v>
      </c>
      <c r="Q1054" s="51">
        <f t="shared" si="46"/>
        <v>70800</v>
      </c>
      <c r="R1054" s="48"/>
      <c r="S1054" s="24" t="s">
        <v>1037</v>
      </c>
      <c r="T1054" s="43">
        <v>46239</v>
      </c>
      <c r="U1054" s="43" t="s">
        <v>1038</v>
      </c>
      <c r="V1054" s="46" t="s">
        <v>33</v>
      </c>
      <c r="W1054" s="45"/>
    </row>
    <row r="1055" spans="1:23" ht="34.950000000000003" customHeight="1" x14ac:dyDescent="0.25">
      <c r="A1055" s="12">
        <f>SUBTOTAL(3,$B$2:B1055)</f>
        <v>1054</v>
      </c>
      <c r="B1055" s="42">
        <v>616</v>
      </c>
      <c r="C1055" s="43">
        <v>46239</v>
      </c>
      <c r="D1055" s="42">
        <v>82608070001</v>
      </c>
      <c r="E1055" s="43">
        <v>46241</v>
      </c>
      <c r="F1055" s="45" t="s">
        <v>445</v>
      </c>
      <c r="G1055" s="52" t="s">
        <v>471</v>
      </c>
      <c r="H1055" s="46" t="s">
        <v>94</v>
      </c>
      <c r="I1055" s="12" t="s">
        <v>1033</v>
      </c>
      <c r="J1055" s="43">
        <v>46237</v>
      </c>
      <c r="K1055" s="48">
        <v>100</v>
      </c>
      <c r="L1055" s="49">
        <v>100</v>
      </c>
      <c r="M1055" s="48">
        <v>8500</v>
      </c>
      <c r="N1055" s="48">
        <v>85</v>
      </c>
      <c r="O1055" s="50">
        <v>9</v>
      </c>
      <c r="P1055" s="50">
        <v>9</v>
      </c>
      <c r="Q1055" s="51">
        <f t="shared" si="46"/>
        <v>10030</v>
      </c>
      <c r="R1055" s="48"/>
      <c r="S1055" s="24" t="s">
        <v>1037</v>
      </c>
      <c r="T1055" s="43">
        <v>46239</v>
      </c>
      <c r="U1055" s="43" t="s">
        <v>1038</v>
      </c>
      <c r="V1055" s="46" t="s">
        <v>33</v>
      </c>
      <c r="W1055" s="45"/>
    </row>
    <row r="1056" spans="1:23" ht="34.950000000000003" customHeight="1" x14ac:dyDescent="0.25">
      <c r="A1056" s="12">
        <f>SUBTOTAL(3,$B$2:B1056)</f>
        <v>1055</v>
      </c>
      <c r="B1056" s="42">
        <v>616</v>
      </c>
      <c r="C1056" s="43">
        <v>46239</v>
      </c>
      <c r="D1056" s="42">
        <v>82608070001</v>
      </c>
      <c r="E1056" s="43">
        <v>46241</v>
      </c>
      <c r="F1056" s="45" t="s">
        <v>445</v>
      </c>
      <c r="G1056" s="52" t="s">
        <v>461</v>
      </c>
      <c r="H1056" s="46" t="s">
        <v>94</v>
      </c>
      <c r="I1056" s="12" t="s">
        <v>1033</v>
      </c>
      <c r="J1056" s="43">
        <v>46237</v>
      </c>
      <c r="K1056" s="48">
        <v>100</v>
      </c>
      <c r="L1056" s="49">
        <v>100</v>
      </c>
      <c r="M1056" s="48">
        <v>8500</v>
      </c>
      <c r="N1056" s="48">
        <v>85</v>
      </c>
      <c r="O1056" s="50">
        <v>9</v>
      </c>
      <c r="P1056" s="50">
        <v>9</v>
      </c>
      <c r="Q1056" s="51">
        <f t="shared" si="46"/>
        <v>10030</v>
      </c>
      <c r="R1056" s="48"/>
      <c r="S1056" s="24" t="s">
        <v>1037</v>
      </c>
      <c r="T1056" s="43">
        <v>46239</v>
      </c>
      <c r="U1056" s="43" t="s">
        <v>1038</v>
      </c>
      <c r="V1056" s="46" t="s">
        <v>33</v>
      </c>
      <c r="W1056" s="45"/>
    </row>
    <row r="1057" spans="1:23" ht="34.950000000000003" customHeight="1" x14ac:dyDescent="0.25">
      <c r="A1057" s="12">
        <f>SUBTOTAL(3,$B$2:B1057)</f>
        <v>1056</v>
      </c>
      <c r="B1057" s="42">
        <v>617</v>
      </c>
      <c r="C1057" s="43">
        <v>46241</v>
      </c>
      <c r="D1057" s="42"/>
      <c r="E1057" s="43"/>
      <c r="F1057" s="45" t="s">
        <v>785</v>
      </c>
      <c r="G1057" s="52" t="s">
        <v>789</v>
      </c>
      <c r="H1057" s="46" t="s">
        <v>16</v>
      </c>
      <c r="I1057" s="12" t="s">
        <v>1032</v>
      </c>
      <c r="J1057" s="43"/>
      <c r="K1057" s="48">
        <v>50</v>
      </c>
      <c r="L1057" s="62">
        <v>50</v>
      </c>
      <c r="M1057" s="48">
        <v>0</v>
      </c>
      <c r="N1057" s="48">
        <v>0</v>
      </c>
      <c r="O1057" s="50"/>
      <c r="P1057" s="50"/>
      <c r="Q1057" s="51">
        <f t="shared" si="46"/>
        <v>0</v>
      </c>
      <c r="R1057" s="48"/>
      <c r="S1057" s="24" t="s">
        <v>1041</v>
      </c>
      <c r="T1057" s="43">
        <v>46241</v>
      </c>
      <c r="U1057" s="43" t="s">
        <v>1042</v>
      </c>
      <c r="V1057" s="46" t="s">
        <v>788</v>
      </c>
      <c r="W1057" s="45"/>
    </row>
    <row r="1058" spans="1:23" ht="34.950000000000003" customHeight="1" x14ac:dyDescent="0.25">
      <c r="A1058" s="12">
        <f>SUBTOTAL(3,$B$2:B1058)</f>
        <v>1057</v>
      </c>
      <c r="B1058" s="42">
        <v>617</v>
      </c>
      <c r="C1058" s="43">
        <v>46241</v>
      </c>
      <c r="D1058" s="42"/>
      <c r="E1058" s="43"/>
      <c r="F1058" s="45" t="s">
        <v>785</v>
      </c>
      <c r="G1058" s="52" t="s">
        <v>398</v>
      </c>
      <c r="H1058" s="46" t="s">
        <v>16</v>
      </c>
      <c r="I1058" s="12" t="s">
        <v>1032</v>
      </c>
      <c r="J1058" s="43"/>
      <c r="K1058" s="48">
        <v>120</v>
      </c>
      <c r="L1058" s="62">
        <v>120</v>
      </c>
      <c r="M1058" s="48">
        <v>0</v>
      </c>
      <c r="N1058" s="48">
        <v>0</v>
      </c>
      <c r="O1058" s="50"/>
      <c r="P1058" s="50"/>
      <c r="Q1058" s="51">
        <f t="shared" si="46"/>
        <v>0</v>
      </c>
      <c r="R1058" s="48"/>
      <c r="S1058" s="24" t="s">
        <v>1041</v>
      </c>
      <c r="T1058" s="43">
        <v>46241</v>
      </c>
      <c r="U1058" s="43" t="s">
        <v>1042</v>
      </c>
      <c r="V1058" s="46" t="s">
        <v>788</v>
      </c>
      <c r="W1058" s="45"/>
    </row>
    <row r="1059" spans="1:23" ht="34.950000000000003" customHeight="1" x14ac:dyDescent="0.25">
      <c r="A1059" s="12">
        <f>SUBTOTAL(3,$B$2:B1059)</f>
        <v>1058</v>
      </c>
      <c r="B1059" s="42">
        <v>617</v>
      </c>
      <c r="C1059" s="43">
        <v>46241</v>
      </c>
      <c r="D1059" s="42"/>
      <c r="E1059" s="43"/>
      <c r="F1059" s="45" t="s">
        <v>785</v>
      </c>
      <c r="G1059" s="52" t="s">
        <v>792</v>
      </c>
      <c r="H1059" s="46" t="s">
        <v>16</v>
      </c>
      <c r="I1059" s="12" t="s">
        <v>1032</v>
      </c>
      <c r="J1059" s="43"/>
      <c r="K1059" s="48">
        <v>100</v>
      </c>
      <c r="L1059" s="62">
        <v>100</v>
      </c>
      <c r="M1059" s="48">
        <v>0</v>
      </c>
      <c r="N1059" s="48">
        <v>0</v>
      </c>
      <c r="O1059" s="50"/>
      <c r="P1059" s="50"/>
      <c r="Q1059" s="51">
        <f t="shared" si="46"/>
        <v>0</v>
      </c>
      <c r="R1059" s="48"/>
      <c r="S1059" s="24" t="s">
        <v>1041</v>
      </c>
      <c r="T1059" s="43">
        <v>46241</v>
      </c>
      <c r="U1059" s="43" t="s">
        <v>1042</v>
      </c>
      <c r="V1059" s="46" t="s">
        <v>788</v>
      </c>
      <c r="W1059" s="45"/>
    </row>
    <row r="1060" spans="1:23" ht="34.950000000000003" customHeight="1" x14ac:dyDescent="0.25">
      <c r="A1060" s="12">
        <f>SUBTOTAL(3,$B$2:B1060)</f>
        <v>1059</v>
      </c>
      <c r="B1060" s="42">
        <v>618</v>
      </c>
      <c r="C1060" s="43">
        <v>46241</v>
      </c>
      <c r="D1060" s="42"/>
      <c r="E1060" s="43"/>
      <c r="F1060" s="45" t="s">
        <v>785</v>
      </c>
      <c r="G1060" s="52" t="s">
        <v>398</v>
      </c>
      <c r="H1060" s="46" t="s">
        <v>16</v>
      </c>
      <c r="I1060" s="12" t="s">
        <v>1032</v>
      </c>
      <c r="J1060" s="43"/>
      <c r="K1060" s="48">
        <v>70</v>
      </c>
      <c r="L1060" s="62">
        <v>70</v>
      </c>
      <c r="M1060" s="48">
        <v>0</v>
      </c>
      <c r="N1060" s="48">
        <v>0</v>
      </c>
      <c r="O1060" s="50">
        <v>0</v>
      </c>
      <c r="P1060" s="50"/>
      <c r="Q1060" s="51">
        <f t="shared" si="46"/>
        <v>0</v>
      </c>
      <c r="R1060" s="48"/>
      <c r="S1060" s="24" t="s">
        <v>1043</v>
      </c>
      <c r="T1060" s="43">
        <v>46241</v>
      </c>
      <c r="U1060" s="43" t="s">
        <v>1042</v>
      </c>
      <c r="V1060" s="46" t="s">
        <v>788</v>
      </c>
      <c r="W1060" s="45"/>
    </row>
    <row r="1061" spans="1:23" ht="34.950000000000003" customHeight="1" x14ac:dyDescent="0.25">
      <c r="A1061" s="12">
        <f>SUBTOTAL(3,$B$2:B1061)</f>
        <v>1060</v>
      </c>
      <c r="B1061" s="42">
        <v>618</v>
      </c>
      <c r="C1061" s="43">
        <v>46241</v>
      </c>
      <c r="D1061" s="42"/>
      <c r="E1061" s="43"/>
      <c r="F1061" s="45" t="s">
        <v>785</v>
      </c>
      <c r="G1061" s="52" t="s">
        <v>789</v>
      </c>
      <c r="H1061" s="46" t="s">
        <v>16</v>
      </c>
      <c r="I1061" s="12" t="s">
        <v>1032</v>
      </c>
      <c r="J1061" s="43"/>
      <c r="K1061" s="48">
        <v>50</v>
      </c>
      <c r="L1061" s="62">
        <v>50</v>
      </c>
      <c r="M1061" s="48">
        <v>0</v>
      </c>
      <c r="N1061" s="48">
        <v>0</v>
      </c>
      <c r="O1061" s="50"/>
      <c r="P1061" s="50"/>
      <c r="Q1061" s="51">
        <f t="shared" si="46"/>
        <v>0</v>
      </c>
      <c r="R1061" s="48"/>
      <c r="S1061" s="24" t="s">
        <v>1043</v>
      </c>
      <c r="T1061" s="43">
        <v>46241</v>
      </c>
      <c r="U1061" s="43" t="s">
        <v>1042</v>
      </c>
      <c r="V1061" s="46" t="s">
        <v>788</v>
      </c>
      <c r="W1061" s="45"/>
    </row>
    <row r="1062" spans="1:23" ht="34.950000000000003" customHeight="1" x14ac:dyDescent="0.25">
      <c r="A1062" s="12">
        <f>SUBTOTAL(3,$B$2:B1062)</f>
        <v>1061</v>
      </c>
      <c r="B1062" s="42">
        <v>619</v>
      </c>
      <c r="C1062" s="43">
        <v>46242</v>
      </c>
      <c r="D1062" s="42"/>
      <c r="E1062" s="43"/>
      <c r="F1062" s="45" t="s">
        <v>785</v>
      </c>
      <c r="G1062" s="52" t="s">
        <v>395</v>
      </c>
      <c r="H1062" s="46" t="s">
        <v>16</v>
      </c>
      <c r="I1062" s="12" t="s">
        <v>1032</v>
      </c>
      <c r="J1062" s="43"/>
      <c r="K1062" s="48">
        <v>150</v>
      </c>
      <c r="L1062" s="62">
        <v>150</v>
      </c>
      <c r="M1062" s="48">
        <v>0</v>
      </c>
      <c r="N1062" s="48">
        <v>0</v>
      </c>
      <c r="O1062" s="50"/>
      <c r="P1062" s="50"/>
      <c r="Q1062" s="51">
        <f t="shared" si="46"/>
        <v>0</v>
      </c>
      <c r="R1062" s="48"/>
      <c r="S1062" s="24" t="s">
        <v>1044</v>
      </c>
      <c r="T1062" s="43">
        <v>46242</v>
      </c>
      <c r="U1062" s="43" t="s">
        <v>1045</v>
      </c>
      <c r="V1062" s="46" t="s">
        <v>788</v>
      </c>
      <c r="W1062" s="45"/>
    </row>
    <row r="1063" spans="1:23" ht="34.950000000000003" customHeight="1" x14ac:dyDescent="0.25">
      <c r="A1063" s="12">
        <f>SUBTOTAL(3,$B$2:B1063)</f>
        <v>1062</v>
      </c>
      <c r="B1063" s="42">
        <v>620</v>
      </c>
      <c r="C1063" s="43">
        <v>46244</v>
      </c>
      <c r="D1063" s="42"/>
      <c r="E1063" s="43"/>
      <c r="F1063" s="45" t="s">
        <v>1029</v>
      </c>
      <c r="G1063" s="52" t="s">
        <v>1046</v>
      </c>
      <c r="H1063" s="46" t="s">
        <v>23</v>
      </c>
      <c r="I1063" s="12"/>
      <c r="J1063" s="43"/>
      <c r="K1063" s="48">
        <v>70</v>
      </c>
      <c r="L1063" s="62">
        <v>70</v>
      </c>
      <c r="M1063" s="48">
        <v>14210</v>
      </c>
      <c r="N1063" s="48">
        <v>203</v>
      </c>
      <c r="O1063" s="50"/>
      <c r="P1063" s="50"/>
      <c r="Q1063" s="51">
        <f t="shared" si="46"/>
        <v>14210</v>
      </c>
      <c r="R1063" s="48"/>
      <c r="S1063" s="24">
        <v>32608100724</v>
      </c>
      <c r="T1063" s="43">
        <v>46244</v>
      </c>
      <c r="U1063" s="43" t="s">
        <v>1047</v>
      </c>
      <c r="V1063" s="46" t="s">
        <v>25</v>
      </c>
      <c r="W1063" s="45"/>
    </row>
    <row r="1064" spans="1:23" ht="34.950000000000003" customHeight="1" x14ac:dyDescent="0.25">
      <c r="A1064" s="12">
        <f>SUBTOTAL(3,$B$2:B1064)</f>
        <v>1063</v>
      </c>
      <c r="B1064" s="42">
        <v>620</v>
      </c>
      <c r="C1064" s="43">
        <v>46244</v>
      </c>
      <c r="D1064" s="42"/>
      <c r="E1064" s="43"/>
      <c r="F1064" s="45" t="s">
        <v>1029</v>
      </c>
      <c r="G1064" s="52" t="s">
        <v>1048</v>
      </c>
      <c r="H1064" s="46" t="s">
        <v>16</v>
      </c>
      <c r="I1064" s="12"/>
      <c r="J1064" s="43"/>
      <c r="K1064" s="48">
        <v>4</v>
      </c>
      <c r="L1064" s="62">
        <v>4</v>
      </c>
      <c r="M1064" s="48">
        <v>4000</v>
      </c>
      <c r="N1064" s="48">
        <v>1000</v>
      </c>
      <c r="O1064" s="50"/>
      <c r="P1064" s="50"/>
      <c r="Q1064" s="51">
        <f t="shared" si="46"/>
        <v>4000</v>
      </c>
      <c r="R1064" s="48"/>
      <c r="S1064" s="24">
        <v>32608100724</v>
      </c>
      <c r="T1064" s="43">
        <v>46244</v>
      </c>
      <c r="U1064" s="43" t="s">
        <v>1047</v>
      </c>
      <c r="V1064" s="46" t="s">
        <v>25</v>
      </c>
      <c r="W1064" s="45"/>
    </row>
    <row r="1065" spans="1:23" ht="34.950000000000003" customHeight="1" x14ac:dyDescent="0.25">
      <c r="A1065" s="12">
        <f>SUBTOTAL(3,$B$2:B1065)</f>
        <v>1064</v>
      </c>
      <c r="B1065" s="42">
        <v>620</v>
      </c>
      <c r="C1065" s="43">
        <v>46244</v>
      </c>
      <c r="D1065" s="42"/>
      <c r="E1065" s="43"/>
      <c r="F1065" s="45" t="s">
        <v>1029</v>
      </c>
      <c r="G1065" s="52" t="s">
        <v>1049</v>
      </c>
      <c r="H1065" s="46" t="s">
        <v>16</v>
      </c>
      <c r="I1065" s="12"/>
      <c r="J1065" s="43"/>
      <c r="K1065" s="48">
        <v>2</v>
      </c>
      <c r="L1065" s="62">
        <v>2</v>
      </c>
      <c r="M1065" s="48">
        <v>0</v>
      </c>
      <c r="N1065" s="48">
        <v>0</v>
      </c>
      <c r="O1065" s="50"/>
      <c r="P1065" s="50"/>
      <c r="Q1065" s="51">
        <f t="shared" si="46"/>
        <v>0</v>
      </c>
      <c r="R1065" s="48"/>
      <c r="S1065" s="24">
        <v>32608100724</v>
      </c>
      <c r="T1065" s="43">
        <v>46244</v>
      </c>
      <c r="U1065" s="43" t="s">
        <v>1047</v>
      </c>
      <c r="V1065" s="46" t="s">
        <v>25</v>
      </c>
      <c r="W1065" s="45"/>
    </row>
    <row r="1066" spans="1:23" ht="34.950000000000003" customHeight="1" x14ac:dyDescent="0.25">
      <c r="A1066" s="12">
        <f>SUBTOTAL(3,$B$2:B1066)</f>
        <v>1065</v>
      </c>
      <c r="B1066" s="42">
        <v>617</v>
      </c>
      <c r="C1066" s="43">
        <v>46241</v>
      </c>
      <c r="D1066" s="42"/>
      <c r="E1066" s="43">
        <v>46241</v>
      </c>
      <c r="F1066" s="45" t="s">
        <v>785</v>
      </c>
      <c r="G1066" s="52" t="s">
        <v>789</v>
      </c>
      <c r="H1066" s="46" t="s">
        <v>16</v>
      </c>
      <c r="I1066" s="12"/>
      <c r="J1066" s="43"/>
      <c r="K1066" s="48">
        <v>50</v>
      </c>
      <c r="L1066" s="62">
        <v>50</v>
      </c>
      <c r="M1066" s="48">
        <v>0</v>
      </c>
      <c r="N1066" s="48">
        <v>0</v>
      </c>
      <c r="O1066" s="50"/>
      <c r="P1066" s="50"/>
      <c r="Q1066" s="51">
        <f t="shared" si="46"/>
        <v>0</v>
      </c>
      <c r="R1066" s="48"/>
      <c r="S1066" s="24" t="s">
        <v>1050</v>
      </c>
      <c r="T1066" s="43">
        <v>46241</v>
      </c>
      <c r="U1066" s="43" t="s">
        <v>1042</v>
      </c>
      <c r="V1066" s="46" t="s">
        <v>788</v>
      </c>
      <c r="W1066" s="45"/>
    </row>
    <row r="1067" spans="1:23" ht="34.950000000000003" customHeight="1" x14ac:dyDescent="0.25">
      <c r="A1067" s="12">
        <f>SUBTOTAL(3,$B$2:B1067)</f>
        <v>1066</v>
      </c>
      <c r="B1067" s="42">
        <v>617</v>
      </c>
      <c r="C1067" s="43">
        <v>46241</v>
      </c>
      <c r="D1067" s="42"/>
      <c r="E1067" s="43">
        <v>46241</v>
      </c>
      <c r="F1067" s="45" t="s">
        <v>785</v>
      </c>
      <c r="G1067" s="52" t="s">
        <v>398</v>
      </c>
      <c r="H1067" s="46" t="s">
        <v>16</v>
      </c>
      <c r="I1067" s="12"/>
      <c r="J1067" s="43"/>
      <c r="K1067" s="48">
        <v>120</v>
      </c>
      <c r="L1067" s="62">
        <v>120</v>
      </c>
      <c r="M1067" s="48">
        <v>0</v>
      </c>
      <c r="N1067" s="48">
        <v>0</v>
      </c>
      <c r="O1067" s="50"/>
      <c r="P1067" s="50"/>
      <c r="Q1067" s="51">
        <f t="shared" si="46"/>
        <v>0</v>
      </c>
      <c r="R1067" s="48"/>
      <c r="S1067" s="24" t="s">
        <v>1050</v>
      </c>
      <c r="T1067" s="43">
        <v>46241</v>
      </c>
      <c r="U1067" s="43" t="s">
        <v>1042</v>
      </c>
      <c r="V1067" s="46" t="s">
        <v>788</v>
      </c>
      <c r="W1067" s="45"/>
    </row>
    <row r="1068" spans="1:23" ht="34.950000000000003" customHeight="1" x14ac:dyDescent="0.25">
      <c r="A1068" s="12">
        <f>SUBTOTAL(3,$B$2:B1068)</f>
        <v>1067</v>
      </c>
      <c r="B1068" s="42">
        <v>617</v>
      </c>
      <c r="C1068" s="43">
        <v>46241</v>
      </c>
      <c r="D1068" s="42"/>
      <c r="E1068" s="43">
        <v>46241</v>
      </c>
      <c r="F1068" s="45" t="s">
        <v>785</v>
      </c>
      <c r="G1068" s="52" t="s">
        <v>792</v>
      </c>
      <c r="H1068" s="46" t="s">
        <v>16</v>
      </c>
      <c r="I1068" s="12"/>
      <c r="J1068" s="43"/>
      <c r="K1068" s="48">
        <v>100</v>
      </c>
      <c r="L1068" s="62">
        <v>100</v>
      </c>
      <c r="M1068" s="48">
        <v>0</v>
      </c>
      <c r="N1068" s="48">
        <v>0</v>
      </c>
      <c r="O1068" s="50"/>
      <c r="P1068" s="50"/>
      <c r="Q1068" s="51">
        <f t="shared" si="46"/>
        <v>0</v>
      </c>
      <c r="R1068" s="48"/>
      <c r="S1068" s="24" t="s">
        <v>1050</v>
      </c>
      <c r="T1068" s="43">
        <v>46241</v>
      </c>
      <c r="U1068" s="43" t="s">
        <v>1042</v>
      </c>
      <c r="V1068" s="46" t="s">
        <v>788</v>
      </c>
      <c r="W1068" s="45"/>
    </row>
    <row r="1069" spans="1:23" ht="34.950000000000003" customHeight="1" x14ac:dyDescent="0.25">
      <c r="A1069" s="12">
        <f>SUBTOTAL(3,$B$2:B1069)</f>
        <v>1068</v>
      </c>
      <c r="B1069" s="42">
        <v>618</v>
      </c>
      <c r="C1069" s="43">
        <v>46241</v>
      </c>
      <c r="D1069" s="42"/>
      <c r="E1069" s="43">
        <v>46241</v>
      </c>
      <c r="F1069" s="45" t="s">
        <v>785</v>
      </c>
      <c r="G1069" s="52" t="s">
        <v>398</v>
      </c>
      <c r="H1069" s="46" t="s">
        <v>16</v>
      </c>
      <c r="I1069" s="12"/>
      <c r="J1069" s="43"/>
      <c r="K1069" s="48">
        <v>70</v>
      </c>
      <c r="L1069" s="62">
        <v>70</v>
      </c>
      <c r="M1069" s="48">
        <v>0</v>
      </c>
      <c r="N1069" s="48">
        <v>0</v>
      </c>
      <c r="O1069" s="50"/>
      <c r="P1069" s="50"/>
      <c r="Q1069" s="51">
        <f t="shared" si="46"/>
        <v>0</v>
      </c>
      <c r="R1069" s="48"/>
      <c r="S1069" s="24" t="s">
        <v>1051</v>
      </c>
      <c r="T1069" s="43">
        <v>46241</v>
      </c>
      <c r="U1069" s="43" t="s">
        <v>1042</v>
      </c>
      <c r="V1069" s="46" t="s">
        <v>788</v>
      </c>
      <c r="W1069" s="45"/>
    </row>
    <row r="1070" spans="1:23" ht="34.950000000000003" customHeight="1" x14ac:dyDescent="0.25">
      <c r="A1070" s="12">
        <f>SUBTOTAL(3,$B$2:B1070)</f>
        <v>1069</v>
      </c>
      <c r="B1070" s="42">
        <v>618</v>
      </c>
      <c r="C1070" s="43">
        <v>46241</v>
      </c>
      <c r="D1070" s="42"/>
      <c r="E1070" s="43">
        <v>46241</v>
      </c>
      <c r="F1070" s="45" t="s">
        <v>785</v>
      </c>
      <c r="G1070" s="52" t="s">
        <v>789</v>
      </c>
      <c r="H1070" s="46" t="s">
        <v>16</v>
      </c>
      <c r="I1070" s="12"/>
      <c r="J1070" s="43"/>
      <c r="K1070" s="48">
        <v>50</v>
      </c>
      <c r="L1070" s="62">
        <v>50</v>
      </c>
      <c r="M1070" s="48">
        <v>0</v>
      </c>
      <c r="N1070" s="48">
        <v>0</v>
      </c>
      <c r="O1070" s="50"/>
      <c r="P1070" s="50"/>
      <c r="Q1070" s="51">
        <f t="shared" si="46"/>
        <v>0</v>
      </c>
      <c r="R1070" s="48"/>
      <c r="S1070" s="24" t="s">
        <v>1051</v>
      </c>
      <c r="T1070" s="43">
        <v>46241</v>
      </c>
      <c r="U1070" s="43" t="s">
        <v>1042</v>
      </c>
      <c r="V1070" s="46" t="s">
        <v>788</v>
      </c>
      <c r="W1070" s="45"/>
    </row>
    <row r="1071" spans="1:23" ht="34.950000000000003" customHeight="1" x14ac:dyDescent="0.25">
      <c r="A1071" s="12">
        <f>SUBTOTAL(3,$B$2:B1071)</f>
        <v>1070</v>
      </c>
      <c r="B1071" s="42">
        <v>619</v>
      </c>
      <c r="C1071" s="43">
        <v>46242</v>
      </c>
      <c r="D1071" s="42"/>
      <c r="E1071" s="43">
        <v>46242</v>
      </c>
      <c r="F1071" s="45" t="s">
        <v>785</v>
      </c>
      <c r="G1071" s="52" t="s">
        <v>395</v>
      </c>
      <c r="H1071" s="46" t="s">
        <v>16</v>
      </c>
      <c r="I1071" s="12"/>
      <c r="J1071" s="43"/>
      <c r="K1071" s="48">
        <v>150</v>
      </c>
      <c r="L1071" s="62">
        <v>150</v>
      </c>
      <c r="M1071" s="48">
        <v>0</v>
      </c>
      <c r="N1071" s="48">
        <v>0</v>
      </c>
      <c r="O1071" s="50"/>
      <c r="P1071" s="50"/>
      <c r="Q1071" s="51">
        <f t="shared" si="46"/>
        <v>0</v>
      </c>
      <c r="R1071" s="48"/>
      <c r="S1071" s="24" t="s">
        <v>1052</v>
      </c>
      <c r="T1071" s="43">
        <v>46242</v>
      </c>
      <c r="U1071" s="43" t="s">
        <v>1045</v>
      </c>
      <c r="V1071" s="46" t="s">
        <v>788</v>
      </c>
      <c r="W1071" s="45"/>
    </row>
    <row r="1072" spans="1:23" ht="34.950000000000003" customHeight="1" x14ac:dyDescent="0.25">
      <c r="A1072" s="12">
        <f>SUBTOTAL(3,$B$2:B1072)</f>
        <v>1071</v>
      </c>
      <c r="B1072" s="42">
        <v>620</v>
      </c>
      <c r="C1072" s="43">
        <v>46244</v>
      </c>
      <c r="D1072" s="42"/>
      <c r="E1072" s="43">
        <v>46244</v>
      </c>
      <c r="F1072" s="45" t="s">
        <v>1029</v>
      </c>
      <c r="G1072" s="52" t="s">
        <v>1046</v>
      </c>
      <c r="H1072" s="46" t="s">
        <v>23</v>
      </c>
      <c r="I1072" s="12"/>
      <c r="J1072" s="43"/>
      <c r="K1072" s="48">
        <v>70</v>
      </c>
      <c r="L1072" s="62">
        <v>70</v>
      </c>
      <c r="M1072" s="48">
        <v>14210</v>
      </c>
      <c r="N1072" s="48">
        <v>203</v>
      </c>
      <c r="O1072" s="50">
        <v>0</v>
      </c>
      <c r="P1072" s="50">
        <v>0</v>
      </c>
      <c r="Q1072" s="51">
        <f t="shared" si="46"/>
        <v>14210</v>
      </c>
      <c r="R1072" s="48"/>
      <c r="S1072" s="24">
        <v>32608100724</v>
      </c>
      <c r="T1072" s="43">
        <v>46244</v>
      </c>
      <c r="U1072" s="43" t="s">
        <v>1047</v>
      </c>
      <c r="V1072" s="46" t="s">
        <v>25</v>
      </c>
      <c r="W1072" s="45"/>
    </row>
    <row r="1073" spans="1:23" ht="34.950000000000003" customHeight="1" x14ac:dyDescent="0.25">
      <c r="A1073" s="12">
        <f>SUBTOTAL(3,$B$2:B1073)</f>
        <v>1072</v>
      </c>
      <c r="B1073" s="42">
        <v>620</v>
      </c>
      <c r="C1073" s="43">
        <v>46244</v>
      </c>
      <c r="D1073" s="42"/>
      <c r="E1073" s="43">
        <v>46244</v>
      </c>
      <c r="F1073" s="45" t="s">
        <v>1029</v>
      </c>
      <c r="G1073" s="52" t="s">
        <v>1048</v>
      </c>
      <c r="H1073" s="46" t="s">
        <v>16</v>
      </c>
      <c r="I1073" s="12"/>
      <c r="J1073" s="43"/>
      <c r="K1073" s="48">
        <v>4</v>
      </c>
      <c r="L1073" s="62">
        <v>4</v>
      </c>
      <c r="M1073" s="48">
        <v>4000</v>
      </c>
      <c r="N1073" s="48">
        <v>1000</v>
      </c>
      <c r="O1073" s="50"/>
      <c r="P1073" s="50"/>
      <c r="Q1073" s="51">
        <f t="shared" si="46"/>
        <v>4000</v>
      </c>
      <c r="R1073" s="48"/>
      <c r="S1073" s="24">
        <v>32608100724</v>
      </c>
      <c r="T1073" s="43">
        <v>46244</v>
      </c>
      <c r="U1073" s="43" t="s">
        <v>1047</v>
      </c>
      <c r="V1073" s="46" t="s">
        <v>25</v>
      </c>
      <c r="W1073" s="45"/>
    </row>
    <row r="1074" spans="1:23" ht="34.950000000000003" customHeight="1" x14ac:dyDescent="0.25">
      <c r="A1074" s="12">
        <f>SUBTOTAL(3,$B$2:B1074)</f>
        <v>1073</v>
      </c>
      <c r="B1074" s="42">
        <v>620</v>
      </c>
      <c r="C1074" s="43">
        <v>46244</v>
      </c>
      <c r="D1074" s="42" t="s">
        <v>1053</v>
      </c>
      <c r="E1074" s="43">
        <v>46244</v>
      </c>
      <c r="F1074" s="45" t="s">
        <v>1029</v>
      </c>
      <c r="G1074" s="52" t="s">
        <v>1049</v>
      </c>
      <c r="H1074" s="46" t="s">
        <v>16</v>
      </c>
      <c r="I1074" s="12"/>
      <c r="J1074" s="43"/>
      <c r="K1074" s="48">
        <v>2</v>
      </c>
      <c r="L1074" s="62">
        <v>2</v>
      </c>
      <c r="M1074" s="48">
        <v>0</v>
      </c>
      <c r="N1074" s="48">
        <v>0</v>
      </c>
      <c r="O1074" s="50"/>
      <c r="P1074" s="50"/>
      <c r="Q1074" s="51">
        <f t="shared" si="46"/>
        <v>0</v>
      </c>
      <c r="R1074" s="48"/>
      <c r="S1074" s="24">
        <v>32608100724</v>
      </c>
      <c r="T1074" s="43">
        <v>46244</v>
      </c>
      <c r="U1074" s="43" t="s">
        <v>1047</v>
      </c>
      <c r="V1074" s="46" t="s">
        <v>25</v>
      </c>
      <c r="W1074" s="45"/>
    </row>
    <row r="1075" spans="1:23" ht="34.950000000000003" customHeight="1" x14ac:dyDescent="0.25">
      <c r="A1075" s="12">
        <f>SUBTOTAL(3,$B$2:B1075)</f>
        <v>1074</v>
      </c>
      <c r="B1075" s="42">
        <v>621</v>
      </c>
      <c r="C1075" s="43">
        <v>46245</v>
      </c>
      <c r="D1075" s="42"/>
      <c r="E1075" s="43">
        <v>46245</v>
      </c>
      <c r="F1075" s="45" t="s">
        <v>785</v>
      </c>
      <c r="G1075" s="52" t="s">
        <v>398</v>
      </c>
      <c r="H1075" s="46" t="s">
        <v>16</v>
      </c>
      <c r="I1075" s="12"/>
      <c r="J1075" s="43"/>
      <c r="K1075" s="48">
        <v>90</v>
      </c>
      <c r="L1075" s="62">
        <v>90</v>
      </c>
      <c r="M1075" s="48">
        <v>0</v>
      </c>
      <c r="N1075" s="48">
        <v>0</v>
      </c>
      <c r="O1075" s="50"/>
      <c r="P1075" s="50"/>
      <c r="Q1075" s="51">
        <f t="shared" si="46"/>
        <v>0</v>
      </c>
      <c r="R1075" s="48"/>
      <c r="S1075" s="24"/>
      <c r="T1075" s="43">
        <v>46245</v>
      </c>
      <c r="U1075" s="43" t="s">
        <v>1042</v>
      </c>
      <c r="V1075" s="46" t="s">
        <v>788</v>
      </c>
      <c r="W1075" s="45"/>
    </row>
    <row r="1076" spans="1:23" ht="34.950000000000003" customHeight="1" x14ac:dyDescent="0.25">
      <c r="A1076" s="12">
        <f>SUBTOTAL(3,$B$2:B1076)</f>
        <v>1075</v>
      </c>
      <c r="B1076" s="42">
        <v>621</v>
      </c>
      <c r="C1076" s="43">
        <v>46245</v>
      </c>
      <c r="D1076" s="42"/>
      <c r="E1076" s="43">
        <v>46245</v>
      </c>
      <c r="F1076" s="45" t="s">
        <v>785</v>
      </c>
      <c r="G1076" s="52" t="s">
        <v>792</v>
      </c>
      <c r="H1076" s="46" t="s">
        <v>16</v>
      </c>
      <c r="I1076" s="12"/>
      <c r="J1076" s="43"/>
      <c r="K1076" s="48">
        <v>100</v>
      </c>
      <c r="L1076" s="62">
        <v>100</v>
      </c>
      <c r="M1076" s="48">
        <v>0</v>
      </c>
      <c r="N1076" s="48">
        <v>0</v>
      </c>
      <c r="O1076" s="50"/>
      <c r="P1076" s="50"/>
      <c r="Q1076" s="51">
        <f t="shared" si="46"/>
        <v>0</v>
      </c>
      <c r="R1076" s="48"/>
      <c r="S1076" s="24"/>
      <c r="T1076" s="43">
        <v>46245</v>
      </c>
      <c r="U1076" s="43" t="s">
        <v>1042</v>
      </c>
      <c r="V1076" s="46" t="s">
        <v>788</v>
      </c>
      <c r="W1076" s="45"/>
    </row>
    <row r="1077" spans="1:23" ht="34.950000000000003" customHeight="1" x14ac:dyDescent="0.25">
      <c r="A1077" s="12">
        <f>SUBTOTAL(3,$B$2:B1077)</f>
        <v>1076</v>
      </c>
      <c r="B1077" s="42">
        <v>622</v>
      </c>
      <c r="C1077" s="43">
        <v>46247</v>
      </c>
      <c r="D1077" s="42">
        <v>82608140001</v>
      </c>
      <c r="E1077" s="43">
        <v>46248</v>
      </c>
      <c r="F1077" s="45" t="s">
        <v>939</v>
      </c>
      <c r="G1077" s="52" t="s">
        <v>485</v>
      </c>
      <c r="H1077" s="46" t="s">
        <v>37</v>
      </c>
      <c r="I1077" s="12" t="s">
        <v>965</v>
      </c>
      <c r="J1077" s="43">
        <v>46129</v>
      </c>
      <c r="K1077" s="48">
        <v>3.5</v>
      </c>
      <c r="L1077" s="49">
        <v>3.5</v>
      </c>
      <c r="M1077" s="48">
        <v>16906.78</v>
      </c>
      <c r="N1077" s="48">
        <v>4830.51</v>
      </c>
      <c r="O1077" s="50">
        <v>9</v>
      </c>
      <c r="P1077" s="50">
        <v>9</v>
      </c>
      <c r="Q1077" s="51">
        <f t="shared" si="46"/>
        <v>19950.000399999997</v>
      </c>
      <c r="R1077" s="48"/>
      <c r="S1077" s="24">
        <v>261209004082</v>
      </c>
      <c r="T1077" s="43">
        <v>46247</v>
      </c>
      <c r="U1077" s="43" t="s">
        <v>967</v>
      </c>
      <c r="V1077" s="46" t="s">
        <v>33</v>
      </c>
      <c r="W1077" s="45"/>
    </row>
    <row r="1078" spans="1:23" ht="34.950000000000003" customHeight="1" x14ac:dyDescent="0.25">
      <c r="A1078" s="12">
        <f>SUBTOTAL(3,$B$2:B1078)</f>
        <v>1077</v>
      </c>
      <c r="B1078" s="42">
        <v>623</v>
      </c>
      <c r="C1078" s="43">
        <v>46251</v>
      </c>
      <c r="D1078" s="42">
        <v>82608200001</v>
      </c>
      <c r="E1078" s="43">
        <v>46251</v>
      </c>
      <c r="F1078" s="45" t="s">
        <v>1054</v>
      </c>
      <c r="G1078" s="52" t="s">
        <v>1055</v>
      </c>
      <c r="H1078" s="46" t="s">
        <v>125</v>
      </c>
      <c r="I1078" s="12" t="s">
        <v>1033</v>
      </c>
      <c r="J1078" s="43">
        <v>46237</v>
      </c>
      <c r="K1078" s="48">
        <v>10</v>
      </c>
      <c r="L1078" s="49">
        <v>10</v>
      </c>
      <c r="M1078" s="48">
        <v>4100</v>
      </c>
      <c r="N1078" s="48">
        <v>410</v>
      </c>
      <c r="O1078" s="122">
        <v>2.5</v>
      </c>
      <c r="P1078" s="122">
        <v>2.5</v>
      </c>
      <c r="Q1078" s="51">
        <f t="shared" si="46"/>
        <v>4305</v>
      </c>
      <c r="R1078" s="48"/>
      <c r="S1078" s="24" t="s">
        <v>1056</v>
      </c>
      <c r="T1078" s="43">
        <v>46251</v>
      </c>
      <c r="U1078" s="43" t="s">
        <v>1057</v>
      </c>
      <c r="V1078" s="46" t="s">
        <v>33</v>
      </c>
      <c r="W1078" s="45"/>
    </row>
    <row r="1079" spans="1:23" ht="34.950000000000003" customHeight="1" x14ac:dyDescent="0.25">
      <c r="A1079" s="12">
        <f>SUBTOTAL(3,$B$2:B1079)</f>
        <v>1078</v>
      </c>
      <c r="B1079" s="42">
        <v>623</v>
      </c>
      <c r="C1079" s="43">
        <v>46251</v>
      </c>
      <c r="D1079" s="42">
        <v>82608200001</v>
      </c>
      <c r="E1079" s="43">
        <v>46251</v>
      </c>
      <c r="F1079" s="45" t="s">
        <v>1054</v>
      </c>
      <c r="G1079" s="52" t="s">
        <v>738</v>
      </c>
      <c r="H1079" s="46" t="s">
        <v>125</v>
      </c>
      <c r="I1079" s="12" t="s">
        <v>1033</v>
      </c>
      <c r="J1079" s="43">
        <v>46237</v>
      </c>
      <c r="K1079" s="48">
        <v>15</v>
      </c>
      <c r="L1079" s="49">
        <v>15</v>
      </c>
      <c r="M1079" s="48">
        <v>6150</v>
      </c>
      <c r="N1079" s="48">
        <v>410</v>
      </c>
      <c r="O1079" s="122">
        <v>2.5</v>
      </c>
      <c r="P1079" s="122">
        <v>2.5</v>
      </c>
      <c r="Q1079" s="51">
        <f t="shared" si="46"/>
        <v>6457.5</v>
      </c>
      <c r="R1079" s="48"/>
      <c r="S1079" s="24" t="s">
        <v>1056</v>
      </c>
      <c r="T1079" s="43">
        <v>46251</v>
      </c>
      <c r="U1079" s="43" t="s">
        <v>1057</v>
      </c>
      <c r="V1079" s="46" t="s">
        <v>33</v>
      </c>
      <c r="W1079" s="45"/>
    </row>
    <row r="1080" spans="1:23" ht="34.950000000000003" customHeight="1" x14ac:dyDescent="0.25">
      <c r="A1080" s="12">
        <f>SUBTOTAL(3,$B$2:B1080)</f>
        <v>1079</v>
      </c>
      <c r="B1080" s="42">
        <v>623</v>
      </c>
      <c r="C1080" s="43">
        <v>46251</v>
      </c>
      <c r="D1080" s="42">
        <v>82608200001</v>
      </c>
      <c r="E1080" s="43">
        <v>46251</v>
      </c>
      <c r="F1080" s="45" t="s">
        <v>1054</v>
      </c>
      <c r="G1080" s="52" t="s">
        <v>1058</v>
      </c>
      <c r="H1080" s="46" t="s">
        <v>125</v>
      </c>
      <c r="I1080" s="12" t="s">
        <v>1033</v>
      </c>
      <c r="J1080" s="43">
        <v>46237</v>
      </c>
      <c r="K1080" s="48">
        <v>20</v>
      </c>
      <c r="L1080" s="49">
        <v>20</v>
      </c>
      <c r="M1080" s="48">
        <v>8200</v>
      </c>
      <c r="N1080" s="48">
        <v>410</v>
      </c>
      <c r="O1080" s="122">
        <v>2.5</v>
      </c>
      <c r="P1080" s="122">
        <v>2.5</v>
      </c>
      <c r="Q1080" s="51">
        <f t="shared" si="46"/>
        <v>8610</v>
      </c>
      <c r="R1080" s="48"/>
      <c r="S1080" s="24" t="s">
        <v>1056</v>
      </c>
      <c r="T1080" s="43">
        <v>46251</v>
      </c>
      <c r="U1080" s="43" t="s">
        <v>1057</v>
      </c>
      <c r="V1080" s="46" t="s">
        <v>33</v>
      </c>
      <c r="W1080" s="45"/>
    </row>
    <row r="1081" spans="1:23" ht="34.950000000000003" customHeight="1" x14ac:dyDescent="0.25">
      <c r="A1081" s="12">
        <f>SUBTOTAL(3,$B$2:B1081)</f>
        <v>1080</v>
      </c>
      <c r="B1081" s="42">
        <v>623</v>
      </c>
      <c r="C1081" s="43">
        <v>46251</v>
      </c>
      <c r="D1081" s="42">
        <v>82608200001</v>
      </c>
      <c r="E1081" s="43">
        <v>46251</v>
      </c>
      <c r="F1081" s="45" t="s">
        <v>1054</v>
      </c>
      <c r="G1081" s="52" t="s">
        <v>132</v>
      </c>
      <c r="H1081" s="46" t="s">
        <v>16</v>
      </c>
      <c r="I1081" s="12" t="s">
        <v>1033</v>
      </c>
      <c r="J1081" s="43">
        <v>46237</v>
      </c>
      <c r="K1081" s="48">
        <v>200</v>
      </c>
      <c r="L1081" s="49">
        <v>200</v>
      </c>
      <c r="M1081" s="48">
        <v>16000</v>
      </c>
      <c r="N1081" s="48">
        <v>80</v>
      </c>
      <c r="O1081" s="122">
        <v>2.5</v>
      </c>
      <c r="P1081" s="122">
        <v>2.5</v>
      </c>
      <c r="Q1081" s="51">
        <f t="shared" si="46"/>
        <v>16800</v>
      </c>
      <c r="R1081" s="48"/>
      <c r="S1081" s="24" t="s">
        <v>1056</v>
      </c>
      <c r="T1081" s="43">
        <v>46251</v>
      </c>
      <c r="U1081" s="43" t="s">
        <v>1057</v>
      </c>
      <c r="V1081" s="46" t="s">
        <v>33</v>
      </c>
      <c r="W1081" s="45"/>
    </row>
    <row r="1082" spans="1:23" ht="34.950000000000003" customHeight="1" x14ac:dyDescent="0.25">
      <c r="A1082" s="12">
        <f>SUBTOTAL(3,$B$2:B1082)</f>
        <v>1081</v>
      </c>
      <c r="B1082" s="42">
        <v>623</v>
      </c>
      <c r="C1082" s="43">
        <v>46251</v>
      </c>
      <c r="D1082" s="42">
        <v>82608200001</v>
      </c>
      <c r="E1082" s="43">
        <v>46251</v>
      </c>
      <c r="F1082" s="45" t="s">
        <v>1054</v>
      </c>
      <c r="G1082" s="52" t="s">
        <v>742</v>
      </c>
      <c r="H1082" s="46" t="s">
        <v>125</v>
      </c>
      <c r="I1082" s="12" t="s">
        <v>1033</v>
      </c>
      <c r="J1082" s="43">
        <v>46237</v>
      </c>
      <c r="K1082" s="48">
        <v>200</v>
      </c>
      <c r="L1082" s="49">
        <v>200</v>
      </c>
      <c r="M1082" s="48">
        <v>7200</v>
      </c>
      <c r="N1082" s="48">
        <v>36</v>
      </c>
      <c r="O1082" s="122">
        <v>2.5</v>
      </c>
      <c r="P1082" s="122">
        <v>2.5</v>
      </c>
      <c r="Q1082" s="51">
        <f t="shared" ref="Q1082:Q1145" si="47">IF(M1082="","",M1082*(1+(O1082+P1082)/100))</f>
        <v>7560</v>
      </c>
      <c r="R1082" s="48"/>
      <c r="S1082" s="24" t="s">
        <v>1056</v>
      </c>
      <c r="T1082" s="43">
        <v>46251</v>
      </c>
      <c r="U1082" s="43" t="s">
        <v>1057</v>
      </c>
      <c r="V1082" s="46" t="s">
        <v>33</v>
      </c>
      <c r="W1082" s="45"/>
    </row>
    <row r="1083" spans="1:23" ht="34.950000000000003" customHeight="1" x14ac:dyDescent="0.25">
      <c r="A1083" s="12">
        <f>SUBTOTAL(3,$B$2:B1083)</f>
        <v>1082</v>
      </c>
      <c r="B1083" s="42">
        <v>624</v>
      </c>
      <c r="C1083" s="43">
        <v>46253</v>
      </c>
      <c r="D1083" s="42">
        <v>82608200002</v>
      </c>
      <c r="E1083" s="43">
        <v>46254</v>
      </c>
      <c r="F1083" s="45" t="s">
        <v>1059</v>
      </c>
      <c r="G1083" s="52" t="s">
        <v>842</v>
      </c>
      <c r="H1083" s="46" t="s">
        <v>29</v>
      </c>
      <c r="I1083" s="12"/>
      <c r="J1083" s="43"/>
      <c r="K1083" s="48">
        <v>7.28</v>
      </c>
      <c r="L1083" s="49">
        <v>7.28</v>
      </c>
      <c r="M1083" s="48">
        <v>8015</v>
      </c>
      <c r="N1083" s="48">
        <f>8015/7.28</f>
        <v>1100.9615384615383</v>
      </c>
      <c r="O1083" s="50"/>
      <c r="P1083" s="50"/>
      <c r="Q1083" s="51">
        <f t="shared" si="47"/>
        <v>8015</v>
      </c>
      <c r="R1083" s="48"/>
      <c r="S1083" s="24"/>
      <c r="T1083" s="43"/>
      <c r="U1083" s="43"/>
      <c r="V1083" s="46" t="s">
        <v>247</v>
      </c>
      <c r="W1083" s="45"/>
    </row>
    <row r="1084" spans="1:23" ht="34.950000000000003" customHeight="1" x14ac:dyDescent="0.25">
      <c r="A1084" s="12">
        <f>SUBTOTAL(3,$B$2:B1084)</f>
        <v>1083</v>
      </c>
      <c r="B1084" s="13">
        <v>625</v>
      </c>
      <c r="C1084" s="14">
        <v>46253</v>
      </c>
      <c r="D1084" s="13"/>
      <c r="E1084" s="14">
        <v>46253</v>
      </c>
      <c r="F1084" s="126" t="s">
        <v>619</v>
      </c>
      <c r="G1084" s="25" t="s">
        <v>1060</v>
      </c>
      <c r="H1084" s="16" t="s">
        <v>478</v>
      </c>
      <c r="I1084" s="17"/>
      <c r="J1084" s="14"/>
      <c r="K1084" s="20">
        <v>10</v>
      </c>
      <c r="L1084" s="21">
        <v>5</v>
      </c>
      <c r="M1084" s="20">
        <v>1400</v>
      </c>
      <c r="N1084" s="20">
        <f>1400/5</f>
        <v>280</v>
      </c>
      <c r="O1084" s="22">
        <v>0</v>
      </c>
      <c r="P1084" s="22"/>
      <c r="Q1084" s="23">
        <f t="shared" si="47"/>
        <v>1400</v>
      </c>
      <c r="R1084" s="20"/>
      <c r="S1084" s="18"/>
      <c r="T1084" s="14"/>
      <c r="U1084" s="14"/>
      <c r="V1084" s="16" t="s">
        <v>18</v>
      </c>
      <c r="W1084" s="15"/>
    </row>
    <row r="1085" spans="1:23" ht="34.950000000000003" customHeight="1" x14ac:dyDescent="0.25">
      <c r="A1085" s="12">
        <f>SUBTOTAL(3,$B$2:B1085)</f>
        <v>1084</v>
      </c>
      <c r="B1085" s="42">
        <v>626</v>
      </c>
      <c r="C1085" s="43">
        <v>46254</v>
      </c>
      <c r="D1085" s="42"/>
      <c r="E1085" s="43"/>
      <c r="F1085" s="45" t="s">
        <v>438</v>
      </c>
      <c r="G1085" s="52" t="s">
        <v>439</v>
      </c>
      <c r="H1085" s="46" t="s">
        <v>16</v>
      </c>
      <c r="I1085" s="12"/>
      <c r="J1085" s="43"/>
      <c r="K1085" s="48">
        <v>1</v>
      </c>
      <c r="L1085" s="49">
        <v>1</v>
      </c>
      <c r="M1085" s="48">
        <v>40000</v>
      </c>
      <c r="N1085" s="48">
        <v>40000</v>
      </c>
      <c r="O1085" s="50"/>
      <c r="P1085" s="50"/>
      <c r="Q1085" s="51">
        <f t="shared" si="47"/>
        <v>40000</v>
      </c>
      <c r="R1085" s="48"/>
      <c r="S1085" s="24">
        <v>32608201502</v>
      </c>
      <c r="T1085" s="43">
        <v>46254</v>
      </c>
      <c r="U1085" s="43" t="s">
        <v>296</v>
      </c>
      <c r="V1085" s="46" t="s">
        <v>25</v>
      </c>
      <c r="W1085" s="45"/>
    </row>
    <row r="1086" spans="1:23" ht="34.950000000000003" customHeight="1" x14ac:dyDescent="0.35">
      <c r="A1086" s="12">
        <f>SUBTOTAL(3,$B$2:B1086)</f>
        <v>1085</v>
      </c>
      <c r="B1086" s="42">
        <v>627</v>
      </c>
      <c r="C1086" s="43">
        <v>46255</v>
      </c>
      <c r="D1086" s="42">
        <v>82608210001</v>
      </c>
      <c r="E1086" s="43">
        <v>46255</v>
      </c>
      <c r="F1086" s="45" t="s">
        <v>1061</v>
      </c>
      <c r="G1086" s="52" t="s">
        <v>1062</v>
      </c>
      <c r="H1086" s="46" t="s">
        <v>16</v>
      </c>
      <c r="I1086" s="12"/>
      <c r="J1086" s="43"/>
      <c r="K1086" s="48">
        <v>1</v>
      </c>
      <c r="L1086" s="49">
        <v>1</v>
      </c>
      <c r="M1086" s="48">
        <v>1226</v>
      </c>
      <c r="N1086" s="48"/>
      <c r="O1086" s="50">
        <v>9</v>
      </c>
      <c r="P1086" s="50">
        <v>9</v>
      </c>
      <c r="Q1086" s="51">
        <f t="shared" si="47"/>
        <v>1446.6799999999998</v>
      </c>
      <c r="R1086" s="48"/>
      <c r="S1086" s="24" t="s">
        <v>1063</v>
      </c>
      <c r="T1086" s="127">
        <v>46255</v>
      </c>
      <c r="U1086" s="43"/>
      <c r="V1086" s="46" t="s">
        <v>247</v>
      </c>
      <c r="W1086" s="45"/>
    </row>
    <row r="1087" spans="1:23" ht="34.950000000000003" customHeight="1" x14ac:dyDescent="0.35">
      <c r="A1087" s="12">
        <f>SUBTOTAL(3,$B$2:B1087)</f>
        <v>1086</v>
      </c>
      <c r="B1087" s="42">
        <v>627</v>
      </c>
      <c r="C1087" s="43">
        <v>46255</v>
      </c>
      <c r="D1087" s="42">
        <v>82608210001</v>
      </c>
      <c r="E1087" s="43">
        <v>46255</v>
      </c>
      <c r="F1087" s="45" t="s">
        <v>1061</v>
      </c>
      <c r="G1087" s="52" t="s">
        <v>1064</v>
      </c>
      <c r="H1087" s="46" t="s">
        <v>16</v>
      </c>
      <c r="I1087" s="12"/>
      <c r="J1087" s="43"/>
      <c r="K1087" s="48">
        <v>1</v>
      </c>
      <c r="L1087" s="49">
        <v>2</v>
      </c>
      <c r="M1087" s="48">
        <v>6225</v>
      </c>
      <c r="N1087" s="48"/>
      <c r="O1087" s="50">
        <v>9</v>
      </c>
      <c r="P1087" s="50">
        <v>9</v>
      </c>
      <c r="Q1087" s="51">
        <f t="shared" si="47"/>
        <v>7345.5</v>
      </c>
      <c r="R1087" s="48"/>
      <c r="S1087" s="24" t="s">
        <v>1063</v>
      </c>
      <c r="T1087" s="127">
        <v>46255</v>
      </c>
      <c r="U1087" s="43"/>
      <c r="V1087" s="46" t="s">
        <v>247</v>
      </c>
      <c r="W1087" s="45"/>
    </row>
    <row r="1088" spans="1:23" ht="34.950000000000003" customHeight="1" x14ac:dyDescent="0.35">
      <c r="A1088" s="12">
        <f>SUBTOTAL(3,$B$2:B1088)</f>
        <v>1087</v>
      </c>
      <c r="B1088" s="42">
        <v>627</v>
      </c>
      <c r="C1088" s="43">
        <v>46255</v>
      </c>
      <c r="D1088" s="42">
        <v>82608210002</v>
      </c>
      <c r="E1088" s="43">
        <v>46255</v>
      </c>
      <c r="F1088" s="45" t="s">
        <v>1061</v>
      </c>
      <c r="G1088" s="52" t="s">
        <v>1065</v>
      </c>
      <c r="H1088" s="46" t="s">
        <v>16</v>
      </c>
      <c r="I1088" s="12"/>
      <c r="J1088" s="43"/>
      <c r="K1088" s="48">
        <v>1</v>
      </c>
      <c r="L1088" s="49">
        <v>2</v>
      </c>
      <c r="M1088" s="48">
        <v>990</v>
      </c>
      <c r="N1088" s="48"/>
      <c r="O1088" s="50">
        <v>9</v>
      </c>
      <c r="P1088" s="50">
        <v>9</v>
      </c>
      <c r="Q1088" s="51">
        <f t="shared" si="47"/>
        <v>1168.2</v>
      </c>
      <c r="R1088" s="48"/>
      <c r="S1088" s="24" t="s">
        <v>1063</v>
      </c>
      <c r="T1088" s="127">
        <v>46255</v>
      </c>
      <c r="U1088" s="43"/>
      <c r="V1088" s="46" t="s">
        <v>247</v>
      </c>
      <c r="W1088" s="45"/>
    </row>
    <row r="1089" spans="1:23" ht="34.950000000000003" customHeight="1" x14ac:dyDescent="0.25">
      <c r="A1089" s="12">
        <f>SUBTOTAL(3,$B$2:B1089)</f>
        <v>1088</v>
      </c>
      <c r="B1089" s="42">
        <v>628</v>
      </c>
      <c r="C1089" s="43">
        <v>46256</v>
      </c>
      <c r="D1089" s="42">
        <v>82608230001</v>
      </c>
      <c r="E1089" s="43">
        <v>46256</v>
      </c>
      <c r="F1089" s="45" t="s">
        <v>1059</v>
      </c>
      <c r="G1089" s="52" t="s">
        <v>842</v>
      </c>
      <c r="H1089" s="46" t="s">
        <v>240</v>
      </c>
      <c r="I1089" s="12"/>
      <c r="J1089" s="43"/>
      <c r="K1089" s="48">
        <v>5.59</v>
      </c>
      <c r="L1089" s="49">
        <v>5.59</v>
      </c>
      <c r="M1089" s="48">
        <v>6154.92</v>
      </c>
      <c r="N1089" s="48">
        <v>1145.72</v>
      </c>
      <c r="O1089" s="50">
        <v>0</v>
      </c>
      <c r="P1089" s="50">
        <v>0</v>
      </c>
      <c r="Q1089" s="51">
        <f t="shared" si="47"/>
        <v>6154.92</v>
      </c>
      <c r="R1089" s="48"/>
      <c r="S1089" s="24">
        <v>5</v>
      </c>
      <c r="T1089" s="43">
        <v>46256</v>
      </c>
      <c r="U1089" s="43" t="s">
        <v>1066</v>
      </c>
      <c r="V1089" s="46" t="s">
        <v>247</v>
      </c>
      <c r="W1089" s="45"/>
    </row>
    <row r="1090" spans="1:23" ht="34.950000000000003" customHeight="1" x14ac:dyDescent="0.25">
      <c r="A1090" s="12">
        <f>SUBTOTAL(3,$B$2:B1090)</f>
        <v>1089</v>
      </c>
      <c r="B1090" s="42">
        <v>629</v>
      </c>
      <c r="C1090" s="43">
        <v>46257</v>
      </c>
      <c r="D1090" s="42">
        <v>82608280001</v>
      </c>
      <c r="E1090" s="43">
        <v>46257</v>
      </c>
      <c r="F1090" s="45" t="s">
        <v>518</v>
      </c>
      <c r="G1090" s="52" t="s">
        <v>1067</v>
      </c>
      <c r="H1090" s="46" t="s">
        <v>16</v>
      </c>
      <c r="I1090" s="12"/>
      <c r="J1090" s="43"/>
      <c r="K1090" s="48">
        <v>1</v>
      </c>
      <c r="L1090" s="49">
        <v>1</v>
      </c>
      <c r="M1090" s="48">
        <v>500</v>
      </c>
      <c r="N1090" s="48">
        <v>500</v>
      </c>
      <c r="O1090" s="50">
        <v>0</v>
      </c>
      <c r="P1090" s="50"/>
      <c r="Q1090" s="51">
        <f t="shared" si="47"/>
        <v>500</v>
      </c>
      <c r="R1090" s="48"/>
      <c r="S1090" s="24">
        <v>2143</v>
      </c>
      <c r="T1090" s="43">
        <v>46257</v>
      </c>
      <c r="U1090" s="43" t="s">
        <v>1068</v>
      </c>
      <c r="V1090" s="46" t="s">
        <v>247</v>
      </c>
      <c r="W1090" s="45"/>
    </row>
    <row r="1091" spans="1:23" ht="34.950000000000003" customHeight="1" x14ac:dyDescent="0.25">
      <c r="A1091" s="12">
        <f>SUBTOTAL(3,$B$2:B1091)</f>
        <v>1090</v>
      </c>
      <c r="B1091" s="42">
        <v>629</v>
      </c>
      <c r="C1091" s="43">
        <v>46257</v>
      </c>
      <c r="D1091" s="42">
        <v>82608280001</v>
      </c>
      <c r="E1091" s="43">
        <v>46257</v>
      </c>
      <c r="F1091" s="45" t="s">
        <v>518</v>
      </c>
      <c r="G1091" s="52" t="s">
        <v>333</v>
      </c>
      <c r="H1091" s="46" t="s">
        <v>16</v>
      </c>
      <c r="I1091" s="12"/>
      <c r="J1091" s="43"/>
      <c r="K1091" s="48">
        <v>1</v>
      </c>
      <c r="L1091" s="49">
        <v>1</v>
      </c>
      <c r="M1091" s="48">
        <v>300</v>
      </c>
      <c r="N1091" s="48">
        <v>300</v>
      </c>
      <c r="O1091" s="50"/>
      <c r="P1091" s="50"/>
      <c r="Q1091" s="51">
        <f t="shared" si="47"/>
        <v>300</v>
      </c>
      <c r="R1091" s="48"/>
      <c r="S1091" s="24">
        <v>2143</v>
      </c>
      <c r="T1091" s="43">
        <v>46257</v>
      </c>
      <c r="U1091" s="43" t="s">
        <v>1068</v>
      </c>
      <c r="V1091" s="46" t="s">
        <v>247</v>
      </c>
      <c r="W1091" s="45"/>
    </row>
    <row r="1092" spans="1:23" ht="34.950000000000003" customHeight="1" x14ac:dyDescent="0.25">
      <c r="A1092" s="12">
        <f>SUBTOTAL(3,$B$2:B1092)</f>
        <v>1091</v>
      </c>
      <c r="B1092" s="42">
        <v>630</v>
      </c>
      <c r="C1092" s="43">
        <v>46258</v>
      </c>
      <c r="D1092" s="42">
        <v>82608250001</v>
      </c>
      <c r="E1092" s="43">
        <v>46259</v>
      </c>
      <c r="F1092" s="45" t="s">
        <v>939</v>
      </c>
      <c r="G1092" s="52" t="s">
        <v>485</v>
      </c>
      <c r="H1092" s="46" t="s">
        <v>999</v>
      </c>
      <c r="I1092" s="12" t="s">
        <v>965</v>
      </c>
      <c r="J1092" s="43">
        <v>46129</v>
      </c>
      <c r="K1092" s="48">
        <v>7</v>
      </c>
      <c r="L1092" s="49">
        <v>7</v>
      </c>
      <c r="M1092" s="48">
        <v>33813.56</v>
      </c>
      <c r="N1092" s="48">
        <v>4830.51</v>
      </c>
      <c r="O1092" s="50">
        <v>9</v>
      </c>
      <c r="P1092" s="50">
        <v>9</v>
      </c>
      <c r="Q1092" s="51">
        <f t="shared" si="47"/>
        <v>39900.000799999994</v>
      </c>
      <c r="R1092" s="48"/>
      <c r="S1092" s="24">
        <v>261209004525</v>
      </c>
      <c r="T1092" s="43">
        <v>46258</v>
      </c>
      <c r="U1092" s="43" t="s">
        <v>967</v>
      </c>
      <c r="V1092" s="46" t="s">
        <v>33</v>
      </c>
      <c r="W1092" s="45"/>
    </row>
    <row r="1093" spans="1:23" ht="34.950000000000003" customHeight="1" x14ac:dyDescent="0.25">
      <c r="A1093" s="12">
        <f>SUBTOTAL(3,$B$2:B1093)</f>
        <v>1092</v>
      </c>
      <c r="B1093" s="42">
        <v>631</v>
      </c>
      <c r="C1093" s="43">
        <v>46258</v>
      </c>
      <c r="D1093" s="42">
        <v>82608250002</v>
      </c>
      <c r="E1093" s="43">
        <v>46259</v>
      </c>
      <c r="F1093" s="45" t="s">
        <v>939</v>
      </c>
      <c r="G1093" s="52" t="s">
        <v>485</v>
      </c>
      <c r="H1093" s="46" t="s">
        <v>999</v>
      </c>
      <c r="I1093" s="12" t="s">
        <v>965</v>
      </c>
      <c r="J1093" s="43">
        <v>46129</v>
      </c>
      <c r="K1093" s="48">
        <v>7</v>
      </c>
      <c r="L1093" s="49">
        <v>7</v>
      </c>
      <c r="M1093" s="48">
        <v>33813.56</v>
      </c>
      <c r="N1093" s="48">
        <v>4830.51</v>
      </c>
      <c r="O1093" s="50">
        <v>9</v>
      </c>
      <c r="P1093" s="50">
        <v>9</v>
      </c>
      <c r="Q1093" s="51">
        <f t="shared" si="47"/>
        <v>39900.000799999994</v>
      </c>
      <c r="R1093" s="48"/>
      <c r="S1093" s="24">
        <v>261209004526</v>
      </c>
      <c r="T1093" s="43">
        <v>46258</v>
      </c>
      <c r="U1093" s="43" t="s">
        <v>945</v>
      </c>
      <c r="V1093" s="46" t="s">
        <v>33</v>
      </c>
      <c r="W1093" s="45"/>
    </row>
    <row r="1094" spans="1:23" ht="34.950000000000003" customHeight="1" x14ac:dyDescent="0.25">
      <c r="A1094" s="12">
        <f>SUBTOTAL(3,$B$2:B1094)</f>
        <v>1093</v>
      </c>
      <c r="B1094" s="42">
        <v>632</v>
      </c>
      <c r="C1094" s="43">
        <v>46258</v>
      </c>
      <c r="D1094" s="42">
        <v>82608250003</v>
      </c>
      <c r="E1094" s="43">
        <v>46259</v>
      </c>
      <c r="F1094" s="45" t="s">
        <v>939</v>
      </c>
      <c r="G1094" s="52" t="s">
        <v>485</v>
      </c>
      <c r="H1094" s="46" t="s">
        <v>999</v>
      </c>
      <c r="I1094" s="12" t="s">
        <v>965</v>
      </c>
      <c r="J1094" s="43">
        <v>46129</v>
      </c>
      <c r="K1094" s="48">
        <v>7</v>
      </c>
      <c r="L1094" s="49">
        <v>7</v>
      </c>
      <c r="M1094" s="48">
        <v>33813.56</v>
      </c>
      <c r="N1094" s="48">
        <v>4830.51</v>
      </c>
      <c r="O1094" s="50">
        <v>9</v>
      </c>
      <c r="P1094" s="50">
        <v>9</v>
      </c>
      <c r="Q1094" s="51">
        <f t="shared" si="47"/>
        <v>39900.000799999994</v>
      </c>
      <c r="R1094" s="48"/>
      <c r="S1094" s="24">
        <v>261209004527</v>
      </c>
      <c r="T1094" s="43">
        <v>46258</v>
      </c>
      <c r="U1094" s="43" t="s">
        <v>966</v>
      </c>
      <c r="V1094" s="46" t="s">
        <v>33</v>
      </c>
      <c r="W1094" s="45"/>
    </row>
    <row r="1095" spans="1:23" ht="34.950000000000003" customHeight="1" x14ac:dyDescent="0.25">
      <c r="A1095" s="12">
        <f>SUBTOTAL(3,$B$2:B1095)</f>
        <v>1094</v>
      </c>
      <c r="B1095" s="42">
        <v>633</v>
      </c>
      <c r="C1095" s="43">
        <v>46258</v>
      </c>
      <c r="D1095" s="42">
        <v>82608250004</v>
      </c>
      <c r="E1095" s="43">
        <v>46259</v>
      </c>
      <c r="F1095" s="45" t="s">
        <v>939</v>
      </c>
      <c r="G1095" s="52" t="s">
        <v>485</v>
      </c>
      <c r="H1095" s="46" t="s">
        <v>999</v>
      </c>
      <c r="I1095" s="12" t="s">
        <v>965</v>
      </c>
      <c r="J1095" s="43">
        <v>46129</v>
      </c>
      <c r="K1095" s="48">
        <v>7</v>
      </c>
      <c r="L1095" s="49">
        <v>7</v>
      </c>
      <c r="M1095" s="48">
        <v>33813.56</v>
      </c>
      <c r="N1095" s="48">
        <v>4830.51</v>
      </c>
      <c r="O1095" s="50">
        <v>9</v>
      </c>
      <c r="P1095" s="50">
        <v>9</v>
      </c>
      <c r="Q1095" s="51">
        <f t="shared" si="47"/>
        <v>39900.000799999994</v>
      </c>
      <c r="R1095" s="48"/>
      <c r="S1095" s="24">
        <v>261209004529</v>
      </c>
      <c r="T1095" s="43">
        <v>46258</v>
      </c>
      <c r="U1095" s="43" t="s">
        <v>950</v>
      </c>
      <c r="V1095" s="46" t="s">
        <v>33</v>
      </c>
      <c r="W1095" s="45"/>
    </row>
    <row r="1096" spans="1:23" ht="34.950000000000003" customHeight="1" x14ac:dyDescent="0.25">
      <c r="A1096" s="12">
        <f>SUBTOTAL(3,$B$2:B1096)</f>
        <v>1095</v>
      </c>
      <c r="B1096" s="42">
        <v>634</v>
      </c>
      <c r="C1096" s="43">
        <v>46258</v>
      </c>
      <c r="D1096" s="42">
        <v>82608250005</v>
      </c>
      <c r="E1096" s="43">
        <v>46259</v>
      </c>
      <c r="F1096" s="45" t="s">
        <v>939</v>
      </c>
      <c r="G1096" s="52" t="s">
        <v>485</v>
      </c>
      <c r="H1096" s="46" t="s">
        <v>999</v>
      </c>
      <c r="I1096" s="12" t="s">
        <v>965</v>
      </c>
      <c r="J1096" s="43">
        <v>46129</v>
      </c>
      <c r="K1096" s="48">
        <v>7</v>
      </c>
      <c r="L1096" s="49">
        <v>7</v>
      </c>
      <c r="M1096" s="48">
        <v>33813.56</v>
      </c>
      <c r="N1096" s="48">
        <v>4830.51</v>
      </c>
      <c r="O1096" s="50">
        <v>9</v>
      </c>
      <c r="P1096" s="50">
        <v>9</v>
      </c>
      <c r="Q1096" s="51">
        <f t="shared" si="47"/>
        <v>39900.000799999994</v>
      </c>
      <c r="R1096" s="48"/>
      <c r="S1096" s="24">
        <v>261209004530</v>
      </c>
      <c r="T1096" s="43">
        <v>46258</v>
      </c>
      <c r="U1096" s="43" t="s">
        <v>952</v>
      </c>
      <c r="V1096" s="46" t="s">
        <v>33</v>
      </c>
      <c r="W1096" s="45"/>
    </row>
    <row r="1097" spans="1:23" ht="34.950000000000003" customHeight="1" x14ac:dyDescent="0.25">
      <c r="A1097" s="12">
        <f>SUBTOTAL(3,$B$2:B1097)</f>
        <v>1096</v>
      </c>
      <c r="B1097" s="42">
        <v>635</v>
      </c>
      <c r="C1097" s="43">
        <v>46258</v>
      </c>
      <c r="D1097" s="42">
        <v>82608250006</v>
      </c>
      <c r="E1097" s="43">
        <v>46259</v>
      </c>
      <c r="F1097" s="45" t="s">
        <v>939</v>
      </c>
      <c r="G1097" s="52" t="s">
        <v>485</v>
      </c>
      <c r="H1097" s="46" t="s">
        <v>999</v>
      </c>
      <c r="I1097" s="12" t="s">
        <v>965</v>
      </c>
      <c r="J1097" s="43">
        <v>46129</v>
      </c>
      <c r="K1097" s="48">
        <v>7</v>
      </c>
      <c r="L1097" s="49">
        <v>7</v>
      </c>
      <c r="M1097" s="48">
        <v>33813.56</v>
      </c>
      <c r="N1097" s="48">
        <v>4830.51</v>
      </c>
      <c r="O1097" s="50">
        <v>9</v>
      </c>
      <c r="P1097" s="50">
        <v>9</v>
      </c>
      <c r="Q1097" s="51">
        <f t="shared" si="47"/>
        <v>39900.000799999994</v>
      </c>
      <c r="R1097" s="48"/>
      <c r="S1097" s="24">
        <v>261209004531</v>
      </c>
      <c r="T1097" s="43">
        <v>46258</v>
      </c>
      <c r="U1097" s="43" t="s">
        <v>953</v>
      </c>
      <c r="V1097" s="46" t="s">
        <v>33</v>
      </c>
      <c r="W1097" s="45"/>
    </row>
    <row r="1098" spans="1:23" ht="34.950000000000003" customHeight="1" x14ac:dyDescent="0.25">
      <c r="A1098" s="12">
        <f>SUBTOTAL(3,$B$2:B1098)</f>
        <v>1097</v>
      </c>
      <c r="B1098" s="42">
        <v>636</v>
      </c>
      <c r="C1098" s="43">
        <v>46258</v>
      </c>
      <c r="D1098" s="42">
        <v>82608250007</v>
      </c>
      <c r="E1098" s="43">
        <v>46259</v>
      </c>
      <c r="F1098" s="45" t="s">
        <v>939</v>
      </c>
      <c r="G1098" s="52" t="s">
        <v>485</v>
      </c>
      <c r="H1098" s="46" t="s">
        <v>999</v>
      </c>
      <c r="I1098" s="12" t="s">
        <v>965</v>
      </c>
      <c r="J1098" s="43">
        <v>46129</v>
      </c>
      <c r="K1098" s="48">
        <v>7</v>
      </c>
      <c r="L1098" s="49">
        <v>7</v>
      </c>
      <c r="M1098" s="48">
        <v>33813.56</v>
      </c>
      <c r="N1098" s="48">
        <v>4830.51</v>
      </c>
      <c r="O1098" s="50">
        <v>9</v>
      </c>
      <c r="P1098" s="50">
        <v>9</v>
      </c>
      <c r="Q1098" s="51">
        <f t="shared" si="47"/>
        <v>39900.000799999994</v>
      </c>
      <c r="R1098" s="48"/>
      <c r="S1098" s="24">
        <v>261209004532</v>
      </c>
      <c r="T1098" s="43">
        <v>46258</v>
      </c>
      <c r="U1098" s="43" t="s">
        <v>1069</v>
      </c>
      <c r="V1098" s="46" t="s">
        <v>33</v>
      </c>
      <c r="W1098" s="45"/>
    </row>
    <row r="1099" spans="1:23" ht="34.950000000000003" customHeight="1" x14ac:dyDescent="0.25">
      <c r="A1099" s="12">
        <f>SUBTOTAL(3,$B$2:B1099)</f>
        <v>1098</v>
      </c>
      <c r="B1099" s="42">
        <v>637</v>
      </c>
      <c r="C1099" s="43">
        <v>46258</v>
      </c>
      <c r="D1099" s="42">
        <v>82608250008</v>
      </c>
      <c r="E1099" s="43">
        <v>46259</v>
      </c>
      <c r="F1099" s="45" t="s">
        <v>939</v>
      </c>
      <c r="G1099" s="52" t="s">
        <v>485</v>
      </c>
      <c r="H1099" s="46" t="s">
        <v>999</v>
      </c>
      <c r="I1099" s="12" t="s">
        <v>965</v>
      </c>
      <c r="J1099" s="43">
        <v>46129</v>
      </c>
      <c r="K1099" s="48">
        <v>7</v>
      </c>
      <c r="L1099" s="49">
        <v>7</v>
      </c>
      <c r="M1099" s="48">
        <v>33813.56</v>
      </c>
      <c r="N1099" s="48">
        <v>4830.51</v>
      </c>
      <c r="O1099" s="50">
        <v>9</v>
      </c>
      <c r="P1099" s="50">
        <v>9</v>
      </c>
      <c r="Q1099" s="51">
        <f t="shared" si="47"/>
        <v>39900.000799999994</v>
      </c>
      <c r="R1099" s="48"/>
      <c r="S1099" s="24">
        <v>261209004533</v>
      </c>
      <c r="T1099" s="43">
        <v>46258</v>
      </c>
      <c r="U1099" s="43" t="s">
        <v>947</v>
      </c>
      <c r="V1099" s="46" t="s">
        <v>33</v>
      </c>
      <c r="W1099" s="45"/>
    </row>
    <row r="1100" spans="1:23" ht="34.950000000000003" customHeight="1" x14ac:dyDescent="0.25">
      <c r="A1100" s="12">
        <f>SUBTOTAL(3,$B$2:B1100)</f>
        <v>1099</v>
      </c>
      <c r="B1100" s="42">
        <v>638</v>
      </c>
      <c r="C1100" s="43">
        <v>46258</v>
      </c>
      <c r="D1100" s="42">
        <v>82608250009</v>
      </c>
      <c r="E1100" s="43">
        <v>46259</v>
      </c>
      <c r="F1100" s="45" t="s">
        <v>939</v>
      </c>
      <c r="G1100" s="52" t="s">
        <v>485</v>
      </c>
      <c r="H1100" s="46" t="s">
        <v>999</v>
      </c>
      <c r="I1100" s="12" t="s">
        <v>965</v>
      </c>
      <c r="J1100" s="43">
        <v>46129</v>
      </c>
      <c r="K1100" s="48">
        <v>7</v>
      </c>
      <c r="L1100" s="49">
        <v>7</v>
      </c>
      <c r="M1100" s="48">
        <v>33813.56</v>
      </c>
      <c r="N1100" s="48">
        <v>4830.51</v>
      </c>
      <c r="O1100" s="50">
        <v>9</v>
      </c>
      <c r="P1100" s="50">
        <v>9</v>
      </c>
      <c r="Q1100" s="51">
        <f t="shared" si="47"/>
        <v>39900.000799999994</v>
      </c>
      <c r="R1100" s="48"/>
      <c r="S1100" s="24">
        <v>261209004534</v>
      </c>
      <c r="T1100" s="43">
        <v>46258</v>
      </c>
      <c r="U1100" s="43" t="s">
        <v>941</v>
      </c>
      <c r="V1100" s="46" t="s">
        <v>33</v>
      </c>
      <c r="W1100" s="45"/>
    </row>
    <row r="1101" spans="1:23" ht="34.950000000000003" customHeight="1" x14ac:dyDescent="0.25">
      <c r="A1101" s="12">
        <f>SUBTOTAL(3,$B$2:B1101)</f>
        <v>1100</v>
      </c>
      <c r="B1101" s="42">
        <v>639</v>
      </c>
      <c r="C1101" s="43">
        <v>46258</v>
      </c>
      <c r="D1101" s="42">
        <v>82608250010</v>
      </c>
      <c r="E1101" s="43">
        <v>46259</v>
      </c>
      <c r="F1101" s="45" t="s">
        <v>939</v>
      </c>
      <c r="G1101" s="52" t="s">
        <v>485</v>
      </c>
      <c r="H1101" s="46" t="s">
        <v>999</v>
      </c>
      <c r="I1101" s="12" t="s">
        <v>965</v>
      </c>
      <c r="J1101" s="43">
        <v>46129</v>
      </c>
      <c r="K1101" s="48">
        <v>7</v>
      </c>
      <c r="L1101" s="49">
        <v>7</v>
      </c>
      <c r="M1101" s="48">
        <v>33813.56</v>
      </c>
      <c r="N1101" s="48">
        <v>4830.51</v>
      </c>
      <c r="O1101" s="50">
        <v>9</v>
      </c>
      <c r="P1101" s="50">
        <v>9</v>
      </c>
      <c r="Q1101" s="51">
        <f t="shared" si="47"/>
        <v>39900.000799999994</v>
      </c>
      <c r="R1101" s="48"/>
      <c r="S1101" s="24">
        <v>261209004538</v>
      </c>
      <c r="T1101" s="43">
        <v>46258</v>
      </c>
      <c r="U1101" s="43" t="s">
        <v>950</v>
      </c>
      <c r="V1101" s="46" t="s">
        <v>33</v>
      </c>
      <c r="W1101" s="45"/>
    </row>
    <row r="1102" spans="1:23" ht="34.950000000000003" customHeight="1" x14ac:dyDescent="0.25">
      <c r="A1102" s="12">
        <f>SUBTOTAL(3,$B$2:B1102)</f>
        <v>1101</v>
      </c>
      <c r="B1102" s="42">
        <v>640</v>
      </c>
      <c r="C1102" s="43">
        <v>46258</v>
      </c>
      <c r="D1102" s="42">
        <v>82608250011</v>
      </c>
      <c r="E1102" s="43">
        <v>46259</v>
      </c>
      <c r="F1102" s="45" t="s">
        <v>939</v>
      </c>
      <c r="G1102" s="52" t="s">
        <v>485</v>
      </c>
      <c r="H1102" s="46" t="s">
        <v>999</v>
      </c>
      <c r="I1102" s="12" t="s">
        <v>965</v>
      </c>
      <c r="J1102" s="43">
        <v>46129</v>
      </c>
      <c r="K1102" s="48">
        <v>7</v>
      </c>
      <c r="L1102" s="49">
        <v>7</v>
      </c>
      <c r="M1102" s="48">
        <v>33813.56</v>
      </c>
      <c r="N1102" s="48">
        <v>4830.51</v>
      </c>
      <c r="O1102" s="50">
        <v>9</v>
      </c>
      <c r="P1102" s="50">
        <v>9</v>
      </c>
      <c r="Q1102" s="51">
        <f t="shared" si="47"/>
        <v>39900.000799999994</v>
      </c>
      <c r="R1102" s="48"/>
      <c r="S1102" s="24">
        <v>261209004539</v>
      </c>
      <c r="T1102" s="43">
        <v>46258</v>
      </c>
      <c r="U1102" s="43" t="s">
        <v>1070</v>
      </c>
      <c r="V1102" s="46" t="s">
        <v>33</v>
      </c>
      <c r="W1102" s="45"/>
    </row>
    <row r="1103" spans="1:23" ht="34.950000000000003" customHeight="1" x14ac:dyDescent="0.25">
      <c r="A1103" s="12">
        <f>SUBTOTAL(3,$B$2:B1103)</f>
        <v>1102</v>
      </c>
      <c r="B1103" s="42">
        <v>641</v>
      </c>
      <c r="C1103" s="43">
        <v>46258</v>
      </c>
      <c r="D1103" s="42">
        <v>82608250012</v>
      </c>
      <c r="E1103" s="43">
        <v>46259</v>
      </c>
      <c r="F1103" s="45" t="s">
        <v>939</v>
      </c>
      <c r="G1103" s="52" t="s">
        <v>485</v>
      </c>
      <c r="H1103" s="46" t="s">
        <v>999</v>
      </c>
      <c r="I1103" s="12" t="s">
        <v>965</v>
      </c>
      <c r="J1103" s="43">
        <v>46129</v>
      </c>
      <c r="K1103" s="48">
        <v>7</v>
      </c>
      <c r="L1103" s="49">
        <v>7</v>
      </c>
      <c r="M1103" s="48">
        <v>33813.56</v>
      </c>
      <c r="N1103" s="48">
        <v>4830.51</v>
      </c>
      <c r="O1103" s="50">
        <v>9</v>
      </c>
      <c r="P1103" s="50">
        <v>9</v>
      </c>
      <c r="Q1103" s="51">
        <f t="shared" si="47"/>
        <v>39900.000799999994</v>
      </c>
      <c r="R1103" s="48"/>
      <c r="S1103" s="24">
        <v>261225004052</v>
      </c>
      <c r="T1103" s="43">
        <v>46258</v>
      </c>
      <c r="U1103" s="43" t="s">
        <v>1071</v>
      </c>
      <c r="V1103" s="46" t="s">
        <v>33</v>
      </c>
      <c r="W1103" s="45"/>
    </row>
    <row r="1104" spans="1:23" ht="34.950000000000003" customHeight="1" x14ac:dyDescent="0.25">
      <c r="A1104" s="12">
        <f>SUBTOTAL(3,$B$2:B1104)</f>
        <v>1103</v>
      </c>
      <c r="B1104" s="42">
        <v>642</v>
      </c>
      <c r="C1104" s="43">
        <v>46258</v>
      </c>
      <c r="D1104" s="42">
        <v>82608250013</v>
      </c>
      <c r="E1104" s="43">
        <v>46259</v>
      </c>
      <c r="F1104" s="45" t="s">
        <v>939</v>
      </c>
      <c r="G1104" s="52" t="s">
        <v>485</v>
      </c>
      <c r="H1104" s="46" t="s">
        <v>999</v>
      </c>
      <c r="I1104" s="12" t="s">
        <v>965</v>
      </c>
      <c r="J1104" s="43">
        <v>46129</v>
      </c>
      <c r="K1104" s="48">
        <v>7</v>
      </c>
      <c r="L1104" s="49">
        <v>7</v>
      </c>
      <c r="M1104" s="48">
        <v>33813.56</v>
      </c>
      <c r="N1104" s="48">
        <v>4830.51</v>
      </c>
      <c r="O1104" s="50">
        <v>9</v>
      </c>
      <c r="P1104" s="50">
        <v>9</v>
      </c>
      <c r="Q1104" s="51">
        <f t="shared" si="47"/>
        <v>39900.000799999994</v>
      </c>
      <c r="R1104" s="48"/>
      <c r="S1104" s="24">
        <v>261225004053</v>
      </c>
      <c r="T1104" s="43">
        <v>46258</v>
      </c>
      <c r="U1104" s="43" t="s">
        <v>1072</v>
      </c>
      <c r="V1104" s="46" t="s">
        <v>33</v>
      </c>
      <c r="W1104" s="45"/>
    </row>
    <row r="1105" spans="1:23" ht="34.950000000000003" customHeight="1" x14ac:dyDescent="0.25">
      <c r="A1105" s="12">
        <f>SUBTOTAL(3,$B$2:B1105)</f>
        <v>1104</v>
      </c>
      <c r="B1105" s="42">
        <v>643</v>
      </c>
      <c r="C1105" s="43">
        <v>46258</v>
      </c>
      <c r="D1105" s="42">
        <v>82608250014</v>
      </c>
      <c r="E1105" s="43">
        <v>46259</v>
      </c>
      <c r="F1105" s="45" t="s">
        <v>939</v>
      </c>
      <c r="G1105" s="52" t="s">
        <v>485</v>
      </c>
      <c r="H1105" s="46" t="s">
        <v>999</v>
      </c>
      <c r="I1105" s="12" t="s">
        <v>965</v>
      </c>
      <c r="J1105" s="43">
        <v>46129</v>
      </c>
      <c r="K1105" s="48">
        <v>7</v>
      </c>
      <c r="L1105" s="49">
        <v>7</v>
      </c>
      <c r="M1105" s="48">
        <v>33813.56</v>
      </c>
      <c r="N1105" s="48">
        <v>4830.51</v>
      </c>
      <c r="O1105" s="50">
        <v>9</v>
      </c>
      <c r="P1105" s="50">
        <v>9</v>
      </c>
      <c r="Q1105" s="51">
        <f t="shared" si="47"/>
        <v>39900.000799999994</v>
      </c>
      <c r="R1105" s="48"/>
      <c r="S1105" s="24">
        <v>261209004541</v>
      </c>
      <c r="T1105" s="43">
        <v>46258</v>
      </c>
      <c r="U1105" s="43" t="s">
        <v>953</v>
      </c>
      <c r="V1105" s="46" t="s">
        <v>33</v>
      </c>
      <c r="W1105" s="45"/>
    </row>
    <row r="1106" spans="1:23" ht="34.950000000000003" customHeight="1" x14ac:dyDescent="0.25">
      <c r="A1106" s="12">
        <f>SUBTOTAL(3,$B$2:B1106)</f>
        <v>1105</v>
      </c>
      <c r="B1106" s="42">
        <v>644</v>
      </c>
      <c r="C1106" s="43">
        <v>46258</v>
      </c>
      <c r="D1106" s="42">
        <v>82608250015</v>
      </c>
      <c r="E1106" s="43">
        <v>46259</v>
      </c>
      <c r="F1106" s="45" t="s">
        <v>939</v>
      </c>
      <c r="G1106" s="52" t="s">
        <v>485</v>
      </c>
      <c r="H1106" s="46" t="s">
        <v>999</v>
      </c>
      <c r="I1106" s="12" t="s">
        <v>965</v>
      </c>
      <c r="J1106" s="43">
        <v>46129</v>
      </c>
      <c r="K1106" s="48">
        <v>7</v>
      </c>
      <c r="L1106" s="49">
        <v>7</v>
      </c>
      <c r="M1106" s="48">
        <v>33813.56</v>
      </c>
      <c r="N1106" s="48">
        <v>4830.51</v>
      </c>
      <c r="O1106" s="50">
        <v>9</v>
      </c>
      <c r="P1106" s="50">
        <v>9</v>
      </c>
      <c r="Q1106" s="51">
        <f t="shared" si="47"/>
        <v>39900.000799999994</v>
      </c>
      <c r="R1106" s="48"/>
      <c r="S1106" s="24">
        <v>261225004054</v>
      </c>
      <c r="T1106" s="43">
        <v>46258</v>
      </c>
      <c r="U1106" s="43" t="s">
        <v>1073</v>
      </c>
      <c r="V1106" s="46" t="s">
        <v>33</v>
      </c>
      <c r="W1106" s="45"/>
    </row>
    <row r="1107" spans="1:23" ht="34.950000000000003" customHeight="1" x14ac:dyDescent="0.25">
      <c r="A1107" s="12">
        <f>SUBTOTAL(3,$B$2:B1107)</f>
        <v>1106</v>
      </c>
      <c r="B1107" s="42">
        <v>645</v>
      </c>
      <c r="C1107" s="43">
        <v>46258</v>
      </c>
      <c r="D1107" s="42">
        <v>82608250016</v>
      </c>
      <c r="E1107" s="43">
        <v>46259</v>
      </c>
      <c r="F1107" s="45" t="s">
        <v>939</v>
      </c>
      <c r="G1107" s="52" t="s">
        <v>485</v>
      </c>
      <c r="H1107" s="46" t="s">
        <v>999</v>
      </c>
      <c r="I1107" s="12" t="s">
        <v>965</v>
      </c>
      <c r="J1107" s="43">
        <v>46129</v>
      </c>
      <c r="K1107" s="48">
        <v>7</v>
      </c>
      <c r="L1107" s="49">
        <v>7</v>
      </c>
      <c r="M1107" s="48">
        <v>33813.56</v>
      </c>
      <c r="N1107" s="48">
        <v>4830.51</v>
      </c>
      <c r="O1107" s="50">
        <v>9</v>
      </c>
      <c r="P1107" s="50">
        <v>9</v>
      </c>
      <c r="Q1107" s="51">
        <f t="shared" si="47"/>
        <v>39900.000799999994</v>
      </c>
      <c r="R1107" s="48"/>
      <c r="S1107" s="24">
        <v>261209004545</v>
      </c>
      <c r="T1107" s="43">
        <v>46258</v>
      </c>
      <c r="U1107" s="43" t="s">
        <v>967</v>
      </c>
      <c r="V1107" s="46" t="s">
        <v>33</v>
      </c>
      <c r="W1107" s="45"/>
    </row>
    <row r="1108" spans="1:23" ht="34.950000000000003" customHeight="1" x14ac:dyDescent="0.25">
      <c r="A1108" s="12">
        <f>SUBTOTAL(3,$B$2:B1108)</f>
        <v>1107</v>
      </c>
      <c r="B1108" s="42">
        <v>646</v>
      </c>
      <c r="C1108" s="43">
        <v>46258</v>
      </c>
      <c r="D1108" s="42">
        <v>82608250017</v>
      </c>
      <c r="E1108" s="43">
        <v>46259</v>
      </c>
      <c r="F1108" s="45" t="s">
        <v>939</v>
      </c>
      <c r="G1108" s="52" t="s">
        <v>485</v>
      </c>
      <c r="H1108" s="46" t="s">
        <v>999</v>
      </c>
      <c r="I1108" s="12" t="s">
        <v>965</v>
      </c>
      <c r="J1108" s="43">
        <v>46129</v>
      </c>
      <c r="K1108" s="48">
        <v>7</v>
      </c>
      <c r="L1108" s="49">
        <v>7</v>
      </c>
      <c r="M1108" s="48">
        <v>33813.56</v>
      </c>
      <c r="N1108" s="48">
        <v>4830.51</v>
      </c>
      <c r="O1108" s="50">
        <v>9</v>
      </c>
      <c r="P1108" s="50">
        <v>9</v>
      </c>
      <c r="Q1108" s="51">
        <f t="shared" si="47"/>
        <v>39900.000799999994</v>
      </c>
      <c r="R1108" s="48"/>
      <c r="S1108" s="24">
        <v>261209004547</v>
      </c>
      <c r="T1108" s="43">
        <v>46258</v>
      </c>
      <c r="U1108" s="43" t="s">
        <v>966</v>
      </c>
      <c r="V1108" s="46" t="s">
        <v>33</v>
      </c>
      <c r="W1108" s="45"/>
    </row>
    <row r="1109" spans="1:23" ht="34.950000000000003" customHeight="1" x14ac:dyDescent="0.25">
      <c r="A1109" s="12">
        <f>SUBTOTAL(3,$B$2:B1109)</f>
        <v>1108</v>
      </c>
      <c r="B1109" s="42">
        <v>647</v>
      </c>
      <c r="C1109" s="43">
        <v>46258</v>
      </c>
      <c r="D1109" s="42">
        <v>82608250018</v>
      </c>
      <c r="E1109" s="43">
        <v>46259</v>
      </c>
      <c r="F1109" s="45" t="s">
        <v>939</v>
      </c>
      <c r="G1109" s="52" t="s">
        <v>485</v>
      </c>
      <c r="H1109" s="46" t="s">
        <v>999</v>
      </c>
      <c r="I1109" s="12" t="s">
        <v>965</v>
      </c>
      <c r="J1109" s="43">
        <v>46129</v>
      </c>
      <c r="K1109" s="48">
        <v>7</v>
      </c>
      <c r="L1109" s="49">
        <v>7</v>
      </c>
      <c r="M1109" s="48">
        <v>33813.56</v>
      </c>
      <c r="N1109" s="48">
        <v>4830.51</v>
      </c>
      <c r="O1109" s="50">
        <v>9</v>
      </c>
      <c r="P1109" s="50">
        <v>9</v>
      </c>
      <c r="Q1109" s="51">
        <f t="shared" si="47"/>
        <v>39900.000799999994</v>
      </c>
      <c r="R1109" s="48"/>
      <c r="S1109" s="24">
        <v>261209004546</v>
      </c>
      <c r="T1109" s="43">
        <v>46258</v>
      </c>
      <c r="U1109" s="43" t="s">
        <v>945</v>
      </c>
      <c r="V1109" s="46" t="s">
        <v>33</v>
      </c>
      <c r="W1109" s="45"/>
    </row>
    <row r="1110" spans="1:23" ht="34.950000000000003" customHeight="1" x14ac:dyDescent="0.25">
      <c r="A1110" s="12">
        <f>SUBTOTAL(3,$B$2:B1110)</f>
        <v>1109</v>
      </c>
      <c r="B1110" s="42">
        <v>648</v>
      </c>
      <c r="C1110" s="43">
        <v>46258</v>
      </c>
      <c r="D1110" s="42">
        <v>82608250019</v>
      </c>
      <c r="E1110" s="43">
        <v>46259</v>
      </c>
      <c r="F1110" s="45" t="s">
        <v>939</v>
      </c>
      <c r="G1110" s="52" t="s">
        <v>485</v>
      </c>
      <c r="H1110" s="46" t="s">
        <v>999</v>
      </c>
      <c r="I1110" s="12" t="s">
        <v>965</v>
      </c>
      <c r="J1110" s="43">
        <v>46129</v>
      </c>
      <c r="K1110" s="48">
        <v>7</v>
      </c>
      <c r="L1110" s="49">
        <v>7</v>
      </c>
      <c r="M1110" s="48">
        <v>33813.56</v>
      </c>
      <c r="N1110" s="48">
        <v>4830.51</v>
      </c>
      <c r="O1110" s="50">
        <v>9</v>
      </c>
      <c r="P1110" s="50">
        <v>9</v>
      </c>
      <c r="Q1110" s="51">
        <f t="shared" si="47"/>
        <v>39900.000799999994</v>
      </c>
      <c r="R1110" s="48"/>
      <c r="S1110" s="24">
        <v>261209004548</v>
      </c>
      <c r="T1110" s="43">
        <v>46258</v>
      </c>
      <c r="U1110" s="43" t="s">
        <v>950</v>
      </c>
      <c r="V1110" s="46" t="s">
        <v>33</v>
      </c>
      <c r="W1110" s="45"/>
    </row>
    <row r="1111" spans="1:23" ht="34.950000000000003" customHeight="1" x14ac:dyDescent="0.25">
      <c r="A1111" s="12">
        <f>SUBTOTAL(3,$B$2:B1111)</f>
        <v>1110</v>
      </c>
      <c r="B1111" s="42">
        <v>649</v>
      </c>
      <c r="C1111" s="43">
        <v>46258</v>
      </c>
      <c r="D1111" s="42">
        <v>82608250020</v>
      </c>
      <c r="E1111" s="43">
        <v>46259</v>
      </c>
      <c r="F1111" s="45" t="s">
        <v>939</v>
      </c>
      <c r="G1111" s="52" t="s">
        <v>485</v>
      </c>
      <c r="H1111" s="46" t="s">
        <v>999</v>
      </c>
      <c r="I1111" s="12" t="s">
        <v>965</v>
      </c>
      <c r="J1111" s="43">
        <v>46129</v>
      </c>
      <c r="K1111" s="48">
        <v>7</v>
      </c>
      <c r="L1111" s="49">
        <v>7</v>
      </c>
      <c r="M1111" s="48">
        <v>33813.56</v>
      </c>
      <c r="N1111" s="48">
        <v>4830.51</v>
      </c>
      <c r="O1111" s="50">
        <v>9</v>
      </c>
      <c r="P1111" s="50">
        <v>9</v>
      </c>
      <c r="Q1111" s="51">
        <f t="shared" si="47"/>
        <v>39900.000799999994</v>
      </c>
      <c r="R1111" s="48"/>
      <c r="S1111" s="24">
        <v>261225004055</v>
      </c>
      <c r="T1111" s="43">
        <v>46258</v>
      </c>
      <c r="U1111" s="43" t="s">
        <v>1074</v>
      </c>
      <c r="V1111" s="46" t="s">
        <v>33</v>
      </c>
      <c r="W1111" s="45"/>
    </row>
    <row r="1112" spans="1:23" ht="34.950000000000003" customHeight="1" x14ac:dyDescent="0.25">
      <c r="A1112" s="12">
        <f>SUBTOTAL(3,$B$2:B1112)</f>
        <v>1111</v>
      </c>
      <c r="B1112" s="42">
        <v>650</v>
      </c>
      <c r="C1112" s="43">
        <v>46258</v>
      </c>
      <c r="D1112" s="42">
        <v>82608250021</v>
      </c>
      <c r="E1112" s="43">
        <v>46259</v>
      </c>
      <c r="F1112" s="45" t="s">
        <v>939</v>
      </c>
      <c r="G1112" s="52" t="s">
        <v>485</v>
      </c>
      <c r="H1112" s="46" t="s">
        <v>999</v>
      </c>
      <c r="I1112" s="12" t="s">
        <v>965</v>
      </c>
      <c r="J1112" s="43">
        <v>46129</v>
      </c>
      <c r="K1112" s="48">
        <v>7</v>
      </c>
      <c r="L1112" s="49">
        <v>7</v>
      </c>
      <c r="M1112" s="48">
        <v>33813.56</v>
      </c>
      <c r="N1112" s="48">
        <v>4830.51</v>
      </c>
      <c r="O1112" s="50">
        <v>9</v>
      </c>
      <c r="P1112" s="50">
        <v>9</v>
      </c>
      <c r="Q1112" s="51">
        <f t="shared" si="47"/>
        <v>39900.000799999994</v>
      </c>
      <c r="R1112" s="48"/>
      <c r="S1112" s="24">
        <v>261209004549</v>
      </c>
      <c r="T1112" s="43">
        <v>46258</v>
      </c>
      <c r="U1112" s="43" t="s">
        <v>941</v>
      </c>
      <c r="V1112" s="46" t="s">
        <v>33</v>
      </c>
      <c r="W1112" s="45"/>
    </row>
    <row r="1113" spans="1:23" ht="34.950000000000003" customHeight="1" x14ac:dyDescent="0.25">
      <c r="A1113" s="12">
        <f>SUBTOTAL(3,$B$2:B1113)</f>
        <v>1112</v>
      </c>
      <c r="B1113" s="42">
        <v>651</v>
      </c>
      <c r="C1113" s="43">
        <v>46258</v>
      </c>
      <c r="D1113" s="42">
        <v>82608250022</v>
      </c>
      <c r="E1113" s="43">
        <v>46259</v>
      </c>
      <c r="F1113" s="45" t="s">
        <v>939</v>
      </c>
      <c r="G1113" s="52" t="s">
        <v>485</v>
      </c>
      <c r="H1113" s="46" t="s">
        <v>999</v>
      </c>
      <c r="I1113" s="12" t="s">
        <v>965</v>
      </c>
      <c r="J1113" s="43">
        <v>46129</v>
      </c>
      <c r="K1113" s="48">
        <v>7</v>
      </c>
      <c r="L1113" s="49">
        <v>7</v>
      </c>
      <c r="M1113" s="48">
        <v>33813.56</v>
      </c>
      <c r="N1113" s="48">
        <v>4830.51</v>
      </c>
      <c r="O1113" s="50">
        <v>9</v>
      </c>
      <c r="P1113" s="50">
        <v>9</v>
      </c>
      <c r="Q1113" s="51">
        <f t="shared" si="47"/>
        <v>39900.000799999994</v>
      </c>
      <c r="R1113" s="48"/>
      <c r="S1113" s="24">
        <v>261225004056</v>
      </c>
      <c r="T1113" s="43">
        <v>46258</v>
      </c>
      <c r="U1113" s="43" t="s">
        <v>1075</v>
      </c>
      <c r="V1113" s="46" t="s">
        <v>33</v>
      </c>
      <c r="W1113" s="45"/>
    </row>
    <row r="1114" spans="1:23" ht="34.950000000000003" customHeight="1" x14ac:dyDescent="0.25">
      <c r="A1114" s="12">
        <f>SUBTOTAL(3,$B$2:B1114)</f>
        <v>1113</v>
      </c>
      <c r="B1114" s="42">
        <v>652</v>
      </c>
      <c r="C1114" s="43">
        <v>46258</v>
      </c>
      <c r="D1114" s="42">
        <v>82608250023</v>
      </c>
      <c r="E1114" s="43">
        <v>46259</v>
      </c>
      <c r="F1114" s="45" t="s">
        <v>939</v>
      </c>
      <c r="G1114" s="52" t="s">
        <v>485</v>
      </c>
      <c r="H1114" s="46" t="s">
        <v>999</v>
      </c>
      <c r="I1114" s="12" t="s">
        <v>965</v>
      </c>
      <c r="J1114" s="43">
        <v>46129</v>
      </c>
      <c r="K1114" s="48">
        <v>7</v>
      </c>
      <c r="L1114" s="49">
        <v>7</v>
      </c>
      <c r="M1114" s="48">
        <v>33813.56</v>
      </c>
      <c r="N1114" s="48">
        <v>4830.51</v>
      </c>
      <c r="O1114" s="50">
        <v>9</v>
      </c>
      <c r="P1114" s="50">
        <v>9</v>
      </c>
      <c r="Q1114" s="51">
        <f t="shared" si="47"/>
        <v>39900.000799999994</v>
      </c>
      <c r="R1114" s="48"/>
      <c r="S1114" s="24">
        <v>261209004552</v>
      </c>
      <c r="T1114" s="43">
        <v>46258</v>
      </c>
      <c r="U1114" s="43" t="s">
        <v>1070</v>
      </c>
      <c r="V1114" s="46" t="s">
        <v>33</v>
      </c>
      <c r="W1114" s="45"/>
    </row>
    <row r="1115" spans="1:23" ht="34.950000000000003" customHeight="1" x14ac:dyDescent="0.25">
      <c r="A1115" s="12">
        <f>SUBTOTAL(3,$B$2:B1115)</f>
        <v>1114</v>
      </c>
      <c r="B1115" s="42">
        <v>653</v>
      </c>
      <c r="C1115" s="43">
        <v>46258</v>
      </c>
      <c r="D1115" s="42">
        <v>82608250024</v>
      </c>
      <c r="E1115" s="43">
        <v>46259</v>
      </c>
      <c r="F1115" s="45" t="s">
        <v>939</v>
      </c>
      <c r="G1115" s="52" t="s">
        <v>485</v>
      </c>
      <c r="H1115" s="46" t="s">
        <v>999</v>
      </c>
      <c r="I1115" s="12" t="s">
        <v>965</v>
      </c>
      <c r="J1115" s="43">
        <v>46129</v>
      </c>
      <c r="K1115" s="48">
        <v>7</v>
      </c>
      <c r="L1115" s="49">
        <v>7</v>
      </c>
      <c r="M1115" s="48">
        <v>33813.56</v>
      </c>
      <c r="N1115" s="48">
        <v>4830.51</v>
      </c>
      <c r="O1115" s="50">
        <v>9</v>
      </c>
      <c r="P1115" s="50">
        <v>9</v>
      </c>
      <c r="Q1115" s="51">
        <f t="shared" si="47"/>
        <v>39900.000799999994</v>
      </c>
      <c r="R1115" s="48"/>
      <c r="S1115" s="24">
        <v>261209004553</v>
      </c>
      <c r="T1115" s="43">
        <v>46258</v>
      </c>
      <c r="U1115" s="43" t="s">
        <v>953</v>
      </c>
      <c r="V1115" s="46" t="s">
        <v>33</v>
      </c>
      <c r="W1115" s="45"/>
    </row>
    <row r="1116" spans="1:23" ht="34.950000000000003" customHeight="1" x14ac:dyDescent="0.25">
      <c r="A1116" s="12">
        <f>SUBTOTAL(3,$B$2:B1116)</f>
        <v>1115</v>
      </c>
      <c r="B1116" s="42">
        <v>654</v>
      </c>
      <c r="C1116" s="43">
        <v>46258</v>
      </c>
      <c r="D1116" s="42">
        <v>82608250025</v>
      </c>
      <c r="E1116" s="43">
        <v>46259</v>
      </c>
      <c r="F1116" s="45" t="s">
        <v>939</v>
      </c>
      <c r="G1116" s="52" t="s">
        <v>485</v>
      </c>
      <c r="H1116" s="46" t="s">
        <v>999</v>
      </c>
      <c r="I1116" s="12" t="s">
        <v>965</v>
      </c>
      <c r="J1116" s="43">
        <v>46129</v>
      </c>
      <c r="K1116" s="48">
        <v>7</v>
      </c>
      <c r="L1116" s="49">
        <v>7</v>
      </c>
      <c r="M1116" s="48">
        <v>33813.56</v>
      </c>
      <c r="N1116" s="48">
        <v>4830.51</v>
      </c>
      <c r="O1116" s="50">
        <v>9</v>
      </c>
      <c r="P1116" s="50">
        <v>9</v>
      </c>
      <c r="Q1116" s="51">
        <f t="shared" si="47"/>
        <v>39900.000799999994</v>
      </c>
      <c r="R1116" s="48"/>
      <c r="S1116" s="24">
        <v>261209004554</v>
      </c>
      <c r="T1116" s="43">
        <v>46258</v>
      </c>
      <c r="U1116" s="43" t="s">
        <v>967</v>
      </c>
      <c r="V1116" s="46" t="s">
        <v>33</v>
      </c>
      <c r="W1116" s="45"/>
    </row>
    <row r="1117" spans="1:23" ht="34.950000000000003" customHeight="1" x14ac:dyDescent="0.25">
      <c r="A1117" s="12">
        <f>SUBTOTAL(3,$B$2:B1117)</f>
        <v>1116</v>
      </c>
      <c r="B1117" s="42">
        <v>655</v>
      </c>
      <c r="C1117" s="43">
        <v>46258</v>
      </c>
      <c r="D1117" s="42">
        <v>82608250026</v>
      </c>
      <c r="E1117" s="43">
        <v>46259</v>
      </c>
      <c r="F1117" s="45" t="s">
        <v>939</v>
      </c>
      <c r="G1117" s="52" t="s">
        <v>485</v>
      </c>
      <c r="H1117" s="46" t="s">
        <v>999</v>
      </c>
      <c r="I1117" s="12" t="s">
        <v>965</v>
      </c>
      <c r="J1117" s="43">
        <v>46129</v>
      </c>
      <c r="K1117" s="48">
        <v>7</v>
      </c>
      <c r="L1117" s="49">
        <v>7</v>
      </c>
      <c r="M1117" s="48">
        <v>33813.56</v>
      </c>
      <c r="N1117" s="48">
        <v>4830.51</v>
      </c>
      <c r="O1117" s="50">
        <v>9</v>
      </c>
      <c r="P1117" s="50">
        <v>9</v>
      </c>
      <c r="Q1117" s="51">
        <f t="shared" si="47"/>
        <v>39900.000799999994</v>
      </c>
      <c r="R1117" s="48"/>
      <c r="S1117" s="24">
        <v>261209004556</v>
      </c>
      <c r="T1117" s="43">
        <v>46258</v>
      </c>
      <c r="U1117" s="43" t="s">
        <v>949</v>
      </c>
      <c r="V1117" s="46" t="s">
        <v>33</v>
      </c>
      <c r="W1117" s="45"/>
    </row>
    <row r="1118" spans="1:23" ht="34.950000000000003" customHeight="1" x14ac:dyDescent="0.25">
      <c r="A1118" s="12">
        <f>SUBTOTAL(3,$B$2:B1118)</f>
        <v>1117</v>
      </c>
      <c r="B1118" s="42">
        <v>656</v>
      </c>
      <c r="C1118" s="43">
        <v>46258</v>
      </c>
      <c r="D1118" s="42">
        <v>82608250027</v>
      </c>
      <c r="E1118" s="43">
        <v>46259</v>
      </c>
      <c r="F1118" s="45" t="s">
        <v>939</v>
      </c>
      <c r="G1118" s="52" t="s">
        <v>485</v>
      </c>
      <c r="H1118" s="46" t="s">
        <v>999</v>
      </c>
      <c r="I1118" s="12" t="s">
        <v>965</v>
      </c>
      <c r="J1118" s="43">
        <v>46129</v>
      </c>
      <c r="K1118" s="48">
        <v>7</v>
      </c>
      <c r="L1118" s="49">
        <v>7</v>
      </c>
      <c r="M1118" s="48">
        <v>33813.56</v>
      </c>
      <c r="N1118" s="48">
        <v>4830.51</v>
      </c>
      <c r="O1118" s="50">
        <v>9</v>
      </c>
      <c r="P1118" s="50">
        <v>9</v>
      </c>
      <c r="Q1118" s="51">
        <f t="shared" si="47"/>
        <v>39900.000799999994</v>
      </c>
      <c r="R1118" s="48"/>
      <c r="S1118" s="24">
        <v>261209004555</v>
      </c>
      <c r="T1118" s="43">
        <v>46258</v>
      </c>
      <c r="U1118" s="43" t="s">
        <v>966</v>
      </c>
      <c r="V1118" s="46" t="s">
        <v>33</v>
      </c>
      <c r="W1118" s="45"/>
    </row>
    <row r="1119" spans="1:23" ht="34.950000000000003" customHeight="1" x14ac:dyDescent="0.25">
      <c r="A1119" s="12">
        <f>SUBTOTAL(3,$B$2:B1119)</f>
        <v>1118</v>
      </c>
      <c r="B1119" s="42">
        <v>657</v>
      </c>
      <c r="C1119" s="43">
        <v>46258</v>
      </c>
      <c r="D1119" s="42">
        <v>82608250028</v>
      </c>
      <c r="E1119" s="43">
        <v>46259</v>
      </c>
      <c r="F1119" s="45" t="s">
        <v>939</v>
      </c>
      <c r="G1119" s="52" t="s">
        <v>485</v>
      </c>
      <c r="H1119" s="46" t="s">
        <v>999</v>
      </c>
      <c r="I1119" s="12" t="s">
        <v>965</v>
      </c>
      <c r="J1119" s="43">
        <v>46129</v>
      </c>
      <c r="K1119" s="48">
        <v>7</v>
      </c>
      <c r="L1119" s="49">
        <v>7</v>
      </c>
      <c r="M1119" s="48">
        <v>33813.56</v>
      </c>
      <c r="N1119" s="48">
        <v>4830.51</v>
      </c>
      <c r="O1119" s="50">
        <v>9</v>
      </c>
      <c r="P1119" s="50">
        <v>9</v>
      </c>
      <c r="Q1119" s="51">
        <f t="shared" si="47"/>
        <v>39900.000799999994</v>
      </c>
      <c r="R1119" s="48"/>
      <c r="S1119" s="24">
        <v>261209004557</v>
      </c>
      <c r="T1119" s="43">
        <v>46258</v>
      </c>
      <c r="U1119" s="43" t="s">
        <v>945</v>
      </c>
      <c r="V1119" s="46" t="s">
        <v>33</v>
      </c>
      <c r="W1119" s="45"/>
    </row>
    <row r="1120" spans="1:23" ht="34.950000000000003" customHeight="1" x14ac:dyDescent="0.25">
      <c r="A1120" s="12">
        <f>SUBTOTAL(3,$B$2:B1120)</f>
        <v>1119</v>
      </c>
      <c r="B1120" s="42">
        <v>658</v>
      </c>
      <c r="C1120" s="43">
        <v>46258</v>
      </c>
      <c r="D1120" s="42">
        <v>82608250029</v>
      </c>
      <c r="E1120" s="43">
        <v>46259</v>
      </c>
      <c r="F1120" s="45" t="s">
        <v>939</v>
      </c>
      <c r="G1120" s="52" t="s">
        <v>485</v>
      </c>
      <c r="H1120" s="46" t="s">
        <v>999</v>
      </c>
      <c r="I1120" s="12" t="s">
        <v>965</v>
      </c>
      <c r="J1120" s="43">
        <v>46129</v>
      </c>
      <c r="K1120" s="48">
        <v>7</v>
      </c>
      <c r="L1120" s="49">
        <v>7</v>
      </c>
      <c r="M1120" s="48">
        <v>33813.56</v>
      </c>
      <c r="N1120" s="48">
        <v>4830.51</v>
      </c>
      <c r="O1120" s="50">
        <v>9</v>
      </c>
      <c r="P1120" s="50">
        <v>9</v>
      </c>
      <c r="Q1120" s="51">
        <f t="shared" si="47"/>
        <v>39900.000799999994</v>
      </c>
      <c r="R1120" s="48"/>
      <c r="S1120" s="24">
        <v>261209004558</v>
      </c>
      <c r="T1120" s="43">
        <v>46259</v>
      </c>
      <c r="U1120" s="43" t="s">
        <v>947</v>
      </c>
      <c r="V1120" s="46" t="s">
        <v>33</v>
      </c>
      <c r="W1120" s="45"/>
    </row>
    <row r="1121" spans="1:23" ht="34.950000000000003" customHeight="1" x14ac:dyDescent="0.25">
      <c r="A1121" s="12">
        <f>SUBTOTAL(3,$B$2:B1121)</f>
        <v>1120</v>
      </c>
      <c r="B1121" s="42">
        <v>659</v>
      </c>
      <c r="C1121" s="43">
        <v>46258</v>
      </c>
      <c r="D1121" s="42">
        <v>82608250030</v>
      </c>
      <c r="E1121" s="43">
        <v>46259</v>
      </c>
      <c r="F1121" s="45" t="s">
        <v>939</v>
      </c>
      <c r="G1121" s="52" t="s">
        <v>485</v>
      </c>
      <c r="H1121" s="46" t="s">
        <v>999</v>
      </c>
      <c r="I1121" s="12" t="s">
        <v>965</v>
      </c>
      <c r="J1121" s="43">
        <v>46129</v>
      </c>
      <c r="K1121" s="48">
        <v>7</v>
      </c>
      <c r="L1121" s="49">
        <v>7</v>
      </c>
      <c r="M1121" s="48">
        <v>33813.56</v>
      </c>
      <c r="N1121" s="48">
        <v>4830.51</v>
      </c>
      <c r="O1121" s="50">
        <v>9</v>
      </c>
      <c r="P1121" s="50">
        <v>9</v>
      </c>
      <c r="Q1121" s="51">
        <f t="shared" si="47"/>
        <v>39900.000799999994</v>
      </c>
      <c r="R1121" s="48"/>
      <c r="S1121" s="24">
        <v>261209004559</v>
      </c>
      <c r="T1121" s="43">
        <v>46259</v>
      </c>
      <c r="U1121" s="43" t="s">
        <v>950</v>
      </c>
      <c r="V1121" s="46" t="s">
        <v>33</v>
      </c>
      <c r="W1121" s="45"/>
    </row>
    <row r="1122" spans="1:23" ht="34.950000000000003" customHeight="1" x14ac:dyDescent="0.25">
      <c r="A1122" s="12">
        <f>SUBTOTAL(3,$B$2:B1122)</f>
        <v>1121</v>
      </c>
      <c r="B1122" s="42">
        <v>660</v>
      </c>
      <c r="C1122" s="43">
        <v>46258</v>
      </c>
      <c r="D1122" s="42">
        <v>82608250031</v>
      </c>
      <c r="E1122" s="43">
        <v>46259</v>
      </c>
      <c r="F1122" s="45" t="s">
        <v>939</v>
      </c>
      <c r="G1122" s="52" t="s">
        <v>485</v>
      </c>
      <c r="H1122" s="46" t="s">
        <v>999</v>
      </c>
      <c r="I1122" s="12" t="s">
        <v>965</v>
      </c>
      <c r="J1122" s="43">
        <v>46129</v>
      </c>
      <c r="K1122" s="48">
        <v>7</v>
      </c>
      <c r="L1122" s="49">
        <v>7</v>
      </c>
      <c r="M1122" s="48">
        <v>33813.56</v>
      </c>
      <c r="N1122" s="48">
        <v>4830.51</v>
      </c>
      <c r="O1122" s="50">
        <v>9</v>
      </c>
      <c r="P1122" s="50">
        <v>9</v>
      </c>
      <c r="Q1122" s="51">
        <f t="shared" si="47"/>
        <v>39900.000799999994</v>
      </c>
      <c r="R1122" s="48"/>
      <c r="S1122" s="24">
        <v>261209004560</v>
      </c>
      <c r="T1122" s="43">
        <v>46259</v>
      </c>
      <c r="U1122" s="43" t="s">
        <v>941</v>
      </c>
      <c r="V1122" s="46" t="s">
        <v>33</v>
      </c>
      <c r="W1122" s="45"/>
    </row>
    <row r="1123" spans="1:23" ht="34.950000000000003" customHeight="1" x14ac:dyDescent="0.25">
      <c r="A1123" s="12">
        <f>SUBTOTAL(3,$B$2:B1123)</f>
        <v>1122</v>
      </c>
      <c r="B1123" s="42">
        <v>661</v>
      </c>
      <c r="C1123" s="43">
        <v>46258</v>
      </c>
      <c r="D1123" s="42">
        <v>82608250032</v>
      </c>
      <c r="E1123" s="43">
        <v>46259</v>
      </c>
      <c r="F1123" s="45" t="s">
        <v>939</v>
      </c>
      <c r="G1123" s="52" t="s">
        <v>485</v>
      </c>
      <c r="H1123" s="46" t="s">
        <v>999</v>
      </c>
      <c r="I1123" s="12" t="s">
        <v>965</v>
      </c>
      <c r="J1123" s="43">
        <v>46129</v>
      </c>
      <c r="K1123" s="48">
        <v>7</v>
      </c>
      <c r="L1123" s="49">
        <v>7</v>
      </c>
      <c r="M1123" s="48">
        <v>33813.56</v>
      </c>
      <c r="N1123" s="48">
        <v>4830.51</v>
      </c>
      <c r="O1123" s="50">
        <v>9</v>
      </c>
      <c r="P1123" s="50">
        <v>9</v>
      </c>
      <c r="Q1123" s="51">
        <f t="shared" si="47"/>
        <v>39900.000799999994</v>
      </c>
      <c r="R1123" s="48"/>
      <c r="S1123" s="24">
        <v>261209004561</v>
      </c>
      <c r="T1123" s="43">
        <v>46259</v>
      </c>
      <c r="U1123" s="43" t="s">
        <v>952</v>
      </c>
      <c r="V1123" s="46" t="s">
        <v>33</v>
      </c>
      <c r="W1123" s="45"/>
    </row>
    <row r="1124" spans="1:23" ht="34.950000000000003" customHeight="1" x14ac:dyDescent="0.25">
      <c r="A1124" s="12">
        <f>SUBTOTAL(3,$B$2:B1124)</f>
        <v>1123</v>
      </c>
      <c r="B1124" s="42">
        <v>662</v>
      </c>
      <c r="C1124" s="43">
        <v>46258</v>
      </c>
      <c r="D1124" s="42">
        <v>82608250033</v>
      </c>
      <c r="E1124" s="43">
        <v>46259</v>
      </c>
      <c r="F1124" s="45" t="s">
        <v>939</v>
      </c>
      <c r="G1124" s="52" t="s">
        <v>485</v>
      </c>
      <c r="H1124" s="46" t="s">
        <v>999</v>
      </c>
      <c r="I1124" s="12" t="s">
        <v>965</v>
      </c>
      <c r="J1124" s="43">
        <v>46129</v>
      </c>
      <c r="K1124" s="48">
        <v>7</v>
      </c>
      <c r="L1124" s="49">
        <v>7</v>
      </c>
      <c r="M1124" s="48">
        <v>33813.56</v>
      </c>
      <c r="N1124" s="48">
        <v>4830.51</v>
      </c>
      <c r="O1124" s="50">
        <v>9</v>
      </c>
      <c r="P1124" s="50">
        <v>9</v>
      </c>
      <c r="Q1124" s="51">
        <f t="shared" si="47"/>
        <v>39900.000799999994</v>
      </c>
      <c r="R1124" s="48"/>
      <c r="S1124" s="24">
        <v>261209004562</v>
      </c>
      <c r="T1124" s="43">
        <v>46259</v>
      </c>
      <c r="U1124" s="43" t="s">
        <v>953</v>
      </c>
      <c r="V1124" s="46" t="s">
        <v>33</v>
      </c>
      <c r="W1124" s="45"/>
    </row>
    <row r="1125" spans="1:23" ht="34.950000000000003" customHeight="1" x14ac:dyDescent="0.25">
      <c r="A1125" s="12">
        <f>SUBTOTAL(3,$B$2:B1125)</f>
        <v>1124</v>
      </c>
      <c r="B1125" s="42">
        <v>663</v>
      </c>
      <c r="C1125" s="43">
        <v>46258</v>
      </c>
      <c r="D1125" s="42">
        <v>82608250034</v>
      </c>
      <c r="E1125" s="43">
        <v>46259</v>
      </c>
      <c r="F1125" s="45" t="s">
        <v>939</v>
      </c>
      <c r="G1125" s="52" t="s">
        <v>485</v>
      </c>
      <c r="H1125" s="46" t="s">
        <v>999</v>
      </c>
      <c r="I1125" s="12" t="s">
        <v>965</v>
      </c>
      <c r="J1125" s="43">
        <v>46129</v>
      </c>
      <c r="K1125" s="48">
        <v>7</v>
      </c>
      <c r="L1125" s="49">
        <v>7</v>
      </c>
      <c r="M1125" s="48">
        <v>33813.56</v>
      </c>
      <c r="N1125" s="48">
        <v>4830.51</v>
      </c>
      <c r="O1125" s="50">
        <v>9</v>
      </c>
      <c r="P1125" s="50">
        <v>9</v>
      </c>
      <c r="Q1125" s="51">
        <f t="shared" si="47"/>
        <v>39900.000799999994</v>
      </c>
      <c r="R1125" s="48"/>
      <c r="S1125" s="24">
        <v>261209004563</v>
      </c>
      <c r="T1125" s="43">
        <v>46259</v>
      </c>
      <c r="U1125" s="43" t="s">
        <v>967</v>
      </c>
      <c r="V1125" s="46" t="s">
        <v>33</v>
      </c>
      <c r="W1125" s="45"/>
    </row>
    <row r="1126" spans="1:23" ht="34.950000000000003" customHeight="1" x14ac:dyDescent="0.25">
      <c r="A1126" s="12">
        <f>SUBTOTAL(3,$B$2:B1126)</f>
        <v>1125</v>
      </c>
      <c r="B1126" s="42">
        <v>664</v>
      </c>
      <c r="C1126" s="43">
        <v>46258</v>
      </c>
      <c r="D1126" s="42">
        <v>82608250035</v>
      </c>
      <c r="E1126" s="43">
        <v>46259</v>
      </c>
      <c r="F1126" s="45" t="s">
        <v>939</v>
      </c>
      <c r="G1126" s="52" t="s">
        <v>485</v>
      </c>
      <c r="H1126" s="46" t="s">
        <v>999</v>
      </c>
      <c r="I1126" s="12" t="s">
        <v>965</v>
      </c>
      <c r="J1126" s="43">
        <v>46129</v>
      </c>
      <c r="K1126" s="48">
        <v>7</v>
      </c>
      <c r="L1126" s="49">
        <v>7</v>
      </c>
      <c r="M1126" s="48">
        <v>33813.56</v>
      </c>
      <c r="N1126" s="48">
        <v>4830.51</v>
      </c>
      <c r="O1126" s="50">
        <v>9</v>
      </c>
      <c r="P1126" s="50">
        <v>9</v>
      </c>
      <c r="Q1126" s="51">
        <f t="shared" si="47"/>
        <v>39900.000799999994</v>
      </c>
      <c r="R1126" s="48"/>
      <c r="S1126" s="24">
        <v>261209004564</v>
      </c>
      <c r="T1126" s="43">
        <v>46259</v>
      </c>
      <c r="U1126" s="43" t="s">
        <v>949</v>
      </c>
      <c r="V1126" s="46" t="s">
        <v>33</v>
      </c>
      <c r="W1126" s="45"/>
    </row>
    <row r="1127" spans="1:23" ht="34.950000000000003" customHeight="1" x14ac:dyDescent="0.25">
      <c r="A1127" s="12">
        <f>SUBTOTAL(3,$B$2:B1127)</f>
        <v>1126</v>
      </c>
      <c r="B1127" s="42">
        <v>665</v>
      </c>
      <c r="C1127" s="43">
        <v>46258</v>
      </c>
      <c r="D1127" s="42">
        <v>82608250036</v>
      </c>
      <c r="E1127" s="43">
        <v>46259</v>
      </c>
      <c r="F1127" s="45" t="s">
        <v>939</v>
      </c>
      <c r="G1127" s="52" t="s">
        <v>485</v>
      </c>
      <c r="H1127" s="46" t="s">
        <v>999</v>
      </c>
      <c r="I1127" s="12" t="s">
        <v>965</v>
      </c>
      <c r="J1127" s="43">
        <v>46129</v>
      </c>
      <c r="K1127" s="48">
        <v>7</v>
      </c>
      <c r="L1127" s="49">
        <v>7</v>
      </c>
      <c r="M1127" s="48">
        <v>33813.56</v>
      </c>
      <c r="N1127" s="48">
        <v>4830.51</v>
      </c>
      <c r="O1127" s="50">
        <v>9</v>
      </c>
      <c r="P1127" s="50">
        <v>9</v>
      </c>
      <c r="Q1127" s="51">
        <f t="shared" si="47"/>
        <v>39900.000799999994</v>
      </c>
      <c r="R1127" s="48"/>
      <c r="S1127" s="24">
        <v>261209004565</v>
      </c>
      <c r="T1127" s="43">
        <v>46259</v>
      </c>
      <c r="U1127" s="43" t="s">
        <v>945</v>
      </c>
      <c r="V1127" s="46" t="s">
        <v>33</v>
      </c>
      <c r="W1127" s="45"/>
    </row>
    <row r="1128" spans="1:23" ht="34.950000000000003" customHeight="1" x14ac:dyDescent="0.25">
      <c r="A1128" s="12">
        <f>SUBTOTAL(3,$B$2:B1128)</f>
        <v>1127</v>
      </c>
      <c r="B1128" s="42">
        <v>666</v>
      </c>
      <c r="C1128" s="43">
        <v>46258</v>
      </c>
      <c r="D1128" s="42">
        <v>82608250037</v>
      </c>
      <c r="E1128" s="43">
        <v>46259</v>
      </c>
      <c r="F1128" s="45" t="s">
        <v>939</v>
      </c>
      <c r="G1128" s="52" t="s">
        <v>485</v>
      </c>
      <c r="H1128" s="46" t="s">
        <v>999</v>
      </c>
      <c r="I1128" s="12" t="s">
        <v>965</v>
      </c>
      <c r="J1128" s="43">
        <v>46129</v>
      </c>
      <c r="K1128" s="48">
        <v>7</v>
      </c>
      <c r="L1128" s="49">
        <v>7</v>
      </c>
      <c r="M1128" s="48">
        <v>33813.56</v>
      </c>
      <c r="N1128" s="48">
        <v>4830.51</v>
      </c>
      <c r="O1128" s="50">
        <v>9</v>
      </c>
      <c r="P1128" s="50">
        <v>9</v>
      </c>
      <c r="Q1128" s="51">
        <f t="shared" si="47"/>
        <v>39900.000799999994</v>
      </c>
      <c r="R1128" s="48"/>
      <c r="S1128" s="24">
        <v>261209004566</v>
      </c>
      <c r="T1128" s="43">
        <v>46259</v>
      </c>
      <c r="U1128" s="43" t="s">
        <v>947</v>
      </c>
      <c r="V1128" s="46" t="s">
        <v>33</v>
      </c>
      <c r="W1128" s="45"/>
    </row>
    <row r="1129" spans="1:23" ht="34.950000000000003" customHeight="1" x14ac:dyDescent="0.25">
      <c r="A1129" s="12">
        <f>SUBTOTAL(3,$B$2:B1129)</f>
        <v>1128</v>
      </c>
      <c r="B1129" s="42">
        <v>667</v>
      </c>
      <c r="C1129" s="43">
        <v>46258</v>
      </c>
      <c r="D1129" s="42">
        <v>82608250038</v>
      </c>
      <c r="E1129" s="43">
        <v>46259</v>
      </c>
      <c r="F1129" s="45" t="s">
        <v>939</v>
      </c>
      <c r="G1129" s="52" t="s">
        <v>485</v>
      </c>
      <c r="H1129" s="46" t="s">
        <v>999</v>
      </c>
      <c r="I1129" s="12" t="s">
        <v>965</v>
      </c>
      <c r="J1129" s="43">
        <v>46129</v>
      </c>
      <c r="K1129" s="48">
        <v>7</v>
      </c>
      <c r="L1129" s="49">
        <v>7</v>
      </c>
      <c r="M1129" s="48">
        <v>33813.56</v>
      </c>
      <c r="N1129" s="48">
        <v>4830.51</v>
      </c>
      <c r="O1129" s="50">
        <v>9</v>
      </c>
      <c r="P1129" s="50">
        <v>9</v>
      </c>
      <c r="Q1129" s="51">
        <f t="shared" si="47"/>
        <v>39900.000799999994</v>
      </c>
      <c r="R1129" s="48"/>
      <c r="S1129" s="24">
        <v>261209004567</v>
      </c>
      <c r="T1129" s="43">
        <v>46259</v>
      </c>
      <c r="U1129" s="43" t="s">
        <v>950</v>
      </c>
      <c r="V1129" s="46" t="s">
        <v>33</v>
      </c>
      <c r="W1129" s="45"/>
    </row>
    <row r="1130" spans="1:23" ht="34.950000000000003" customHeight="1" x14ac:dyDescent="0.25">
      <c r="A1130" s="12">
        <f>SUBTOTAL(3,$B$2:B1130)</f>
        <v>1129</v>
      </c>
      <c r="B1130" s="42">
        <v>668</v>
      </c>
      <c r="C1130" s="43">
        <v>46258</v>
      </c>
      <c r="D1130" s="42">
        <v>82608250039</v>
      </c>
      <c r="E1130" s="43">
        <v>46259</v>
      </c>
      <c r="F1130" s="45" t="s">
        <v>939</v>
      </c>
      <c r="G1130" s="52" t="s">
        <v>485</v>
      </c>
      <c r="H1130" s="46" t="s">
        <v>999</v>
      </c>
      <c r="I1130" s="12" t="s">
        <v>965</v>
      </c>
      <c r="J1130" s="43">
        <v>46129</v>
      </c>
      <c r="K1130" s="48">
        <v>7</v>
      </c>
      <c r="L1130" s="49">
        <v>7</v>
      </c>
      <c r="M1130" s="48">
        <v>33813.56</v>
      </c>
      <c r="N1130" s="48">
        <v>4830.51</v>
      </c>
      <c r="O1130" s="50">
        <v>9</v>
      </c>
      <c r="P1130" s="50">
        <v>9</v>
      </c>
      <c r="Q1130" s="51">
        <f t="shared" si="47"/>
        <v>39900.000799999994</v>
      </c>
      <c r="R1130" s="48"/>
      <c r="S1130" s="24">
        <v>261209004568</v>
      </c>
      <c r="T1130" s="43">
        <v>46259</v>
      </c>
      <c r="U1130" s="43" t="s">
        <v>941</v>
      </c>
      <c r="V1130" s="46" t="s">
        <v>33</v>
      </c>
      <c r="W1130" s="45"/>
    </row>
    <row r="1131" spans="1:23" ht="34.950000000000003" customHeight="1" x14ac:dyDescent="0.25">
      <c r="A1131" s="12">
        <f>SUBTOTAL(3,$B$2:B1131)</f>
        <v>1130</v>
      </c>
      <c r="B1131" s="42">
        <v>669</v>
      </c>
      <c r="C1131" s="43">
        <v>46258</v>
      </c>
      <c r="D1131" s="42">
        <v>82608250040</v>
      </c>
      <c r="E1131" s="43">
        <v>46259</v>
      </c>
      <c r="F1131" s="45" t="s">
        <v>939</v>
      </c>
      <c r="G1131" s="52" t="s">
        <v>485</v>
      </c>
      <c r="H1131" s="46" t="s">
        <v>999</v>
      </c>
      <c r="I1131" s="12" t="s">
        <v>965</v>
      </c>
      <c r="J1131" s="43">
        <v>46129</v>
      </c>
      <c r="K1131" s="48">
        <v>7</v>
      </c>
      <c r="L1131" s="49">
        <v>7</v>
      </c>
      <c r="M1131" s="48">
        <v>33813.56</v>
      </c>
      <c r="N1131" s="48">
        <v>4830.51</v>
      </c>
      <c r="O1131" s="50">
        <v>9</v>
      </c>
      <c r="P1131" s="50">
        <v>9</v>
      </c>
      <c r="Q1131" s="51">
        <f t="shared" si="47"/>
        <v>39900.000799999994</v>
      </c>
      <c r="R1131" s="48"/>
      <c r="S1131" s="24">
        <v>261209004569</v>
      </c>
      <c r="T1131" s="43">
        <v>46259</v>
      </c>
      <c r="U1131" s="43" t="s">
        <v>952</v>
      </c>
      <c r="V1131" s="46" t="s">
        <v>33</v>
      </c>
      <c r="W1131" s="45"/>
    </row>
    <row r="1132" spans="1:23" ht="34.950000000000003" customHeight="1" x14ac:dyDescent="0.25">
      <c r="A1132" s="12">
        <f>SUBTOTAL(3,$B$2:B1132)</f>
        <v>1131</v>
      </c>
      <c r="B1132" s="42">
        <v>670</v>
      </c>
      <c r="C1132" s="43">
        <v>46258</v>
      </c>
      <c r="D1132" s="42">
        <v>82608250041</v>
      </c>
      <c r="E1132" s="43">
        <v>46259</v>
      </c>
      <c r="F1132" s="45" t="s">
        <v>939</v>
      </c>
      <c r="G1132" s="52" t="s">
        <v>485</v>
      </c>
      <c r="H1132" s="46" t="s">
        <v>999</v>
      </c>
      <c r="I1132" s="12" t="s">
        <v>965</v>
      </c>
      <c r="J1132" s="43">
        <v>46129</v>
      </c>
      <c r="K1132" s="48">
        <v>7</v>
      </c>
      <c r="L1132" s="49">
        <v>7</v>
      </c>
      <c r="M1132" s="48">
        <v>33813.56</v>
      </c>
      <c r="N1132" s="48">
        <v>4830.51</v>
      </c>
      <c r="O1132" s="50">
        <v>9</v>
      </c>
      <c r="P1132" s="50">
        <v>9</v>
      </c>
      <c r="Q1132" s="51">
        <f t="shared" si="47"/>
        <v>39900.000799999994</v>
      </c>
      <c r="R1132" s="48"/>
      <c r="S1132" s="24">
        <v>261209004570</v>
      </c>
      <c r="T1132" s="43">
        <v>46259</v>
      </c>
      <c r="U1132" s="43" t="s">
        <v>953</v>
      </c>
      <c r="V1132" s="46" t="s">
        <v>33</v>
      </c>
      <c r="W1132" s="45"/>
    </row>
    <row r="1133" spans="1:23" ht="34.950000000000003" customHeight="1" x14ac:dyDescent="0.25">
      <c r="A1133" s="12">
        <f>SUBTOTAL(3,$B$2:B1133)</f>
        <v>1132</v>
      </c>
      <c r="B1133" s="42">
        <v>671</v>
      </c>
      <c r="C1133" s="43">
        <v>46258</v>
      </c>
      <c r="D1133" s="42">
        <v>82608250042</v>
      </c>
      <c r="E1133" s="43">
        <v>46259</v>
      </c>
      <c r="F1133" s="45" t="s">
        <v>939</v>
      </c>
      <c r="G1133" s="52" t="s">
        <v>485</v>
      </c>
      <c r="H1133" s="46" t="s">
        <v>999</v>
      </c>
      <c r="I1133" s="12" t="s">
        <v>965</v>
      </c>
      <c r="J1133" s="43">
        <v>46129</v>
      </c>
      <c r="K1133" s="48">
        <v>7</v>
      </c>
      <c r="L1133" s="49">
        <v>7</v>
      </c>
      <c r="M1133" s="48">
        <v>33813.56</v>
      </c>
      <c r="N1133" s="48">
        <v>4830.51</v>
      </c>
      <c r="O1133" s="50">
        <v>9</v>
      </c>
      <c r="P1133" s="50">
        <v>9</v>
      </c>
      <c r="Q1133" s="51">
        <f t="shared" si="47"/>
        <v>39900.000799999994</v>
      </c>
      <c r="R1133" s="48"/>
      <c r="S1133" s="24">
        <v>261209004571</v>
      </c>
      <c r="T1133" s="43">
        <v>46259</v>
      </c>
      <c r="U1133" s="43" t="s">
        <v>949</v>
      </c>
      <c r="V1133" s="46" t="s">
        <v>33</v>
      </c>
      <c r="W1133" s="45"/>
    </row>
    <row r="1134" spans="1:23" ht="34.950000000000003" customHeight="1" x14ac:dyDescent="0.25">
      <c r="A1134" s="12">
        <f>SUBTOTAL(3,$B$2:B1134)</f>
        <v>1133</v>
      </c>
      <c r="B1134" s="42">
        <v>672</v>
      </c>
      <c r="C1134" s="43">
        <v>46258</v>
      </c>
      <c r="D1134" s="42">
        <v>82608250043</v>
      </c>
      <c r="E1134" s="43">
        <v>46259</v>
      </c>
      <c r="F1134" s="45" t="s">
        <v>939</v>
      </c>
      <c r="G1134" s="52" t="s">
        <v>485</v>
      </c>
      <c r="H1134" s="46" t="s">
        <v>999</v>
      </c>
      <c r="I1134" s="12" t="s">
        <v>965</v>
      </c>
      <c r="J1134" s="43">
        <v>46129</v>
      </c>
      <c r="K1134" s="48">
        <v>7</v>
      </c>
      <c r="L1134" s="49">
        <v>7</v>
      </c>
      <c r="M1134" s="48">
        <v>33813.56</v>
      </c>
      <c r="N1134" s="48">
        <v>4830.51</v>
      </c>
      <c r="O1134" s="50">
        <v>9</v>
      </c>
      <c r="P1134" s="50">
        <v>9</v>
      </c>
      <c r="Q1134" s="51">
        <f t="shared" si="47"/>
        <v>39900.000799999994</v>
      </c>
      <c r="R1134" s="48"/>
      <c r="S1134" s="24">
        <v>261225004063</v>
      </c>
      <c r="T1134" s="43">
        <v>46259</v>
      </c>
      <c r="U1134" s="43" t="s">
        <v>1071</v>
      </c>
      <c r="V1134" s="46" t="s">
        <v>33</v>
      </c>
      <c r="W1134" s="45"/>
    </row>
    <row r="1135" spans="1:23" ht="34.950000000000003" customHeight="1" x14ac:dyDescent="0.25">
      <c r="A1135" s="12">
        <f>SUBTOTAL(3,$B$2:B1135)</f>
        <v>1134</v>
      </c>
      <c r="B1135" s="42">
        <v>673</v>
      </c>
      <c r="C1135" s="43">
        <v>46258</v>
      </c>
      <c r="D1135" s="42">
        <v>82608250044</v>
      </c>
      <c r="E1135" s="43">
        <v>46259</v>
      </c>
      <c r="F1135" s="45" t="s">
        <v>939</v>
      </c>
      <c r="G1135" s="52" t="s">
        <v>485</v>
      </c>
      <c r="H1135" s="46" t="s">
        <v>999</v>
      </c>
      <c r="I1135" s="12" t="s">
        <v>965</v>
      </c>
      <c r="J1135" s="43">
        <v>46129</v>
      </c>
      <c r="K1135" s="48">
        <v>7</v>
      </c>
      <c r="L1135" s="49">
        <v>7</v>
      </c>
      <c r="M1135" s="48">
        <v>33813.56</v>
      </c>
      <c r="N1135" s="48">
        <v>4830.51</v>
      </c>
      <c r="O1135" s="50">
        <v>9</v>
      </c>
      <c r="P1135" s="50">
        <v>9</v>
      </c>
      <c r="Q1135" s="51">
        <f t="shared" si="47"/>
        <v>39900.000799999994</v>
      </c>
      <c r="R1135" s="48"/>
      <c r="S1135" s="24">
        <v>261209004572</v>
      </c>
      <c r="T1135" s="43">
        <v>46259</v>
      </c>
      <c r="U1135" s="43" t="s">
        <v>1069</v>
      </c>
      <c r="V1135" s="46" t="s">
        <v>33</v>
      </c>
      <c r="W1135" s="45"/>
    </row>
    <row r="1136" spans="1:23" ht="34.950000000000003" customHeight="1" x14ac:dyDescent="0.25">
      <c r="A1136" s="12">
        <f>SUBTOTAL(3,$B$2:B1136)</f>
        <v>1135</v>
      </c>
      <c r="B1136" s="42">
        <v>674</v>
      </c>
      <c r="C1136" s="43">
        <v>46258</v>
      </c>
      <c r="D1136" s="42">
        <v>82608250045</v>
      </c>
      <c r="E1136" s="43">
        <v>46259</v>
      </c>
      <c r="F1136" s="45" t="s">
        <v>939</v>
      </c>
      <c r="G1136" s="52" t="s">
        <v>485</v>
      </c>
      <c r="H1136" s="46" t="s">
        <v>999</v>
      </c>
      <c r="I1136" s="12" t="s">
        <v>965</v>
      </c>
      <c r="J1136" s="43">
        <v>46129</v>
      </c>
      <c r="K1136" s="48">
        <v>7</v>
      </c>
      <c r="L1136" s="49">
        <v>7</v>
      </c>
      <c r="M1136" s="48">
        <v>33813.56</v>
      </c>
      <c r="N1136" s="48">
        <v>4830.51</v>
      </c>
      <c r="O1136" s="50">
        <v>9</v>
      </c>
      <c r="P1136" s="50">
        <v>9</v>
      </c>
      <c r="Q1136" s="51">
        <f t="shared" si="47"/>
        <v>39900.000799999994</v>
      </c>
      <c r="R1136" s="48"/>
      <c r="S1136" s="24">
        <v>261225004064</v>
      </c>
      <c r="T1136" s="43">
        <v>46259</v>
      </c>
      <c r="U1136" s="43" t="s">
        <v>1076</v>
      </c>
      <c r="V1136" s="46" t="s">
        <v>33</v>
      </c>
      <c r="W1136" s="45"/>
    </row>
    <row r="1137" spans="1:23" ht="34.950000000000003" customHeight="1" x14ac:dyDescent="0.25">
      <c r="A1137" s="12">
        <f>SUBTOTAL(3,$B$2:B1137)</f>
        <v>1136</v>
      </c>
      <c r="B1137" s="42">
        <v>675</v>
      </c>
      <c r="C1137" s="43">
        <v>46258</v>
      </c>
      <c r="D1137" s="42">
        <v>82608250046</v>
      </c>
      <c r="E1137" s="43">
        <v>46259</v>
      </c>
      <c r="F1137" s="45" t="s">
        <v>939</v>
      </c>
      <c r="G1137" s="52" t="s">
        <v>485</v>
      </c>
      <c r="H1137" s="46" t="s">
        <v>999</v>
      </c>
      <c r="I1137" s="12" t="s">
        <v>965</v>
      </c>
      <c r="J1137" s="43">
        <v>46129</v>
      </c>
      <c r="K1137" s="48">
        <v>7</v>
      </c>
      <c r="L1137" s="49">
        <v>7</v>
      </c>
      <c r="M1137" s="48">
        <v>33813.56</v>
      </c>
      <c r="N1137" s="48">
        <v>4830.51</v>
      </c>
      <c r="O1137" s="50">
        <v>9</v>
      </c>
      <c r="P1137" s="50">
        <v>9</v>
      </c>
      <c r="Q1137" s="51">
        <f t="shared" si="47"/>
        <v>39900.000799999994</v>
      </c>
      <c r="R1137" s="48"/>
      <c r="S1137" s="24">
        <v>261225004065</v>
      </c>
      <c r="T1137" s="43">
        <v>46259</v>
      </c>
      <c r="U1137" s="43" t="s">
        <v>1077</v>
      </c>
      <c r="V1137" s="46" t="s">
        <v>33</v>
      </c>
      <c r="W1137" s="45"/>
    </row>
    <row r="1138" spans="1:23" ht="34.950000000000003" customHeight="1" x14ac:dyDescent="0.25">
      <c r="A1138" s="12">
        <f>SUBTOTAL(3,$B$2:B1138)</f>
        <v>1137</v>
      </c>
      <c r="B1138" s="42">
        <v>676</v>
      </c>
      <c r="C1138" s="43">
        <v>46258</v>
      </c>
      <c r="D1138" s="42">
        <v>82608250047</v>
      </c>
      <c r="E1138" s="43">
        <v>46259</v>
      </c>
      <c r="F1138" s="45" t="s">
        <v>939</v>
      </c>
      <c r="G1138" s="52" t="s">
        <v>485</v>
      </c>
      <c r="H1138" s="46" t="s">
        <v>999</v>
      </c>
      <c r="I1138" s="12" t="s">
        <v>965</v>
      </c>
      <c r="J1138" s="43">
        <v>46129</v>
      </c>
      <c r="K1138" s="48">
        <v>7</v>
      </c>
      <c r="L1138" s="49">
        <v>7</v>
      </c>
      <c r="M1138" s="48">
        <v>33813.56</v>
      </c>
      <c r="N1138" s="48">
        <v>4830.51</v>
      </c>
      <c r="O1138" s="50">
        <v>9</v>
      </c>
      <c r="P1138" s="50">
        <v>9</v>
      </c>
      <c r="Q1138" s="51">
        <f t="shared" si="47"/>
        <v>39900.000799999994</v>
      </c>
      <c r="R1138" s="48"/>
      <c r="S1138" s="24">
        <v>261225004066</v>
      </c>
      <c r="T1138" s="43">
        <v>46259</v>
      </c>
      <c r="U1138" s="43" t="s">
        <v>1073</v>
      </c>
      <c r="V1138" s="46" t="s">
        <v>33</v>
      </c>
      <c r="W1138" s="45"/>
    </row>
    <row r="1139" spans="1:23" ht="34.950000000000003" customHeight="1" x14ac:dyDescent="0.25">
      <c r="A1139" s="12">
        <f>SUBTOTAL(3,$B$2:B1139)</f>
        <v>1138</v>
      </c>
      <c r="B1139" s="42">
        <v>677</v>
      </c>
      <c r="C1139" s="43">
        <v>46258</v>
      </c>
      <c r="D1139" s="42">
        <v>82608250049</v>
      </c>
      <c r="E1139" s="43">
        <v>46259</v>
      </c>
      <c r="F1139" s="45" t="s">
        <v>939</v>
      </c>
      <c r="G1139" s="52" t="s">
        <v>485</v>
      </c>
      <c r="H1139" s="46" t="s">
        <v>999</v>
      </c>
      <c r="I1139" s="12" t="s">
        <v>965</v>
      </c>
      <c r="J1139" s="43">
        <v>46129</v>
      </c>
      <c r="K1139" s="48">
        <v>7</v>
      </c>
      <c r="L1139" s="49">
        <v>7</v>
      </c>
      <c r="M1139" s="48">
        <v>33813.56</v>
      </c>
      <c r="N1139" s="48">
        <v>4830.51</v>
      </c>
      <c r="O1139" s="50">
        <v>9</v>
      </c>
      <c r="P1139" s="50">
        <v>9</v>
      </c>
      <c r="Q1139" s="51">
        <f t="shared" si="47"/>
        <v>39900.000799999994</v>
      </c>
      <c r="R1139" s="48"/>
      <c r="S1139" s="24">
        <v>261209004574</v>
      </c>
      <c r="T1139" s="43">
        <v>46259</v>
      </c>
      <c r="U1139" s="43" t="s">
        <v>947</v>
      </c>
      <c r="V1139" s="46" t="s">
        <v>33</v>
      </c>
      <c r="W1139" s="45"/>
    </row>
    <row r="1140" spans="1:23" ht="34.950000000000003" customHeight="1" x14ac:dyDescent="0.25">
      <c r="A1140" s="12">
        <f>SUBTOTAL(3,$B$2:B1140)</f>
        <v>1139</v>
      </c>
      <c r="B1140" s="42">
        <v>678</v>
      </c>
      <c r="C1140" s="43">
        <v>46258</v>
      </c>
      <c r="D1140" s="42">
        <v>82608250050</v>
      </c>
      <c r="E1140" s="43">
        <v>46259</v>
      </c>
      <c r="F1140" s="45" t="s">
        <v>939</v>
      </c>
      <c r="G1140" s="52" t="s">
        <v>485</v>
      </c>
      <c r="H1140" s="46" t="s">
        <v>999</v>
      </c>
      <c r="I1140" s="12" t="s">
        <v>965</v>
      </c>
      <c r="J1140" s="43">
        <v>46129</v>
      </c>
      <c r="K1140" s="48">
        <v>7</v>
      </c>
      <c r="L1140" s="49">
        <v>7</v>
      </c>
      <c r="M1140" s="48">
        <v>33813.56</v>
      </c>
      <c r="N1140" s="48">
        <v>4830.51</v>
      </c>
      <c r="O1140" s="50">
        <v>9</v>
      </c>
      <c r="P1140" s="50">
        <v>9</v>
      </c>
      <c r="Q1140" s="51">
        <f t="shared" si="47"/>
        <v>39900.000799999994</v>
      </c>
      <c r="R1140" s="48"/>
      <c r="S1140" s="24">
        <v>261209004575</v>
      </c>
      <c r="T1140" s="43">
        <v>46259</v>
      </c>
      <c r="U1140" s="43" t="s">
        <v>950</v>
      </c>
      <c r="V1140" s="46" t="s">
        <v>33</v>
      </c>
      <c r="W1140" s="45"/>
    </row>
    <row r="1141" spans="1:23" ht="34.950000000000003" customHeight="1" x14ac:dyDescent="0.25">
      <c r="A1141" s="12">
        <f>SUBTOTAL(3,$B$2:B1141)</f>
        <v>1140</v>
      </c>
      <c r="B1141" s="42">
        <v>679</v>
      </c>
      <c r="C1141" s="43">
        <v>46258</v>
      </c>
      <c r="D1141" s="42">
        <v>82608250048</v>
      </c>
      <c r="E1141" s="43">
        <v>46259</v>
      </c>
      <c r="F1141" s="45" t="s">
        <v>939</v>
      </c>
      <c r="G1141" s="52" t="s">
        <v>485</v>
      </c>
      <c r="H1141" s="46" t="s">
        <v>999</v>
      </c>
      <c r="I1141" s="12" t="s">
        <v>965</v>
      </c>
      <c r="J1141" s="43">
        <v>46129</v>
      </c>
      <c r="K1141" s="48">
        <v>7</v>
      </c>
      <c r="L1141" s="49">
        <v>7</v>
      </c>
      <c r="M1141" s="48">
        <v>33813.56</v>
      </c>
      <c r="N1141" s="48">
        <v>4830.51</v>
      </c>
      <c r="O1141" s="50">
        <v>9</v>
      </c>
      <c r="P1141" s="50">
        <v>9</v>
      </c>
      <c r="Q1141" s="51">
        <f t="shared" si="47"/>
        <v>39900.000799999994</v>
      </c>
      <c r="R1141" s="48"/>
      <c r="S1141" s="24">
        <v>261209004573</v>
      </c>
      <c r="T1141" s="43">
        <v>46259</v>
      </c>
      <c r="U1141" s="43" t="s">
        <v>945</v>
      </c>
      <c r="V1141" s="46" t="s">
        <v>33</v>
      </c>
      <c r="W1141" s="45"/>
    </row>
    <row r="1142" spans="1:23" ht="34.950000000000003" customHeight="1" x14ac:dyDescent="0.25">
      <c r="A1142" s="12">
        <f>SUBTOTAL(3,$B$2:B1142)</f>
        <v>1141</v>
      </c>
      <c r="B1142" s="42">
        <v>680</v>
      </c>
      <c r="C1142" s="43">
        <v>46258</v>
      </c>
      <c r="D1142" s="42">
        <v>82608250051</v>
      </c>
      <c r="E1142" s="43">
        <v>46259</v>
      </c>
      <c r="F1142" s="45" t="s">
        <v>939</v>
      </c>
      <c r="G1142" s="52" t="s">
        <v>485</v>
      </c>
      <c r="H1142" s="46" t="s">
        <v>999</v>
      </c>
      <c r="I1142" s="12" t="s">
        <v>965</v>
      </c>
      <c r="J1142" s="43">
        <v>46129</v>
      </c>
      <c r="K1142" s="48">
        <v>7</v>
      </c>
      <c r="L1142" s="49">
        <v>7</v>
      </c>
      <c r="M1142" s="48">
        <v>33813.56</v>
      </c>
      <c r="N1142" s="48">
        <v>4830.51</v>
      </c>
      <c r="O1142" s="50">
        <v>9</v>
      </c>
      <c r="P1142" s="50">
        <v>9</v>
      </c>
      <c r="Q1142" s="51">
        <f t="shared" si="47"/>
        <v>39900.000799999994</v>
      </c>
      <c r="R1142" s="48"/>
      <c r="S1142" s="24">
        <v>261209004576</v>
      </c>
      <c r="T1142" s="43">
        <v>46259</v>
      </c>
      <c r="U1142" s="43" t="s">
        <v>967</v>
      </c>
      <c r="V1142" s="46" t="s">
        <v>33</v>
      </c>
      <c r="W1142" s="45"/>
    </row>
    <row r="1143" spans="1:23" ht="34.950000000000003" customHeight="1" x14ac:dyDescent="0.25">
      <c r="A1143" s="12">
        <f>SUBTOTAL(3,$B$2:B1143)</f>
        <v>1142</v>
      </c>
      <c r="B1143" s="42">
        <v>681</v>
      </c>
      <c r="C1143" s="43">
        <v>46258</v>
      </c>
      <c r="D1143" s="42">
        <v>82608250052</v>
      </c>
      <c r="E1143" s="43">
        <v>46259</v>
      </c>
      <c r="F1143" s="45" t="s">
        <v>939</v>
      </c>
      <c r="G1143" s="52" t="s">
        <v>485</v>
      </c>
      <c r="H1143" s="46" t="s">
        <v>999</v>
      </c>
      <c r="I1143" s="12" t="s">
        <v>965</v>
      </c>
      <c r="J1143" s="43">
        <v>46129</v>
      </c>
      <c r="K1143" s="48">
        <v>7</v>
      </c>
      <c r="L1143" s="49">
        <v>7</v>
      </c>
      <c r="M1143" s="48">
        <v>33813.56</v>
      </c>
      <c r="N1143" s="48">
        <v>4830.51</v>
      </c>
      <c r="O1143" s="50">
        <v>9</v>
      </c>
      <c r="P1143" s="50">
        <v>9</v>
      </c>
      <c r="Q1143" s="51">
        <f t="shared" si="47"/>
        <v>39900.000799999994</v>
      </c>
      <c r="R1143" s="48"/>
      <c r="S1143" s="24">
        <v>261209004583</v>
      </c>
      <c r="T1143" s="43">
        <v>46259</v>
      </c>
      <c r="U1143" s="43" t="s">
        <v>1069</v>
      </c>
      <c r="V1143" s="46" t="s">
        <v>33</v>
      </c>
      <c r="W1143" s="45"/>
    </row>
    <row r="1144" spans="1:23" ht="34.950000000000003" customHeight="1" x14ac:dyDescent="0.25">
      <c r="A1144" s="12">
        <f>SUBTOTAL(3,$B$2:B1144)</f>
        <v>1143</v>
      </c>
      <c r="B1144" s="42">
        <v>682</v>
      </c>
      <c r="C1144" s="43">
        <v>46258</v>
      </c>
      <c r="D1144" s="42">
        <v>82608250053</v>
      </c>
      <c r="E1144" s="43">
        <v>46259</v>
      </c>
      <c r="F1144" s="45" t="s">
        <v>939</v>
      </c>
      <c r="G1144" s="52" t="s">
        <v>485</v>
      </c>
      <c r="H1144" s="46" t="s">
        <v>999</v>
      </c>
      <c r="I1144" s="12" t="s">
        <v>965</v>
      </c>
      <c r="J1144" s="43">
        <v>46129</v>
      </c>
      <c r="K1144" s="48">
        <v>7</v>
      </c>
      <c r="L1144" s="49">
        <v>7</v>
      </c>
      <c r="M1144" s="48">
        <v>33813.56</v>
      </c>
      <c r="N1144" s="48">
        <v>4830.51</v>
      </c>
      <c r="O1144" s="50">
        <v>9</v>
      </c>
      <c r="P1144" s="50">
        <v>9</v>
      </c>
      <c r="Q1144" s="51">
        <f t="shared" si="47"/>
        <v>39900.000799999994</v>
      </c>
      <c r="R1144" s="48"/>
      <c r="S1144" s="24">
        <v>261209004584</v>
      </c>
      <c r="T1144" s="43">
        <v>46259</v>
      </c>
      <c r="U1144" s="43" t="s">
        <v>1078</v>
      </c>
      <c r="V1144" s="46" t="s">
        <v>33</v>
      </c>
      <c r="W1144" s="45"/>
    </row>
    <row r="1145" spans="1:23" ht="34.950000000000003" customHeight="1" x14ac:dyDescent="0.25">
      <c r="A1145" s="12">
        <f>SUBTOTAL(3,$B$2:B1145)</f>
        <v>1144</v>
      </c>
      <c r="B1145" s="42">
        <v>683</v>
      </c>
      <c r="C1145" s="43">
        <v>46261</v>
      </c>
      <c r="D1145" s="42">
        <v>82608280002</v>
      </c>
      <c r="E1145" s="43">
        <v>46262</v>
      </c>
      <c r="F1145" s="45" t="s">
        <v>1054</v>
      </c>
      <c r="G1145" s="52" t="s">
        <v>1079</v>
      </c>
      <c r="H1145" s="46" t="s">
        <v>23</v>
      </c>
      <c r="I1145" s="12" t="s">
        <v>1033</v>
      </c>
      <c r="J1145" s="43">
        <v>46237</v>
      </c>
      <c r="K1145" s="48">
        <v>1000</v>
      </c>
      <c r="L1145" s="49">
        <v>1000</v>
      </c>
      <c r="M1145" s="48">
        <v>90000</v>
      </c>
      <c r="N1145" s="48">
        <v>90</v>
      </c>
      <c r="O1145" s="122">
        <v>2.5</v>
      </c>
      <c r="P1145" s="122">
        <v>2.5</v>
      </c>
      <c r="Q1145" s="51">
        <f t="shared" si="47"/>
        <v>94500</v>
      </c>
      <c r="R1145" s="48"/>
      <c r="S1145" s="24" t="s">
        <v>1080</v>
      </c>
      <c r="T1145" s="43">
        <v>46261</v>
      </c>
      <c r="U1145" s="43" t="s">
        <v>1057</v>
      </c>
      <c r="V1145" s="46" t="s">
        <v>33</v>
      </c>
      <c r="W1145" s="45"/>
    </row>
    <row r="1146" spans="1:23" ht="34.950000000000003" customHeight="1" x14ac:dyDescent="0.25">
      <c r="A1146" s="12">
        <f>SUBTOTAL(3,$B$2:B1146)</f>
        <v>1145</v>
      </c>
      <c r="B1146" s="42">
        <v>684</v>
      </c>
      <c r="C1146" s="43">
        <v>46260</v>
      </c>
      <c r="D1146" s="42">
        <v>82608310001</v>
      </c>
      <c r="E1146" s="43">
        <v>46265</v>
      </c>
      <c r="F1146" s="45" t="s">
        <v>1081</v>
      </c>
      <c r="G1146" s="52" t="s">
        <v>1082</v>
      </c>
      <c r="H1146" s="46" t="s">
        <v>16</v>
      </c>
      <c r="I1146" s="12"/>
      <c r="J1146" s="43"/>
      <c r="K1146" s="48">
        <v>1</v>
      </c>
      <c r="L1146" s="49">
        <v>1</v>
      </c>
      <c r="M1146" s="48">
        <v>16618.060000000001</v>
      </c>
      <c r="N1146" s="48">
        <v>19609.310000000001</v>
      </c>
      <c r="O1146" s="50">
        <v>9</v>
      </c>
      <c r="P1146" s="50">
        <v>9</v>
      </c>
      <c r="Q1146" s="51">
        <f t="shared" ref="Q1146:Q1209" si="48">IF(M1146="","",M1146*(1+(O1146+P1146)/100))</f>
        <v>19609.310799999999</v>
      </c>
      <c r="R1146" s="48"/>
      <c r="S1146" s="24">
        <v>1965</v>
      </c>
      <c r="T1146" s="43">
        <v>46260</v>
      </c>
      <c r="U1146" s="43" t="s">
        <v>1083</v>
      </c>
      <c r="V1146" s="46" t="s">
        <v>247</v>
      </c>
      <c r="W1146" s="54" t="s">
        <v>166</v>
      </c>
    </row>
    <row r="1147" spans="1:23" ht="34.950000000000003" customHeight="1" x14ac:dyDescent="0.25">
      <c r="A1147" s="12">
        <f>SUBTOTAL(3,$B$2:B1147)</f>
        <v>1146</v>
      </c>
      <c r="B1147" s="42">
        <v>685</v>
      </c>
      <c r="C1147" s="43">
        <v>46260</v>
      </c>
      <c r="D1147" s="42">
        <v>82608310003</v>
      </c>
      <c r="E1147" s="43">
        <v>46265</v>
      </c>
      <c r="F1147" s="45" t="s">
        <v>1081</v>
      </c>
      <c r="G1147" s="52" t="s">
        <v>315</v>
      </c>
      <c r="H1147" s="46" t="s">
        <v>16</v>
      </c>
      <c r="I1147" s="12"/>
      <c r="J1147" s="43"/>
      <c r="K1147" s="48">
        <v>1</v>
      </c>
      <c r="L1147" s="48">
        <v>1</v>
      </c>
      <c r="M1147" s="48">
        <v>60</v>
      </c>
      <c r="N1147" s="48">
        <v>60</v>
      </c>
      <c r="O1147" s="50"/>
      <c r="P1147" s="50"/>
      <c r="Q1147" s="51">
        <f t="shared" si="48"/>
        <v>60</v>
      </c>
      <c r="R1147" s="48"/>
      <c r="S1147" s="24" t="s">
        <v>1084</v>
      </c>
      <c r="T1147" s="43">
        <v>46260</v>
      </c>
      <c r="U1147" s="43" t="s">
        <v>1083</v>
      </c>
      <c r="V1147" s="46" t="s">
        <v>247</v>
      </c>
      <c r="W1147" s="45"/>
    </row>
    <row r="1148" spans="1:23" ht="34.950000000000003" customHeight="1" x14ac:dyDescent="0.25">
      <c r="A1148" s="12">
        <f>SUBTOTAL(3,$B$2:B1148)</f>
        <v>1147</v>
      </c>
      <c r="B1148" s="42">
        <v>685</v>
      </c>
      <c r="C1148" s="43">
        <v>46260</v>
      </c>
      <c r="D1148" s="42">
        <v>82608310003</v>
      </c>
      <c r="E1148" s="43">
        <v>46265</v>
      </c>
      <c r="F1148" s="45" t="s">
        <v>1081</v>
      </c>
      <c r="G1148" s="52" t="s">
        <v>310</v>
      </c>
      <c r="H1148" s="46" t="s">
        <v>16</v>
      </c>
      <c r="I1148" s="12"/>
      <c r="J1148" s="43"/>
      <c r="K1148" s="48">
        <v>5</v>
      </c>
      <c r="L1148" s="48">
        <v>5</v>
      </c>
      <c r="M1148" s="48">
        <v>250</v>
      </c>
      <c r="N1148" s="48">
        <v>50</v>
      </c>
      <c r="O1148" s="50"/>
      <c r="P1148" s="50"/>
      <c r="Q1148" s="51">
        <f t="shared" si="48"/>
        <v>250</v>
      </c>
      <c r="R1148" s="48"/>
      <c r="S1148" s="24" t="s">
        <v>1084</v>
      </c>
      <c r="T1148" s="43">
        <v>46260</v>
      </c>
      <c r="U1148" s="43" t="s">
        <v>1083</v>
      </c>
      <c r="V1148" s="46" t="s">
        <v>247</v>
      </c>
      <c r="W1148" s="45"/>
    </row>
    <row r="1149" spans="1:23" ht="34.950000000000003" customHeight="1" x14ac:dyDescent="0.25">
      <c r="A1149" s="12">
        <f>SUBTOTAL(3,$B$2:B1149)</f>
        <v>1148</v>
      </c>
      <c r="B1149" s="42">
        <v>685</v>
      </c>
      <c r="C1149" s="43">
        <v>46260</v>
      </c>
      <c r="D1149" s="42">
        <v>82608310003</v>
      </c>
      <c r="E1149" s="43">
        <v>46265</v>
      </c>
      <c r="F1149" s="45" t="s">
        <v>1081</v>
      </c>
      <c r="G1149" s="52" t="s">
        <v>307</v>
      </c>
      <c r="H1149" s="46" t="s">
        <v>16</v>
      </c>
      <c r="I1149" s="12"/>
      <c r="J1149" s="43"/>
      <c r="K1149" s="48">
        <v>10</v>
      </c>
      <c r="L1149" s="48">
        <v>10</v>
      </c>
      <c r="M1149" s="48">
        <v>3620</v>
      </c>
      <c r="N1149" s="48">
        <v>362</v>
      </c>
      <c r="O1149" s="50"/>
      <c r="P1149" s="50"/>
      <c r="Q1149" s="51">
        <f t="shared" si="48"/>
        <v>3620</v>
      </c>
      <c r="R1149" s="48"/>
      <c r="S1149" s="24" t="s">
        <v>1084</v>
      </c>
      <c r="T1149" s="43">
        <v>46260</v>
      </c>
      <c r="U1149" s="43" t="s">
        <v>1083</v>
      </c>
      <c r="V1149" s="46" t="s">
        <v>247</v>
      </c>
      <c r="W1149" s="45"/>
    </row>
    <row r="1150" spans="1:23" ht="34.950000000000003" customHeight="1" x14ac:dyDescent="0.25">
      <c r="A1150" s="12">
        <f>SUBTOTAL(3,$B$2:B1150)</f>
        <v>1149</v>
      </c>
      <c r="B1150" s="42">
        <v>685</v>
      </c>
      <c r="C1150" s="43">
        <v>46260</v>
      </c>
      <c r="D1150" s="42">
        <v>82608310003</v>
      </c>
      <c r="E1150" s="43">
        <v>46265</v>
      </c>
      <c r="F1150" s="45" t="s">
        <v>1081</v>
      </c>
      <c r="G1150" s="52" t="s">
        <v>312</v>
      </c>
      <c r="H1150" s="46" t="s">
        <v>16</v>
      </c>
      <c r="I1150" s="12"/>
      <c r="J1150" s="43"/>
      <c r="K1150" s="48">
        <v>2</v>
      </c>
      <c r="L1150" s="48">
        <v>2</v>
      </c>
      <c r="M1150" s="48">
        <v>120</v>
      </c>
      <c r="N1150" s="48">
        <v>60</v>
      </c>
      <c r="O1150" s="50"/>
      <c r="P1150" s="50"/>
      <c r="Q1150" s="51">
        <f t="shared" si="48"/>
        <v>120</v>
      </c>
      <c r="R1150" s="48"/>
      <c r="S1150" s="24" t="s">
        <v>1084</v>
      </c>
      <c r="T1150" s="43">
        <v>46260</v>
      </c>
      <c r="U1150" s="43" t="s">
        <v>1083</v>
      </c>
      <c r="V1150" s="46" t="s">
        <v>247</v>
      </c>
      <c r="W1150" s="45"/>
    </row>
    <row r="1151" spans="1:23" ht="34.950000000000003" customHeight="1" x14ac:dyDescent="0.25">
      <c r="A1151" s="12">
        <f>SUBTOTAL(3,$B$2:B1151)</f>
        <v>1150</v>
      </c>
      <c r="B1151" s="42">
        <v>685</v>
      </c>
      <c r="C1151" s="43">
        <v>46260</v>
      </c>
      <c r="D1151" s="42">
        <v>82608310003</v>
      </c>
      <c r="E1151" s="43">
        <v>46265</v>
      </c>
      <c r="F1151" s="45" t="s">
        <v>1081</v>
      </c>
      <c r="G1151" s="52" t="s">
        <v>313</v>
      </c>
      <c r="H1151" s="46" t="s">
        <v>16</v>
      </c>
      <c r="I1151" s="12"/>
      <c r="J1151" s="43"/>
      <c r="K1151" s="48">
        <v>1</v>
      </c>
      <c r="L1151" s="48">
        <v>1</v>
      </c>
      <c r="M1151" s="48">
        <v>60</v>
      </c>
      <c r="N1151" s="48">
        <v>60</v>
      </c>
      <c r="O1151" s="50"/>
      <c r="P1151" s="50"/>
      <c r="Q1151" s="51">
        <f t="shared" si="48"/>
        <v>60</v>
      </c>
      <c r="R1151" s="48"/>
      <c r="S1151" s="24" t="s">
        <v>1084</v>
      </c>
      <c r="T1151" s="43">
        <v>46260</v>
      </c>
      <c r="U1151" s="43" t="s">
        <v>1083</v>
      </c>
      <c r="V1151" s="46" t="s">
        <v>247</v>
      </c>
      <c r="W1151" s="45"/>
    </row>
    <row r="1152" spans="1:23" ht="34.950000000000003" customHeight="1" x14ac:dyDescent="0.25">
      <c r="A1152" s="12">
        <f>SUBTOTAL(3,$B$2:B1152)</f>
        <v>1151</v>
      </c>
      <c r="B1152" s="42">
        <v>685</v>
      </c>
      <c r="C1152" s="43">
        <v>46260</v>
      </c>
      <c r="D1152" s="42">
        <v>82608310003</v>
      </c>
      <c r="E1152" s="43">
        <v>46265</v>
      </c>
      <c r="F1152" s="45" t="s">
        <v>1081</v>
      </c>
      <c r="G1152" s="52" t="s">
        <v>323</v>
      </c>
      <c r="H1152" s="46" t="s">
        <v>16</v>
      </c>
      <c r="I1152" s="12"/>
      <c r="J1152" s="43"/>
      <c r="K1152" s="48">
        <v>2</v>
      </c>
      <c r="L1152" s="48">
        <v>2</v>
      </c>
      <c r="M1152" s="48">
        <v>20</v>
      </c>
      <c r="N1152" s="48">
        <v>10</v>
      </c>
      <c r="O1152" s="50"/>
      <c r="P1152" s="50"/>
      <c r="Q1152" s="51">
        <f t="shared" si="48"/>
        <v>20</v>
      </c>
      <c r="R1152" s="48"/>
      <c r="S1152" s="24" t="s">
        <v>1084</v>
      </c>
      <c r="T1152" s="43">
        <v>46260</v>
      </c>
      <c r="U1152" s="43" t="s">
        <v>1083</v>
      </c>
      <c r="V1152" s="46" t="s">
        <v>247</v>
      </c>
      <c r="W1152" s="45"/>
    </row>
    <row r="1153" spans="1:23" ht="34.950000000000003" customHeight="1" x14ac:dyDescent="0.25">
      <c r="A1153" s="12">
        <f>SUBTOTAL(3,$B$2:B1153)</f>
        <v>1152</v>
      </c>
      <c r="B1153" s="42">
        <v>685</v>
      </c>
      <c r="C1153" s="43">
        <v>46260</v>
      </c>
      <c r="D1153" s="42">
        <v>82608310003</v>
      </c>
      <c r="E1153" s="43">
        <v>46265</v>
      </c>
      <c r="F1153" s="45" t="s">
        <v>1081</v>
      </c>
      <c r="G1153" s="52" t="s">
        <v>322</v>
      </c>
      <c r="H1153" s="46" t="s">
        <v>16</v>
      </c>
      <c r="I1153" s="12"/>
      <c r="J1153" s="43"/>
      <c r="K1153" s="48">
        <v>1</v>
      </c>
      <c r="L1153" s="48">
        <v>1</v>
      </c>
      <c r="M1153" s="48">
        <v>50</v>
      </c>
      <c r="N1153" s="48">
        <v>50</v>
      </c>
      <c r="O1153" s="50"/>
      <c r="P1153" s="50"/>
      <c r="Q1153" s="51">
        <f t="shared" si="48"/>
        <v>50</v>
      </c>
      <c r="R1153" s="48"/>
      <c r="S1153" s="24" t="s">
        <v>1084</v>
      </c>
      <c r="T1153" s="43">
        <v>46260</v>
      </c>
      <c r="U1153" s="43" t="s">
        <v>1083</v>
      </c>
      <c r="V1153" s="46" t="s">
        <v>247</v>
      </c>
      <c r="W1153" s="45"/>
    </row>
    <row r="1154" spans="1:23" ht="34.950000000000003" customHeight="1" x14ac:dyDescent="0.25">
      <c r="A1154" s="12">
        <f>SUBTOTAL(3,$B$2:B1154)</f>
        <v>1153</v>
      </c>
      <c r="B1154" s="42">
        <v>685</v>
      </c>
      <c r="C1154" s="43">
        <v>46260</v>
      </c>
      <c r="D1154" s="42">
        <v>82608310003</v>
      </c>
      <c r="E1154" s="43">
        <v>46265</v>
      </c>
      <c r="F1154" s="45" t="s">
        <v>1081</v>
      </c>
      <c r="G1154" s="52" t="s">
        <v>292</v>
      </c>
      <c r="H1154" s="46" t="s">
        <v>16</v>
      </c>
      <c r="I1154" s="12"/>
      <c r="J1154" s="43"/>
      <c r="K1154" s="48">
        <v>2</v>
      </c>
      <c r="L1154" s="48">
        <v>2</v>
      </c>
      <c r="M1154" s="48">
        <v>20</v>
      </c>
      <c r="N1154" s="48">
        <v>10</v>
      </c>
      <c r="O1154" s="50"/>
      <c r="P1154" s="50"/>
      <c r="Q1154" s="51">
        <f t="shared" si="48"/>
        <v>20</v>
      </c>
      <c r="R1154" s="48"/>
      <c r="S1154" s="24" t="s">
        <v>1084</v>
      </c>
      <c r="T1154" s="43">
        <v>46260</v>
      </c>
      <c r="U1154" s="43" t="s">
        <v>1083</v>
      </c>
      <c r="V1154" s="46" t="s">
        <v>247</v>
      </c>
      <c r="W1154" s="45"/>
    </row>
    <row r="1155" spans="1:23" ht="34.950000000000003" customHeight="1" x14ac:dyDescent="0.25">
      <c r="A1155" s="12">
        <f>SUBTOTAL(3,$B$2:B1155)</f>
        <v>1154</v>
      </c>
      <c r="B1155" s="42">
        <v>686</v>
      </c>
      <c r="C1155" s="43">
        <v>46263</v>
      </c>
      <c r="D1155" s="42">
        <v>82608310004</v>
      </c>
      <c r="E1155" s="43">
        <v>46265</v>
      </c>
      <c r="F1155" s="45" t="s">
        <v>518</v>
      </c>
      <c r="G1155" s="52" t="s">
        <v>639</v>
      </c>
      <c r="H1155" s="46" t="s">
        <v>16</v>
      </c>
      <c r="I1155" s="12"/>
      <c r="J1155" s="43"/>
      <c r="K1155" s="48">
        <v>1</v>
      </c>
      <c r="L1155" s="48">
        <v>1</v>
      </c>
      <c r="M1155" s="48">
        <v>30</v>
      </c>
      <c r="N1155" s="48">
        <v>30</v>
      </c>
      <c r="O1155" s="50"/>
      <c r="P1155" s="50"/>
      <c r="Q1155" s="51">
        <f t="shared" si="48"/>
        <v>30</v>
      </c>
      <c r="R1155" s="48"/>
      <c r="S1155" s="24">
        <v>2174</v>
      </c>
      <c r="T1155" s="43">
        <v>46263</v>
      </c>
      <c r="U1155" s="43" t="s">
        <v>1085</v>
      </c>
      <c r="V1155" s="46" t="s">
        <v>247</v>
      </c>
      <c r="W1155" s="45"/>
    </row>
    <row r="1156" spans="1:23" ht="34.950000000000003" customHeight="1" x14ac:dyDescent="0.25">
      <c r="A1156" s="12">
        <f>SUBTOTAL(3,$B$2:B1156)</f>
        <v>1155</v>
      </c>
      <c r="B1156" s="42">
        <v>686</v>
      </c>
      <c r="C1156" s="43">
        <v>46263</v>
      </c>
      <c r="D1156" s="42">
        <v>82608310004</v>
      </c>
      <c r="E1156" s="43">
        <v>46265</v>
      </c>
      <c r="F1156" s="45" t="s">
        <v>518</v>
      </c>
      <c r="G1156" s="52" t="s">
        <v>317</v>
      </c>
      <c r="H1156" s="46" t="s">
        <v>16</v>
      </c>
      <c r="I1156" s="12"/>
      <c r="J1156" s="43"/>
      <c r="K1156" s="48">
        <v>4</v>
      </c>
      <c r="L1156" s="48">
        <v>4</v>
      </c>
      <c r="M1156" s="48">
        <v>1000</v>
      </c>
      <c r="N1156" s="48">
        <v>250</v>
      </c>
      <c r="O1156" s="50"/>
      <c r="P1156" s="50"/>
      <c r="Q1156" s="51">
        <f t="shared" si="48"/>
        <v>1000</v>
      </c>
      <c r="R1156" s="48"/>
      <c r="S1156" s="24">
        <v>2174</v>
      </c>
      <c r="T1156" s="43">
        <v>46263</v>
      </c>
      <c r="U1156" s="43" t="s">
        <v>1085</v>
      </c>
      <c r="V1156" s="46" t="s">
        <v>247</v>
      </c>
      <c r="W1156" s="45"/>
    </row>
    <row r="1157" spans="1:23" ht="34.950000000000003" customHeight="1" x14ac:dyDescent="0.25">
      <c r="A1157" s="12">
        <f>SUBTOTAL(3,$B$2:B1157)</f>
        <v>1156</v>
      </c>
      <c r="B1157" s="42">
        <v>686</v>
      </c>
      <c r="C1157" s="43">
        <v>46263</v>
      </c>
      <c r="D1157" s="42">
        <v>82608310004</v>
      </c>
      <c r="E1157" s="43">
        <v>46265</v>
      </c>
      <c r="F1157" s="45" t="s">
        <v>518</v>
      </c>
      <c r="G1157" s="52" t="s">
        <v>310</v>
      </c>
      <c r="H1157" s="46" t="s">
        <v>16</v>
      </c>
      <c r="I1157" s="12"/>
      <c r="J1157" s="43"/>
      <c r="K1157" s="48">
        <v>2</v>
      </c>
      <c r="L1157" s="48">
        <v>2</v>
      </c>
      <c r="M1157" s="48">
        <v>60</v>
      </c>
      <c r="N1157" s="48">
        <v>30</v>
      </c>
      <c r="O1157" s="50"/>
      <c r="P1157" s="50"/>
      <c r="Q1157" s="51">
        <f t="shared" si="48"/>
        <v>60</v>
      </c>
      <c r="R1157" s="48"/>
      <c r="S1157" s="24">
        <v>2174</v>
      </c>
      <c r="T1157" s="43">
        <v>46263</v>
      </c>
      <c r="U1157" s="43" t="s">
        <v>1085</v>
      </c>
      <c r="V1157" s="46" t="s">
        <v>247</v>
      </c>
      <c r="W1157" s="45"/>
    </row>
    <row r="1158" spans="1:23" ht="34.950000000000003" customHeight="1" x14ac:dyDescent="0.25">
      <c r="A1158" s="12">
        <f>SUBTOTAL(3,$B$2:B1158)</f>
        <v>1157</v>
      </c>
      <c r="B1158" s="42">
        <v>686</v>
      </c>
      <c r="C1158" s="43">
        <v>46263</v>
      </c>
      <c r="D1158" s="42">
        <v>82608310004</v>
      </c>
      <c r="E1158" s="43">
        <v>46265</v>
      </c>
      <c r="F1158" s="45" t="s">
        <v>518</v>
      </c>
      <c r="G1158" s="52" t="s">
        <v>312</v>
      </c>
      <c r="H1158" s="46" t="s">
        <v>16</v>
      </c>
      <c r="I1158" s="12"/>
      <c r="J1158" s="43"/>
      <c r="K1158" s="48">
        <v>2</v>
      </c>
      <c r="L1158" s="48">
        <v>2</v>
      </c>
      <c r="M1158" s="48">
        <v>100</v>
      </c>
      <c r="N1158" s="48">
        <v>50</v>
      </c>
      <c r="O1158" s="50"/>
      <c r="P1158" s="50"/>
      <c r="Q1158" s="51">
        <f t="shared" si="48"/>
        <v>100</v>
      </c>
      <c r="R1158" s="48"/>
      <c r="S1158" s="24">
        <v>2174</v>
      </c>
      <c r="T1158" s="43">
        <v>46263</v>
      </c>
      <c r="U1158" s="43" t="s">
        <v>1085</v>
      </c>
      <c r="V1158" s="46" t="s">
        <v>247</v>
      </c>
      <c r="W1158" s="45"/>
    </row>
    <row r="1159" spans="1:23" ht="34.950000000000003" customHeight="1" x14ac:dyDescent="0.25">
      <c r="A1159" s="12">
        <f>SUBTOTAL(3,$B$2:B1159)</f>
        <v>1158</v>
      </c>
      <c r="B1159" s="42">
        <v>686</v>
      </c>
      <c r="C1159" s="43">
        <v>46263</v>
      </c>
      <c r="D1159" s="42">
        <v>82608310004</v>
      </c>
      <c r="E1159" s="43">
        <v>46265</v>
      </c>
      <c r="F1159" s="45" t="s">
        <v>518</v>
      </c>
      <c r="G1159" s="52" t="s">
        <v>322</v>
      </c>
      <c r="H1159" s="46" t="s">
        <v>23</v>
      </c>
      <c r="I1159" s="12"/>
      <c r="J1159" s="43"/>
      <c r="K1159" s="48">
        <v>1</v>
      </c>
      <c r="L1159" s="48">
        <v>1</v>
      </c>
      <c r="M1159" s="48">
        <v>200</v>
      </c>
      <c r="N1159" s="48">
        <v>200</v>
      </c>
      <c r="O1159" s="50"/>
      <c r="P1159" s="50"/>
      <c r="Q1159" s="51">
        <f t="shared" si="48"/>
        <v>200</v>
      </c>
      <c r="R1159" s="48"/>
      <c r="S1159" s="24">
        <v>2174</v>
      </c>
      <c r="T1159" s="43">
        <v>46263</v>
      </c>
      <c r="U1159" s="43" t="s">
        <v>1085</v>
      </c>
      <c r="V1159" s="46" t="s">
        <v>247</v>
      </c>
      <c r="W1159" s="45"/>
    </row>
    <row r="1048566" spans="9:10" ht="18" x14ac:dyDescent="0.25">
      <c r="I1048566" s="128"/>
      <c r="J1048566" s="129"/>
    </row>
  </sheetData>
  <sheetProtection formatColumns="0" formatRows="0"/>
  <mergeCells count="1">
    <mergeCell ref="W714:W716"/>
  </mergeCells>
  <dataValidations disablePrompts="1" count="1">
    <dataValidation type="list" allowBlank="1" showInputMessage="1" showErrorMessage="1" sqref="W843" xr:uid="{48529D4C-9963-45ED-A4CB-45DCB4A1CA05}">
      <formula1>#REF!</formula1>
    </dataValidation>
  </dataValidations>
  <printOptions horizontalCentered="1"/>
  <pageMargins left="0.19685039370078741" right="0.19685039370078741" top="0.39370078740157483" bottom="0.19685039370078741" header="0.9055118110236221" footer="0.19685039370078741"/>
  <pageSetup paperSize="5" scale="39" fitToHeight="0" orientation="landscape" r:id="rId1"/>
  <headerFooter>
    <oddFooter>&amp;RPage &amp;P of &amp;N</oddFooter>
  </headerFooter>
  <rowBreaks count="1" manualBreakCount="1">
    <brk id="36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SheetA1</vt:lpstr>
      <vt:lpstr>SheetA1!Print_Area</vt:lpstr>
      <vt:lpstr>SheetA1!Print_Titles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Sai</dc:creator>
  <cp:lastModifiedBy>Satyam Sai</cp:lastModifiedBy>
  <dcterms:created xsi:type="dcterms:W3CDTF">2026-09-11T14:47:16Z</dcterms:created>
  <dcterms:modified xsi:type="dcterms:W3CDTF">2026-09-11T16:04:45Z</dcterms:modified>
</cp:coreProperties>
</file>